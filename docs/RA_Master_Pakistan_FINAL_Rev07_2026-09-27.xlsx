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README" sheetId="1" state="visible" r:id="rId3"/>
    <sheet name="02 DASHBOARD" sheetId="2" state="visible" r:id="rId4"/>
    <sheet name="03 MASTER RATE LIBRARY" sheetId="3" state="visible" r:id="rId5"/>
    <sheet name="04 DETAILED RATE ANALYSIS" sheetId="4" state="visible" r:id="rId6"/>
    <sheet name="05 MATERIAL RATE LIBRARY" sheetId="5" state="visible" r:id="rId7"/>
    <sheet name="06 LABOUR RATE LIBRARY" sheetId="6" state="visible" r:id="rId8"/>
    <sheet name="07 EQUIPMENT RATE LIBRARY" sheetId="7" state="visible" r:id="rId9"/>
    <sheet name="08 LOCATION RATE LIBRARY" sheetId="8" state="visible" r:id="rId10"/>
    <sheet name="09 SOURCE REGISTER" sheetId="9" state="visible" r:id="rId11"/>
    <sheet name="10 ASSUMPTIONS" sheetId="10" state="visible" r:id="rId12"/>
    <sheet name="11 UNIT CONVERSION" sheetId="11" state="visible" r:id="rId13"/>
    <sheet name="12 TRADE LIST" sheetId="12" state="visible" r:id="rId14"/>
    <sheet name="13 PRODUCTIVITY LIBRARY" sheetId="13" state="visible" r:id="rId15"/>
    <sheet name="14 VALIDATION QC" sheetId="14" state="visible" r:id="rId16"/>
    <sheet name="15 MIX DESIGN LIBRARY" sheetId="15" state="visible" r:id="rId17"/>
    <sheet name="16 VENDOR ENQUIRY (RFQ)" sheetId="16" state="visible" r:id="rId18"/>
    <sheet name="17 MISSING ITEMS REGISTER" sheetId="17" state="visible" r:id="rId19"/>
    <sheet name="18 DASHBOARD RECONCILIATION" sheetId="18" state="visible" r:id="rId20"/>
    <sheet name="19 REVISION LOG" sheetId="19" state="visible" r:id="rId21"/>
  </sheets>
  <definedNames>
    <definedName function="false" hidden="true" localSheetId="2" name="_xlnm._FilterDatabase" vbProcedure="false">'03 MASTER RATE LIBRARY'!$A$4:$AB$164</definedName>
    <definedName function="false" hidden="true" localSheetId="4" name="_xlnm._FilterDatabase" vbProcedure="false">'05 MATERIAL RATE LIBRARY'!$A$4:$O$180</definedName>
    <definedName function="false" hidden="true" localSheetId="7" name="_xlnm._FilterDatabase" vbProcedure="false">'08 LOCATION RATE LIBRARY'!$A$4:$O$210</definedName>
    <definedName function="false" hidden="true" localSheetId="15" name="_xlnm._FilterDatabase" vbProcedure="false">'16 VENDOR ENQUIRY (RFQ)'!$A$4:$L$83</definedName>
    <definedName function="false" hidden="true" localSheetId="16" name="_xlnm._FilterDatabase" vbProcedure="false">'17 MISSING ITEMS REGISTER'!$A$4:$M$160</definedName>
    <definedName function="false" hidden="true" localSheetId="17" name="_xlnm._FilterDatabase" vbProcedure="false">'18 DASHBOARD RECONCILIATION'!$A$4:$N$164</definedName>
    <definedName function="false" hidden="false" name="Bag_cft" vbProcedure="false">'10 ASSUMPTIONS'!$C$12</definedName>
    <definedName function="false" hidden="false" name="Bag_kg" vbProcedure="false">'10 ASSUMPTIONS'!$C$11</definedName>
    <definedName function="false" hidden="false" name="Batch_cft" vbProcedure="false">'10 ASSUMPTIONS'!$C$10</definedName>
    <definedName function="false" hidden="false" name="City" vbProcedure="false">'10 ASSUMPTIONS'!$C$35</definedName>
    <definedName function="false" hidden="false" name="Dens_Crush" vbProcedure="false">'10 ASSUMPTIONS'!$C$14</definedName>
    <definedName function="false" hidden="false" name="Dens_Sand" vbProcedure="false">'10 ASSUMPTIONS'!$C$13</definedName>
    <definedName function="false" hidden="false" name="DryF_Conc" vbProcedure="false">'10 ASSUMPTIONS'!$C$15</definedName>
    <definedName function="false" hidden="false" name="DryF_Mortar" vbProcedure="false">'10 ASSUMPTIONS'!$C$16</definedName>
    <definedName function="false" hidden="false" name="OH_HO" vbProcedure="false">'10 ASSUMPTIONS'!$C$6</definedName>
    <definedName function="false" hidden="false" name="OH_Site" vbProcedure="false">'10 ASSUMPTIONS'!$C$5</definedName>
    <definedName function="false" hidden="false" name="Profit" vbProcedure="false">'10 ASSUMPTIONS'!$C$7</definedName>
    <definedName function="false" hidden="false" name="Reuse_Ply" vbProcedure="false">'10 ASSUMPTIONS'!$C$25</definedName>
    <definedName function="false" hidden="false" name="Reuse_Tim" vbProcedure="false">'10 ASSUMPTIONS'!$C$26</definedName>
    <definedName function="false" hidden="false" name="Tax_On" vbProcedure="false">'10 ASSUMPTIONS'!$C$8</definedName>
    <definedName function="false" hidden="false" name="Tax_Rate" vbProcedure="false">'10 ASSUMPTIONS'!$C$9</definedName>
    <definedName function="false" hidden="false" name="W_Adm" vbProcedure="false">'10 ASSUMPTIONS'!$C$19</definedName>
    <definedName function="false" hidden="false" name="W_Agg" vbProcedure="false">'10 ASSUMPTIONS'!$C$18</definedName>
    <definedName function="false" hidden="false" name="W_Blk" vbProcedure="false">'10 ASSUMPTIONS'!$C$23</definedName>
    <definedName function="false" hidden="false" name="W_Brk" vbProcedure="false">'10 ASSUMPTIONS'!$C$22</definedName>
    <definedName function="false" hidden="false" name="W_Cbl" vbProcedure="false">'10 ASSUMPTIONS'!$C$32</definedName>
    <definedName function="false" hidden="false" name="W_Cem" vbProcedure="false">'10 ASSUMPTIONS'!$C$17</definedName>
    <definedName function="false" hidden="false" name="W_Gyp" vbProcedure="false">'10 ASSUMPTIONS'!$C$29</definedName>
    <definedName function="false" hidden="false" name="W_Mem" vbProcedure="false">'10 ASSUMPTIONS'!$C$34</definedName>
    <definedName function="false" hidden="false" name="W_Pipe" vbProcedure="false">'10 ASSUMPTIONS'!$C$31</definedName>
    <definedName function="false" hidden="false" name="W_Ply" vbProcedure="false">'10 ASSUMPTIONS'!$C$24</definedName>
    <definedName function="false" hidden="false" name="W_Pnt" vbProcedure="false">'10 ASSUMPTIONS'!$C$30</definedName>
    <definedName function="false" hidden="false" name="W_RMC" vbProcedure="false">'10 ASSUMPTIONS'!$C$33</definedName>
    <definedName function="false" hidden="false" name="W_Stl" vbProcedure="false">'10 ASSUMPTIONS'!$C$21</definedName>
    <definedName function="false" hidden="false" name="W_Stone" vbProcedure="false">'10 ASSUMPTIONS'!$C$28</definedName>
    <definedName function="false" hidden="false" name="W_Tile" vbProcedure="false">'10 ASSUMPTIONS'!$C$27</definedName>
    <definedName function="false" hidden="false" name="W_Wtr" vbProcedure="false">'10 ASSUMPTIONS'!$C$20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<sst xmlns="http://schemas.openxmlformats.org/spreadsheetml/2006/main" count="18915" uniqueCount="3273">
  <si>
    <t xml:space="preserve">BUILDING RATE ANALYSIS MASTER DATABASE – FINAL (Pakistan, city-selectable)</t>
  </si>
  <si>
    <t xml:space="preserve">Doc: RA_Master_Pakistan_FINAL_Rev07_2026-09-27</t>
  </si>
  <si>
    <t xml:space="preserve">Purpose</t>
  </si>
  <si>
    <t xml:space="preserve">Transparent, formula-driven rate library for BOQ, tender checking, VO pricing and cost planning. Every rate is built A-material + wastage + labour + plant + transport → direct cost → OH → profit → optional tax.</t>
  </si>
  <si>
    <t xml:space="preserve">Scope – this issue</t>
  </si>
  <si>
    <t xml:space="preserve">FINAL MERGED Rev06 (rates filled from GRN register, Punjab MRS 2026, dashboard research):  every trade + depth variants + 11-city selector + 16 RFQ sheet (fill quotes once, whole library updates). Rev03 added Phases 4–9: prelims, earthwork, doors, windows, joinery, façade, external works, plumbing, fire fighting, electrical, ELV, life safety, HVAC, lifts, misc. Vendor/system items carry full component structure with red inputs for quotes. Phase 3 (Rev02) added: porcelain/ceramic floor &amp; wall tiling, marble flooring, gypsum ceilings (full component build-up), emulsion &amp; weather-shield paint systems. Phase 2 (Rev01) added: formwork (slab, beam, column, wall), block masonry 8"/6"/4", brick 4.5", screeds 1.5"/2"/3", waterproofing (torch-on membrane, cementitious, DPC). Phase 1: 15 lab mix-design concretes transcribed from the user's 8 lab sheets (1000–6000 PSI), 3 nominal concretes, rebar, 9" brick masonry, 2 plaster items. Trade list (12) carries the full coding for all trades; items are queued, not invented.</t>
  </si>
  <si>
    <t xml:space="preserve">Rate basis</t>
  </si>
  <si>
    <t xml:space="preserve">City selector in 10 ASSUMPTIONS (default Lahore). Lahore: Sep-2026 market indications from dated web sources (09). Conflicting sources shown as Low/High in 05; working value flagged yellow.</t>
  </si>
  <si>
    <t xml:space="preserve">Units</t>
  </si>
  <si>
    <t xml:space="preserve">cft, Sft, kg, Nos, bag, litre, day, PKR. Lab batch weights converted via Batch_cft = 35.315.</t>
  </si>
  <si>
    <t xml:space="preserve">Colour key</t>
  </si>
  <si>
    <t xml:space="preserve">Blue = input · Green = formula · Yellow = assumption / dated market indication · Red = NO dated source – blank until filled · Grey = totals.</t>
  </si>
  <si>
    <t xml:space="preserve">How to update</t>
  </si>
  <si>
    <t xml:space="preserve">1) Enter new rates in 05/06/07 col 'Base Rate' with date &amp; source ID. 2) Change globals in 10. 3) Check 14 QC = OK. Never type into green cells.</t>
  </si>
  <si>
    <t xml:space="preserve">Reprice a mix</t>
  </si>
  <si>
    <t xml:space="preserve">Change 'Priced as' material code or batch kg in 15; analysis in 04 follows automatically.</t>
  </si>
  <si>
    <t xml:space="preserve">Add an item</t>
  </si>
  <si>
    <t xml:space="preserve">Copy an analysis block in 04, change code/resources, add a row in 03 pointing to the new block's summary cells.</t>
  </si>
  <si>
    <t xml:space="preserve">Critical inputs still blank</t>
  </si>
  <si>
    <t xml:space="preserve">Admixture, water, binding wire, Zinda Pir sand, nails, release oil, membrane, primer, bitumen, LPG, cementitious slurry, all plant/prop hire; timber rate OLD (Feb-2025) – all rate statuses show INCOMPLETE until entered.</t>
  </si>
  <si>
    <t xml:space="preserve">Not included</t>
  </si>
  <si>
    <t xml:space="preserve">Formwork, pumping floor premium, cradle/scaffold for elevations, taxes (toggle), escalation.</t>
  </si>
  <si>
    <t xml:space="preserve">Rev07 (2026-09-27)</t>
  </si>
  <si>
    <t xml:space="preserve">Reconciled with the SAJ QSCOST dashboard Rate Analysis library: one dated rate per shared resource (cement 1,575, Lawrencepur 240, Sargodha 185, Margalla 180, A-brick 17.5, blocks 140/165, sub-base 100, plaster mason 2,150, tile fixer 2,500, painter 2,100); crew outputs checked against Punjab MRS 2026 labour shares, MAK installation rates and SRC-06 piece rates (13, columns H–S); 35 new analyses; 17 Missing Items Register; 18 Dashboard Reconciliation; 19 Revision Log.</t>
  </si>
  <si>
    <t xml:space="preserve">Dashboard link</t>
  </si>
  <si>
    <t xml:space="preserve">Every item in 03 is in the dashboard Item Library under the same code, with the same resources and adjusted quantities (Rate Analysis → Item Library, category filter). Shared resources use the dashboard Rate Database line named in 18.</t>
  </si>
  <si>
    <t xml:space="preserve">02 · DASHBOARD</t>
  </si>
  <si>
    <t xml:space="preserve">Rate basis: Lahore · Rev07 reconciled with dashboard · Last updated 2026-09-27</t>
  </si>
  <si>
    <t xml:space="preserve">Metric</t>
  </si>
  <si>
    <t xml:space="preserve">Value</t>
  </si>
  <si>
    <t xml:space="preserve">Total rate analyses</t>
  </si>
  <si>
    <t xml:space="preserve">Complete (no blank inputs)</t>
  </si>
  <si>
    <t xml:space="preserve">Incomplete (red inputs pending)</t>
  </si>
  <si>
    <t xml:space="preserve">Unit = cft</t>
  </si>
  <si>
    <t xml:space="preserve">Unit = Sft</t>
  </si>
  <si>
    <t xml:space="preserve">Unit = kg</t>
  </si>
  <si>
    <t xml:space="preserve">Selected city</t>
  </si>
  <si>
    <t xml:space="preserve">Items fully priced for selected city</t>
  </si>
  <si>
    <t xml:space="preserve">Red inputs listed in RFQ</t>
  </si>
  <si>
    <t xml:space="preserve">RFQ lines quoted</t>
  </si>
  <si>
    <t xml:space="preserve">Sources registered</t>
  </si>
  <si>
    <t xml:space="preserve">Rates by trade</t>
  </si>
  <si>
    <t xml:space="preserve">Count</t>
  </si>
  <si>
    <t xml:space="preserve">Concrete (CIV-CON)</t>
  </si>
  <si>
    <t xml:space="preserve">Reinforcement (CIV-RFT)</t>
  </si>
  <si>
    <t xml:space="preserve">Formwork (CIV-FWK)</t>
  </si>
  <si>
    <t xml:space="preserve">Masonry (CIV-MAS)</t>
  </si>
  <si>
    <t xml:space="preserve">Plaster (FIN-PLS)</t>
  </si>
  <si>
    <t xml:space="preserve">Screed (FIN-SCR)</t>
  </si>
  <si>
    <t xml:space="preserve">Skirting (FIN-SKT)</t>
  </si>
  <si>
    <t xml:space="preserve">Waterproofing (FIN-WPF)</t>
  </si>
  <si>
    <t xml:space="preserve">Flooring (FIN-FLR)</t>
  </si>
  <si>
    <t xml:space="preserve">Wall finishes (FIN-WAL)</t>
  </si>
  <si>
    <t xml:space="preserve">Ceilings (FIN-CLG)</t>
  </si>
  <si>
    <t xml:space="preserve">Painting (FIN-PNT)</t>
  </si>
  <si>
    <t xml:space="preserve">Prelims (PRE)</t>
  </si>
  <si>
    <t xml:space="preserve">Earthwork (CIV-EW)</t>
  </si>
  <si>
    <t xml:space="preserve">Doors (FIN-DOR)</t>
  </si>
  <si>
    <t xml:space="preserve">Windows (FIN-WIN)</t>
  </si>
  <si>
    <t xml:space="preserve">Joinery (FIN-JNR)</t>
  </si>
  <si>
    <t xml:space="preserve">Façade (FAC)</t>
  </si>
  <si>
    <t xml:space="preserve">External (EXT)</t>
  </si>
  <si>
    <t xml:space="preserve">Plumbing (PLB)</t>
  </si>
  <si>
    <t xml:space="preserve">Fire fighting (FF)</t>
  </si>
  <si>
    <t xml:space="preserve">Electrical (ELE)</t>
  </si>
  <si>
    <t xml:space="preserve">ELV</t>
  </si>
  <si>
    <t xml:space="preserve">Life safety (LS)</t>
  </si>
  <si>
    <t xml:space="preserve">HVAC</t>
  </si>
  <si>
    <t xml:space="preserve">Lifts (LFT)</t>
  </si>
  <si>
    <t xml:space="preserve">Misc (MISC)</t>
  </si>
  <si>
    <t xml:space="preserve">Concrete grade comparison (PKR per cft, final)</t>
  </si>
  <si>
    <t xml:space="preserve">Rate</t>
  </si>
  <si>
    <t xml:space="preserve">Status</t>
  </si>
  <si>
    <t xml:space="preserve">03 · MASTER RATE LIBRARY – selected city (links live to 04)</t>
  </si>
  <si>
    <t xml:space="preserve">Filter with header arrows. Rate Status turns INCOMPLETE while any red input in the analysis is blank.</t>
  </si>
  <si>
    <t xml:space="preserve">Item Code</t>
  </si>
  <si>
    <t xml:space="preserve">Trade</t>
  </si>
  <si>
    <t xml:space="preserve">Sub Trade</t>
  </si>
  <si>
    <t xml:space="preserve">Category</t>
  </si>
  <si>
    <t xml:space="preserve">Item Description</t>
  </si>
  <si>
    <t xml:space="preserve">Full Specification</t>
  </si>
  <si>
    <t xml:space="preserve">Unit</t>
  </si>
  <si>
    <t xml:space="preserve">Location</t>
  </si>
  <si>
    <t xml:space="preserve">Rate Date</t>
  </si>
  <si>
    <t xml:space="preserve">Material Cost</t>
  </si>
  <si>
    <t xml:space="preserve">Labour Cost</t>
  </si>
  <si>
    <t xml:space="preserve">Equipment Cost</t>
  </si>
  <si>
    <t xml:space="preserve">Transport Cost</t>
  </si>
  <si>
    <t xml:space="preserve">Wastage Cost</t>
  </si>
  <si>
    <t xml:space="preserve">Direct Cost</t>
  </si>
  <si>
    <t xml:space="preserve">Overheads</t>
  </si>
  <si>
    <t xml:space="preserve">Profit</t>
  </si>
  <si>
    <t xml:space="preserve">Tax</t>
  </si>
  <si>
    <t xml:space="preserve">Final Rate PKR</t>
  </si>
  <si>
    <t xml:space="preserve">Rate per 100 units</t>
  </si>
  <si>
    <t xml:space="preserve">Rate Status</t>
  </si>
  <si>
    <t xml:space="preserve">Confidence</t>
  </si>
  <si>
    <t xml:space="preserve">Blank Inputs</t>
  </si>
  <si>
    <t xml:space="preserve">Source</t>
  </si>
  <si>
    <t xml:space="preserve">Source Date</t>
  </si>
  <si>
    <t xml:space="preserve">Source URL</t>
  </si>
  <si>
    <t xml:space="preserve">Notes</t>
  </si>
  <si>
    <t xml:space="preserve">Dup Code?</t>
  </si>
  <si>
    <t xml:space="preserve">CIV-CON-001</t>
  </si>
  <si>
    <t xml:space="preserve">Civil</t>
  </si>
  <si>
    <t xml:space="preserve">Concrete</t>
  </si>
  <si>
    <t xml:space="preserve">5000 PSI</t>
  </si>
  <si>
    <t xml:space="preserve">Providing and laying 5000 PSI concrete (Lab ACI 211.1 – 5000 PSI (W/C 0.34); mix per Image 1 – ACI 211.1 lab sheet) in structural members, including batching, placing, compacting and curing, complete in all respects; excluding reinforcement and formwork measured separately.</t>
  </si>
  <si>
    <t xml:space="preserve">Mix LAB-5000; cement 550 kg per lab batch; source Image 1 – ACI 211.1 lab sheet, dated 2026-04-05</t>
  </si>
  <si>
    <t xml:space="preserve">cft</t>
  </si>
  <si>
    <t xml:space="preserve">2026-09-27</t>
  </si>
  <si>
    <t xml:space="preserve">Low</t>
  </si>
  <si>
    <t xml:space="preserve">See 09 SOURCE REGISTER (SRC-01…08)</t>
  </si>
  <si>
    <t xml:space="preserve">2026-04-25 to 2026-09-19</t>
  </si>
  <si>
    <t xml:space="preserve">see 09</t>
  </si>
  <si>
    <t xml:space="preserve">Admixture 7.69 kg = 1.2 L/100kg × 550 × SG 1.165 ✓. Required strength cell (20% extra) blank on sheet.</t>
  </si>
  <si>
    <t xml:space="preserve">CIV-CON-002</t>
  </si>
  <si>
    <t xml:space="preserve">PCC / Lean concrete</t>
  </si>
  <si>
    <t xml:space="preserve">1000 PSI</t>
  </si>
  <si>
    <t xml:space="preserve">Providing and laying 1000 PSI concrete (Lab – 1000 PSI (lean); mix per Image 2 – lab mix sheet) in sub-structure/PCC, including batching, placing, compacting and curing, complete in all respects; excluding reinforcement and formwork measured separately.</t>
  </si>
  <si>
    <t xml:space="preserve">Mix LAB-1000; cement 200 kg per lab batch; source Image 2 – lab mix sheet, dated Not visible</t>
  </si>
  <si>
    <t xml:space="preserve">W/C 1.05 – very high; no admixture. Coarse source options Margalla/Sargodha/Sakhi Sarwar – Margalla (first listed) priced.</t>
  </si>
  <si>
    <t xml:space="preserve">CIV-CON-003</t>
  </si>
  <si>
    <t xml:space="preserve">6000 PSI</t>
  </si>
  <si>
    <t xml:space="preserve">Providing and laying 6000 PSI concrete (Lab – 6000 PSI (DHA Multan sheet); mix per Image 3 – lab mix sheet) in structural members, including batching, placing, compacting and curing, complete in all respects; excluding reinforcement and formwork measured separately.</t>
  </si>
  <si>
    <t xml:space="preserve">Mix LAB-6000; cement 550 kg per lab batch; source Image 3 – lab mix sheet, dated Not visible</t>
  </si>
  <si>
    <t xml:space="preserve">Admixture entered in 'Admixture-2' row, Sika 512 row blank – product not identified. Slump 175 initial / 85 at 90 min.</t>
  </si>
  <si>
    <t xml:space="preserve">CIV-CON-004</t>
  </si>
  <si>
    <t xml:space="preserve">1:3:6</t>
  </si>
  <si>
    <t xml:space="preserve">Providing and laying 1:3:6 concrete (Lab – 1:3:6 ratio (PCC); mix per Image 5 – lab mix sheet) in sub-structure/PCC, including batching, placing, compacting and curing, complete in all respects; excluding reinforcement and formwork measured separately.</t>
  </si>
  <si>
    <t xml:space="preserve">Mix LAB-136; cement 250 kg per lab batch; source Image 5 – lab mix sheet, dated Not visible</t>
  </si>
  <si>
    <t xml:space="preserve">Labelled by ratio, not strength. Zinda Pir sand has no dated rate – item incomplete until entered.</t>
  </si>
  <si>
    <t xml:space="preserve">CIV-CON-005</t>
  </si>
  <si>
    <t xml:space="preserve">4500 PSI</t>
  </si>
  <si>
    <t xml:space="preserve">Providing and laying 4500 PSI concrete (Lab – 4500 PSI; mix per Image 6 – lab mix sheet) in structural members, including batching, placing, compacting and curing, complete in all respects; excluding reinforcement and formwork measured separately.</t>
  </si>
  <si>
    <t xml:space="preserve">Mix LAB-4500; cement 475 kg per lab batch; source Image 6 – lab mix sheet, dated Not visible</t>
  </si>
  <si>
    <t xml:space="preserve">Slump 190 initial / 90 at 90 min.</t>
  </si>
  <si>
    <t xml:space="preserve">CIV-CON-006</t>
  </si>
  <si>
    <t xml:space="preserve">4000 PSI</t>
  </si>
  <si>
    <t xml:space="preserve">Providing and laying 4000 PSI concrete (Lab – 4000 PSI; mix per Image 8 – lab mix sheet) in structural members, including batching, placing, compacting and curing, complete in all respects; excluding reinforcement and formwork measured separately.</t>
  </si>
  <si>
    <t xml:space="preserve">Mix LAB-4000; cement 450 kg per lab batch; source Image 8 – lab mix sheet, dated Not visible</t>
  </si>
  <si>
    <t xml:space="preserve">Slump 185 initial / 100 at 90 min.</t>
  </si>
  <si>
    <t xml:space="preserve">CIV-CON-007</t>
  </si>
  <si>
    <t xml:space="preserve">1500 PSI</t>
  </si>
  <si>
    <t xml:space="preserve">Providing and laying 1500 PSI concrete (ACI-211 batch sheet – 1500 PSI; mix per Image 4 – ACI-211 summary (QA/QC)) in sub-structure/PCC, including batching, placing, compacting and curing, complete in all respects; excluding reinforcement and formwork measured separately.</t>
  </si>
  <si>
    <t xml:space="preserve">Mix ACI-1500; cement 180 kg per lab batch; source Image 4 – ACI-211 summary (QA/QC), dated Not dated</t>
  </si>
  <si>
    <t xml:space="preserve">Crush given as combined 1220 kg. Sheet unsigned/undated.</t>
  </si>
  <si>
    <t xml:space="preserve">CIV-CON-008</t>
  </si>
  <si>
    <t xml:space="preserve">Providing and laying 4000 PSI concrete (ACI-211 batch sheet – 4000 PSI; mix per Image 4 – ACI-211 summary) in structural members, including batching, placing, compacting and curing, complete in all respects; excluding reinforcement and formwork measured separately.</t>
  </si>
  <si>
    <t xml:space="preserve">Mix ACI-4000; cement 350 kg per lab batch; source Image 4 – ACI-211 summary, dated Not dated</t>
  </si>
  <si>
    <t xml:space="preserve">Cement 350 kg is 22% below lab 4000 (450) and 18% below J7 4000 (425) – verify trial-mix results.</t>
  </si>
  <si>
    <t xml:space="preserve">CIV-CON-009</t>
  </si>
  <si>
    <t xml:space="preserve">Providing and laying 4500 PSI concrete (ACI-211 batch sheet – 4500 PSI; mix per Image 4 – ACI-211 summary) in structural members, including batching, placing, compacting and curing, complete in all respects; excluding reinforcement and formwork measured separately.</t>
  </si>
  <si>
    <t xml:space="preserve">Mix ACI-4500; cement 400 kg per lab batch; source Image 4 – ACI-211 summary, dated Not dated</t>
  </si>
  <si>
    <t xml:space="preserve">CIV-CON-010</t>
  </si>
  <si>
    <t xml:space="preserve">Providing and laying 6000 PSI concrete (ACI-211 batch sheet – 6000 PSI; mix per Image 4 – ACI-211 summary) in structural members, including batching, placing, compacting and curing, complete in all respects; excluding reinforcement and formwork measured separately.</t>
  </si>
  <si>
    <t xml:space="preserve">Mix ACI-6000; cement 520 kg per lab batch; source Image 4 – ACI-211 summary, dated Not dated</t>
  </si>
  <si>
    <t xml:space="preserve">CIV-CON-011</t>
  </si>
  <si>
    <t xml:space="preserve">3000 PSI</t>
  </si>
  <si>
    <t xml:space="preserve">Providing and laying 3000 PSI concrete (J7 Emporium Mall B-17 batching plant – 3000 PSI; mix per Image 7 – J7 Group summary of batch weights) in structural members, including batching, placing, compacting and curing, complete in all respects; excluding reinforcement and formwork measured separately.</t>
  </si>
  <si>
    <t xml:space="preserve">Mix J7-3000; cement 325 kg per lab batch; source Image 7 – J7 Group summary of batch weights, dated 2024-03-08 (trials Jan-2024)</t>
  </si>
  <si>
    <t xml:space="preserve">Trial mix TM#16 17-01-2024. Sheet dated 2024 – older than other mixes. Crush 1/2" only 105 kg vs 3/8" 738 kg (fine-graded coarse).</t>
  </si>
  <si>
    <t xml:space="preserve">CIV-CON-012</t>
  </si>
  <si>
    <t xml:space="preserve">Providing and laying 4000 PSI concrete (J7 Emporium Mall B-17 batching plant – 4000 PSI; mix per Image 7 – J7 Group summary of batch weights) in structural members, including batching, placing, compacting and curing, complete in all respects; excluding reinforcement and formwork measured separately.</t>
  </si>
  <si>
    <t xml:space="preserve">Mix J7-4000; cement 425 kg per lab batch; source Image 7 – J7 Group summary of batch weights, dated 2024-03-08 (trials Jan-2024)</t>
  </si>
  <si>
    <t xml:space="preserve">Trial mix TM#11 13-01-2024. Sheet dated 2024 – older than other mixes. Crush 1/2" only 105 kg vs 3/8" 738 kg (fine-graded coarse).</t>
  </si>
  <si>
    <t xml:space="preserve">CIV-CON-013</t>
  </si>
  <si>
    <t xml:space="preserve">Providing and laying 4500 PSI concrete (J7 Emporium Mall B-17 batching plant – 4500 PSI; mix per Image 7 – J7 Group summary of batch weights) in structural members, including batching, placing, compacting and curing, complete in all respects; excluding reinforcement and formwork measured separately.</t>
  </si>
  <si>
    <t xml:space="preserve">Mix J7-4500; cement 465 kg per lab batch; source Image 7 – J7 Group summary of batch weights, dated 2024-03-08 (trials Jan-2024)</t>
  </si>
  <si>
    <t xml:space="preserve">Trial mix TM#15 17-01-2024. Sheet dated 2024 – older than other mixes. Crush 1/2" only 105 kg vs 3/8" 738 kg (fine-graded coarse).</t>
  </si>
  <si>
    <t xml:space="preserve">CIV-CON-014</t>
  </si>
  <si>
    <t xml:space="preserve">Providing and laying 5000 PSI concrete (J7 Emporium Mall B-17 batching plant – 5000 PSI; mix per Image 7 – J7 Group summary of batch weights) in structural members, including batching, placing, compacting and curing, complete in all respects; excluding reinforcement and formwork measured separately.</t>
  </si>
  <si>
    <t xml:space="preserve">Mix J7-5000; cement 515 kg per lab batch; source Image 7 – J7 Group summary of batch weights, dated 2024-03-08 (trials Jan-2024)</t>
  </si>
  <si>
    <t xml:space="preserve">Trial mix TM#12 15-01-2024. Sheet dated 2024 – older than other mixes. Crush 1/2" only 105 kg vs 3/8" 738 kg (fine-graded coarse). Admixture check: 1.42%×515=7.31 vs 7.29 stated (minor).</t>
  </si>
  <si>
    <t xml:space="preserve">CIV-CON-015</t>
  </si>
  <si>
    <t xml:space="preserve">5500 PSI</t>
  </si>
  <si>
    <t xml:space="preserve">Providing and laying 5500 PSI concrete (J7 Emporium Mall B-17 batching plant – 5500 PSI; mix per Image 7 – J7 Group summary of batch weights) in structural members, including batching, placing, compacting and curing, complete in all respects; excluding reinforcement and formwork measured separately.</t>
  </si>
  <si>
    <t xml:space="preserve">Mix J7-5500; cement 530 kg per lab batch; source Image 7 – J7 Group summary of batch weights, dated 2024-03-08 (trials Jan-2024)</t>
  </si>
  <si>
    <t xml:space="preserve">Trial mix TM#13 15-01-2024. Sheet dated 2024 – older than other mixes. Crush 1/2" only 105 kg vs 3/8" 738 kg (fine-graded coarse).</t>
  </si>
  <si>
    <t xml:space="preserve">CIV-CON-016</t>
  </si>
  <si>
    <t xml:space="preserve">Nominal 1:4:8</t>
  </si>
  <si>
    <t xml:space="preserve">Providing and laying plain cement concrete 1:4:8 (nominal volumetric, site-mixed) using OPC, Chenab sand and Margalla crush, including mixing, placing, compacting and curing, complete in all respects; excluding reinforcement and formwork measured separately.</t>
  </si>
  <si>
    <t xml:space="preserve">Nominal volumetric 1:4:8, dry factor 1.54, 1 bag = 1.25 cft (house standard); Lahore basis sand</t>
  </si>
  <si>
    <t xml:space="preserve">Medium</t>
  </si>
  <si>
    <t xml:space="preserve">House nominal-mix consumption; site-batched.</t>
  </si>
  <si>
    <t xml:space="preserve">CIV-CON-017</t>
  </si>
  <si>
    <t xml:space="preserve">Nominal 1:2:4</t>
  </si>
  <si>
    <t xml:space="preserve">Providing and laying reinforced cement concrete 1:2:4 (nominal volumetric, site-mixed) using OPC, Chenab sand and Margalla crush, including mixing, placing, compacting and curing, complete in all respects; excluding reinforcement and formwork measured separately.</t>
  </si>
  <si>
    <t xml:space="preserve">Nominal volumetric 1:2:4, dry factor 1.54, 1 bag = 1.25 cft (house standard); Lahore basis sand</t>
  </si>
  <si>
    <t xml:space="preserve">CIV-CON-018</t>
  </si>
  <si>
    <t xml:space="preserve">Nominal 1:1.5:3</t>
  </si>
  <si>
    <t xml:space="preserve">Providing and laying reinforced cement concrete 1:1.5:3 (nominal volumetric, site-mixed) using OPC, Chenab sand and Margalla crush, including mixing, placing, compacting and curing, complete in all respects; excluding reinforcement and formwork measured separately.</t>
  </si>
  <si>
    <t xml:space="preserve">Nominal volumetric 1:1.5:3, dry factor 1.54, 1 bag = 1.25 cft (house standard); Lahore basis sand</t>
  </si>
  <si>
    <t xml:space="preserve">CIV-RFT-001</t>
  </si>
  <si>
    <t xml:space="preserve">Reinforcement</t>
  </si>
  <si>
    <t xml:space="preserve">Gr.60 deformed</t>
  </si>
  <si>
    <t xml:space="preserve">Providing, cutting, bending and fixing Grade 60 deformed steel reinforcement including binding wire, chairs and spacers, complete in all respects.</t>
  </si>
  <si>
    <t xml:space="preserve">ASTM A615 Gr.60; laps measured in BBS; 3% cutting wastage</t>
  </si>
  <si>
    <t xml:space="preserve">kg</t>
  </si>
  <si>
    <t xml:space="preserve">Binding-wire rate blank.</t>
  </si>
  <si>
    <t xml:space="preserve">CIV-MAS-001</t>
  </si>
  <si>
    <t xml:space="preserve">Masonry</t>
  </si>
  <si>
    <t xml:space="preserve">Brick 9" &amp; above</t>
  </si>
  <si>
    <t xml:space="preserve">Providing and laying first class burnt brick masonry 9" thick and above in cement sand mortar 1:6 in superstructure, including scaffolding, curing, complete in all respects.</t>
  </si>
  <si>
    <t xml:space="preserve">Brick 9"×4.5"×3"; 13.5 bricks/cft; wet mortar 0.25 cft/cft × DryF_Mortar</t>
  </si>
  <si>
    <t xml:space="preserve">Scaffolding for elevation work above GF to be added separately (house rule).</t>
  </si>
  <si>
    <t xml:space="preserve">FIN-PLS-001</t>
  </si>
  <si>
    <t xml:space="preserve">Finishes</t>
  </si>
  <si>
    <t xml:space="preserve">Plaster</t>
  </si>
  <si>
    <t xml:space="preserve">0.5" cement plaster 1:4</t>
  </si>
  <si>
    <t xml:space="preserve">Providing and applying 0.5" thick cement sand plaster 1:4 to walls, internal, including curing, complete in all respects.</t>
  </si>
  <si>
    <t xml:space="preserve">Thickness 0.0417 ft + 20% for undulations; dry factor 1.30</t>
  </si>
  <si>
    <t xml:space="preserve">Sft</t>
  </si>
  <si>
    <t xml:space="preserve">Internal only – external elevation adds scaffold/cradle item.</t>
  </si>
  <si>
    <t xml:space="preserve">FIN-PLS-002</t>
  </si>
  <si>
    <t xml:space="preserve">0.75" cement plaster 1:6</t>
  </si>
  <si>
    <t xml:space="preserve">Providing and applying 0.75" thick cement sand plaster 1:6 to walls, internal, including curing, complete in all respects.</t>
  </si>
  <si>
    <t xml:space="preserve">Thickness 0.0625 ft + 20% for undulations; dry factor 1.30</t>
  </si>
  <si>
    <t xml:space="preserve">CIV-FWK-001</t>
  </si>
  <si>
    <t xml:space="preserve">Formwork</t>
  </si>
  <si>
    <t xml:space="preserve">Slab soffit</t>
  </si>
  <si>
    <t xml:space="preserve">Providing, erecting and stripping plywood formwork to horizontal soffit of slabs incl. staging/props, including release oil, cleaning and repairs, complete in all respects; measured as contact area.</t>
  </si>
  <si>
    <t xml:space="preserve">3/4" plywood, Reuse_Ply uses; timber Reuse_Tim uses; ground-floor base, no floor premium</t>
  </si>
  <si>
    <t xml:space="preserve">Rate depends on repetitions (10 ASSUMPTIONS). Timber rate is OLD (Feb-2025).</t>
  </si>
  <si>
    <t xml:space="preserve">CIV-FWK-002</t>
  </si>
  <si>
    <t xml:space="preserve">Beam sides &amp; soffit</t>
  </si>
  <si>
    <t xml:space="preserve">Providing, erecting and stripping plywood formwork to beam sides and soffits incl. props, including release oil, cleaning and repairs, complete in all respects; measured as contact area.</t>
  </si>
  <si>
    <t xml:space="preserve">CIV-FWK-003</t>
  </si>
  <si>
    <t xml:space="preserve">Columns</t>
  </si>
  <si>
    <t xml:space="preserve">Providing, erecting and stripping plywood formwork to column faces incl. yokes, ties and bracing, including release oil, cleaning and repairs, complete in all respects; measured as contact area.</t>
  </si>
  <si>
    <t xml:space="preserve">CIV-FWK-004</t>
  </si>
  <si>
    <t xml:space="preserve">Walls / shear walls / lift core</t>
  </si>
  <si>
    <t xml:space="preserve">Providing, erecting and stripping plywood formwork to wall faces (each face measured) incl. ties and bracing, including release oil, cleaning and repairs, complete in all respects; measured as contact area.</t>
  </si>
  <si>
    <t xml:space="preserve">CIV-MAS-003</t>
  </si>
  <si>
    <t xml:space="preserve">8" hollow block</t>
  </si>
  <si>
    <t xml:space="preserve">Providing and laying 8" hollow block masonry 8" thick in cement sand mortar 1:6 in walls and partitions, including curing, complete in all respects; openings &gt;1.0 Sft deducted.</t>
  </si>
  <si>
    <t xml:space="preserve">Block 16"x8"x8"; 3/8" joints; hollow cores unfilled; lintels/bond beams measured separately</t>
  </si>
  <si>
    <t xml:space="preserve">Block rate ex-factory per SRC-09 – check freight. Scaffold for elevation work extra.</t>
  </si>
  <si>
    <t xml:space="preserve">CIV-MAS-004</t>
  </si>
  <si>
    <t xml:space="preserve">6" hollow block</t>
  </si>
  <si>
    <t xml:space="preserve">Providing and laying 6" hollow block masonry 6" thick in cement sand mortar 1:6 in walls and partitions, including curing, complete in all respects; openings &gt;1.0 Sft deducted.</t>
  </si>
  <si>
    <t xml:space="preserve">Block 16"x6"x8"; 3/8" joints; hollow cores unfilled; lintels/bond beams measured separately</t>
  </si>
  <si>
    <t xml:space="preserve">CIV-MAS-005</t>
  </si>
  <si>
    <t xml:space="preserve">4" solid block</t>
  </si>
  <si>
    <t xml:space="preserve">Providing and laying 4" solid block masonry 4" thick in cement sand mortar 1:6 in walls and partitions, including curing, complete in all respects; openings &gt;1.0 Sft deducted.</t>
  </si>
  <si>
    <t xml:space="preserve">Block 12"x4"x8"; 3/8" joints; hollow cores unfilled; lintels/bond beams measured separately</t>
  </si>
  <si>
    <t xml:space="preserve">CIV-MAS-002</t>
  </si>
  <si>
    <t xml:space="preserve">Brick 4.5"</t>
  </si>
  <si>
    <t xml:space="preserve">Providing and laying first class burnt brick masonry 4.5" thick in cement sand mortar 1:4 in partitions, including curing, complete in all respects.</t>
  </si>
  <si>
    <t xml:space="preserve">0.375 ft thick; 13.5 bricks/cft; wet mortar 0.25 cft/cft</t>
  </si>
  <si>
    <t xml:space="preserve">FIN-SCR-001</t>
  </si>
  <si>
    <t xml:space="preserve">Screed</t>
  </si>
  <si>
    <t xml:space="preserve">1.5" screed 1:4</t>
  </si>
  <si>
    <t xml:space="preserve">Providing and laying 1.5" thick cement sand screed 1:4 to floors/roofs, laid to level or falls, including bonding slurry and curing, complete in all respects.</t>
  </si>
  <si>
    <t xml:space="preserve">Thickness 0.1250 ft + 5% for level tolerance; dry factor 1.30</t>
  </si>
  <si>
    <t xml:space="preserve">Bonding slurry cement included in 5% tolerance. Screed &gt;2" on roofs usually priced as concrete.</t>
  </si>
  <si>
    <t xml:space="preserve">FIN-SCR-002</t>
  </si>
  <si>
    <t xml:space="preserve">2.0" screed 1:4</t>
  </si>
  <si>
    <t xml:space="preserve">Providing and laying 2.0" thick cement sand screed 1:4 to floors/roofs, laid to level or falls, including bonding slurry and curing, complete in all respects.</t>
  </si>
  <si>
    <t xml:space="preserve">Thickness 0.1667 ft + 5% for level tolerance; dry factor 1.30</t>
  </si>
  <si>
    <t xml:space="preserve">FIN-SCR-003</t>
  </si>
  <si>
    <t xml:space="preserve">3.0" screed 1:3</t>
  </si>
  <si>
    <t xml:space="preserve">Providing and laying 3.0" thick cement sand screed 1:3 to floors/roofs, laid to level or falls, including bonding slurry and curing, complete in all respects.</t>
  </si>
  <si>
    <t xml:space="preserve">Thickness 0.2500 ft + 5% for level tolerance; dry factor 1.30</t>
  </si>
  <si>
    <t xml:space="preserve">FIN-WPF-001</t>
  </si>
  <si>
    <t xml:space="preserve">Waterproofing</t>
  </si>
  <si>
    <t xml:space="preserve">Torch-on APP membrane</t>
  </si>
  <si>
    <t xml:space="preserve">Providing and applying one layer 4-thick APP modified bitumen membrane, torch-applied over bitumen primer on roof/terrace slabs incl. upstands, laps and angle fillets, complete in all respects.</t>
  </si>
  <si>
    <t xml:space="preserve">Primer 0.023 litre/Sft; membrane with W_Mem laps; protection screed measured separately</t>
  </si>
  <si>
    <t xml:space="preserve">Membrane often client-supplied – set MAT-MEM-APP consumption to 0 in that case.</t>
  </si>
  <si>
    <t xml:space="preserve">FIN-WPF-002</t>
  </si>
  <si>
    <t xml:space="preserve">Cementitious 2 coats</t>
  </si>
  <si>
    <t xml:space="preserve">Providing and applying two-coat polymer-modified cementitious waterproofing to toilets, wet areas and tanks, including surface preparation and corner reinforcement, complete in all respects.</t>
  </si>
  <si>
    <t xml:space="preserve">Total consumption 0.19 kg/Sft (2 coats) – confirm with product data sheet</t>
  </si>
  <si>
    <t xml:space="preserve">FIN-WPF-003</t>
  </si>
  <si>
    <t xml:space="preserve">DPC 1.5" + bitumen</t>
  </si>
  <si>
    <t xml:space="preserve">Providing and laying 1.5" thick damp proof course in cement concrete 1:2:4 with two coats of hot bitumen at plinth level, complete in all respects.</t>
  </si>
  <si>
    <t xml:space="preserve">0.125 cft concrete per Sft; hot bitumen 0.10 kg/Sft (2 coats)</t>
  </si>
  <si>
    <t xml:space="preserve">FIN-FLR-001</t>
  </si>
  <si>
    <t xml:space="preserve">Flooring</t>
  </si>
  <si>
    <t xml:space="preserve">Porcelain 24"x24"</t>
  </si>
  <si>
    <t xml:space="preserve">Providing and laying 24"x24" porcelain floor tiles of approved make on cementitious tile adhesive over prepared screed, including grouting, cleaning and protection, complete in all respects.</t>
  </si>
  <si>
    <t xml:space="preserve">Tile per selected product (PC); adhesive 1/60; 1/8" joints</t>
  </si>
  <si>
    <t xml:space="preserve">Tile rate is a PC rate – set to selected series. Screed measured separately.</t>
  </si>
  <si>
    <t xml:space="preserve">FIN-FLR-002</t>
  </si>
  <si>
    <t xml:space="preserve">Ceramic floor tile</t>
  </si>
  <si>
    <t xml:space="preserve">Providing and laying ceramic floor tiles of approved make on cementitious tile adhesive over prepared screed, including grouting, cleaning and protection, complete in all respects.</t>
  </si>
  <si>
    <t xml:space="preserve">FIN-WAL-001</t>
  </si>
  <si>
    <t xml:space="preserve">Wall finishes</t>
  </si>
  <si>
    <t xml:space="preserve">Ceramic wall tile</t>
  </si>
  <si>
    <t xml:space="preserve">Providing and fixing ceramic wall tiles of approved make on cementitious tile adhesive over plastered surface, including grouting, cutting around fixtures and cleaning, complete in all respects.</t>
  </si>
  <si>
    <t xml:space="preserve">Tile per selected product (PC); adhesive 1/90; 1/8" joints</t>
  </si>
  <si>
    <t xml:space="preserve">FIN-WAL-002</t>
  </si>
  <si>
    <t xml:space="preserve">Porcelain wall tile</t>
  </si>
  <si>
    <t xml:space="preserve">Providing and fixing porcelain wall tiles of approved make on cementitious tile adhesive, including grouting and cleaning, complete in all respects.</t>
  </si>
  <si>
    <t xml:space="preserve">FIN-FLR-003</t>
  </si>
  <si>
    <t xml:space="preserve">Marble Ziarat White 3/4"</t>
  </si>
  <si>
    <t xml:space="preserve">Providing and laying Marble Ziarat White 3/4" marble flooring in 1" thick cement sand mortar 1:4 with cement slurry, including jointing and curing, complete in all respects; grinding and polishing measured separately.</t>
  </si>
  <si>
    <t xml:space="preserve">Mortar bed 0.0833 ft × DryF_Mortar; cement slurry 0.005 bag/Sft</t>
  </si>
  <si>
    <t xml:space="preserve">Marble rate from UNDATED source – flagged OLD RATE until verified.</t>
  </si>
  <si>
    <t xml:space="preserve">FIN-FLR-004</t>
  </si>
  <si>
    <t xml:space="preserve">Marble Tavera 3/4"</t>
  </si>
  <si>
    <t xml:space="preserve">Providing and laying Marble Tavera 3/4" marble flooring in 1" thick cement sand mortar 1:4 with cement slurry, including jointing and curing, complete in all respects; grinding and polishing measured separately.</t>
  </si>
  <si>
    <t xml:space="preserve">FIN-CLG-001</t>
  </si>
  <si>
    <t xml:space="preserve">Ceilings</t>
  </si>
  <si>
    <t xml:space="preserve">Gypsum 1/2" standard</t>
  </si>
  <si>
    <t xml:space="preserve">Providing and fixing concealed-grid suspended ceiling of Gypsum 1/2" standard gypsum board on GI main and furring channels with hangers, wall angle, screws, joint tape and compound, ready to receive paint, complete in all respects; painting measured separately.</t>
  </si>
  <si>
    <t xml:space="preserve">Component qty per Sft (for procurement): board 1/32 sheet; main channel 0.25 Rft; furring 0.50 Rft; wall angle 0.20 Rft; hangers 1/16 Nos; screws 1.56 Nos; tape 0.35 Rft; compound 0.042 kg. Priced as Punjab MRS system material (Ch.9 item 49).</t>
  </si>
  <si>
    <t xml:space="preserve">Benchmark supply+fix Rs220–350/Sft (SRC-18) / Rs250–400 (SRC-19) – compare once red inputs are filled. Access scaffold extra above 12 ft.</t>
  </si>
  <si>
    <t xml:space="preserve">FIN-CLG-002</t>
  </si>
  <si>
    <t xml:space="preserve">Gypsum 1/2" moisture-resistant</t>
  </si>
  <si>
    <t xml:space="preserve">Providing and fixing concealed-grid suspended ceiling of Gypsum 1/2" moisture-resistant gypsum board on GI main and furring channels with hangers, wall angle, screws, joint tape and compound, ready to receive paint, complete in all respects; painting measured separately.</t>
  </si>
  <si>
    <t xml:space="preserve">FIN-PNT-001</t>
  </si>
  <si>
    <t xml:space="preserve">Painting</t>
  </si>
  <si>
    <t xml:space="preserve">Plastic emulsion – internal</t>
  </si>
  <si>
    <t xml:space="preserve">Providing and applying plastic emulsion paint to internal plastered walls/ceilings: one coat primer, two coats putty sanded smooth and two finish coats, complete in all respects.</t>
  </si>
  <si>
    <t xml:space="preserve">Primer 1 coat @350 Sft/gal; putty 0.10 kg/Sft (2 coats); emulsion 2 coats @350 Sft/gal/coat</t>
  </si>
  <si>
    <t xml:space="preserve">Coverage 350 Sft/gallon/coat is an assumption – check product data sheet.</t>
  </si>
  <si>
    <t xml:space="preserve">FIN-PNT-002</t>
  </si>
  <si>
    <t xml:space="preserve">Weather shield – external</t>
  </si>
  <si>
    <t xml:space="preserve">Providing and applying exterior weather-shield acrylic paint to external plastered surfaces: one coat alkali-resistant primer and two finish coats, complete in all respects; scaffolding/cradle measured separately.</t>
  </si>
  <si>
    <t xml:space="preserve">Primer @350 Sft/gal; 2 finish coats @300 Sft/gal/coat</t>
  </si>
  <si>
    <t xml:space="preserve">Elevation access (scaffold/cradle) is a separate item per house rule.</t>
  </si>
  <si>
    <t xml:space="preserve">PRE-GEN-001</t>
  </si>
  <si>
    <t xml:space="preserve">Prelims</t>
  </si>
  <si>
    <t xml:space="preserve">Scaffolding</t>
  </si>
  <si>
    <t xml:space="preserve">External scaffold / month</t>
  </si>
  <si>
    <t xml:space="preserve">Providing, erecting, maintaining for one month and dismantling steel tubular scaffolding to external elevations, complete in all respects.</t>
  </si>
  <si>
    <t xml:space="preserve">Per Sft of elevation per month; erection+dismantle 1 scaffolder + 2 helpers 400 Sft/day (assumption)</t>
  </si>
  <si>
    <t xml:space="preserve">PRE-GEN-002</t>
  </si>
  <si>
    <t xml:space="preserve">Debris</t>
  </si>
  <si>
    <t xml:space="preserve">Debris removal off-site</t>
  </si>
  <si>
    <t xml:space="preserve">Collecting, loading and carting away construction debris to approved dump, complete in all respects.</t>
  </si>
  <si>
    <t xml:space="preserve">Per cft loose; 2 helpers load 150 cft/day (assumption)</t>
  </si>
  <si>
    <t xml:space="preserve">CIV-EW-001</t>
  </si>
  <si>
    <t xml:space="preserve">Earthwork</t>
  </si>
  <si>
    <t xml:space="preserve">Machine – ordinary soil</t>
  </si>
  <si>
    <t xml:space="preserve">Excavation in ordinary soil by excavator for foundations/basement, including trimming, dressing and stacking within 150 ft, complete in all respects; disposal measured separately.</t>
  </si>
  <si>
    <t xml:space="preserve">Excavator output 350 cft/hour (assumption); 1 helper per 1,000 cft trimming</t>
  </si>
  <si>
    <t xml:space="preserve">CIV-EW-002</t>
  </si>
  <si>
    <t xml:space="preserve">Machine – hard soil</t>
  </si>
  <si>
    <t xml:space="preserve">Excavation in hard soil by excavator for foundations/basement, including trimming, dressing and stacking within 150 ft, complete in all respects; disposal measured separately.</t>
  </si>
  <si>
    <t xml:space="preserve">Excavator output 200 cft/hour (assumption); 1 helper per 1,000 cft trimming</t>
  </si>
  <si>
    <t xml:space="preserve">CIV-EW-003</t>
  </si>
  <si>
    <t xml:space="preserve">Manual – ordinary soil</t>
  </si>
  <si>
    <t xml:space="preserve">Excavation by manual labour in ordinary soil in trenches up to 5 ft deep, including trimming and stacking, complete in all respects.</t>
  </si>
  <si>
    <t xml:space="preserve">1 helper excavates 80 cft/day (assumption)</t>
  </si>
  <si>
    <t xml:space="preserve">CIV-EW-004</t>
  </si>
  <si>
    <t xml:space="preserve">Backfill – excavated material</t>
  </si>
  <si>
    <t xml:space="preserve">Backfilling with selected excavated material in 6" layers, watered and compacted with plate compactor to 95% MDD, complete in all respects.</t>
  </si>
  <si>
    <t xml:space="preserve">2 helpers + 1 compactor 200 cft/day; water 1.0 litre/cft (assumption)</t>
  </si>
  <si>
    <t xml:space="preserve">CIV-EW-005</t>
  </si>
  <si>
    <t xml:space="preserve">Imported sand fill</t>
  </si>
  <si>
    <t xml:space="preserve">Providing and filling Ravi sand under floors in 6" layers, watered and compacted, complete in all respects.</t>
  </si>
  <si>
    <t xml:space="preserve">1.20 cft loose per cft compacted</t>
  </si>
  <si>
    <t xml:space="preserve">CIV-EW-006</t>
  </si>
  <si>
    <t xml:space="preserve">Disposal of surplus earth</t>
  </si>
  <si>
    <t xml:space="preserve">Loading surplus excavated earth by machine and disposing within 5-mile lead, complete in all respects.</t>
  </si>
  <si>
    <t xml:space="preserve">Bulking 1.25; loading 500 cft/hour</t>
  </si>
  <si>
    <t xml:space="preserve">CIV-EW-007</t>
  </si>
  <si>
    <t xml:space="preserve">Anti-termite treatment</t>
  </si>
  <si>
    <t xml:space="preserve">Providing anti-termite treatment to foundation bottoms, sides and under floors with approved chemical emulsion, complete in all respects.</t>
  </si>
  <si>
    <t xml:space="preserve">Concentrate 0.005 litre/Sft (assumption – follow product label)</t>
  </si>
  <si>
    <t xml:space="preserve">FIN-DOR-001</t>
  </si>
  <si>
    <t xml:space="preserve">Doors</t>
  </si>
  <si>
    <t xml:space="preserve">Flush door 3'x7' complete</t>
  </si>
  <si>
    <t xml:space="preserve">Providing and fixing 1.75" solid-core veneered flush door 3'x7' in deodar frame 3"x5" with SS hinges, mortice lock, stopper and polish, complete in all respects.</t>
  </si>
  <si>
    <t xml:space="preserve">Leaf 21 Sft; frame 17 Rft × 0.1042 Sft section = 1.77 cft; polish 50 Sft</t>
  </si>
  <si>
    <t xml:space="preserve">Nos</t>
  </si>
  <si>
    <t xml:space="preserve">FIN-DOR-002</t>
  </si>
  <si>
    <t xml:space="preserve">Fire door 90 min 3'x7'</t>
  </si>
  <si>
    <t xml:space="preserve">Supplying and installing 90-minute fire-rated steel door set 3'x7' complete with frame and certified ironmongery, complete in all respects.</t>
  </si>
  <si>
    <t xml:space="preserve">Vendor supply; installation labour 0.5 carpenter-day</t>
  </si>
  <si>
    <t xml:space="preserve">FIN-WIN-001</t>
  </si>
  <si>
    <t xml:space="preserve">Windows</t>
  </si>
  <si>
    <t xml:space="preserve">Aluminium sliding window</t>
  </si>
  <si>
    <t xml:space="preserve">Supplying, fabricating and installing aluminium sliding window with glazing and hardware, sealed with silicone, complete in all respects.</t>
  </si>
  <si>
    <t xml:space="preserve">Perimeter sealant 1 cartridge per 75 Sft (assumption); installation 50 Sft/day glazier + helper</t>
  </si>
  <si>
    <t xml:space="preserve">FIN-WIN-002</t>
  </si>
  <si>
    <t xml:space="preserve">uPVC window</t>
  </si>
  <si>
    <t xml:space="preserve">Supplying, fabricating and installing upvc window with glazing and hardware, sealed with silicone, complete in all respects.</t>
  </si>
  <si>
    <t xml:space="preserve">FIN-JNR-001</t>
  </si>
  <si>
    <t xml:space="preserve">Joinery</t>
  </si>
  <si>
    <t xml:space="preserve">Kitchen base cabinet</t>
  </si>
  <si>
    <t xml:space="preserve">Providing and fixing kitchen base cabinet 2'-0" deep x 2'-10" high in laminated 3/4" board with hardware, excluding worktop, complete in all respects.</t>
  </si>
  <si>
    <t xml:space="preserve">Carcass &amp; shutters 12 Sft board per Rft = 0.375 sheet</t>
  </si>
  <si>
    <t xml:space="preserve">Rft</t>
  </si>
  <si>
    <t xml:space="preserve">FAC-CW-001</t>
  </si>
  <si>
    <t xml:space="preserve">Façade</t>
  </si>
  <si>
    <t xml:space="preserve">Curtain wall</t>
  </si>
  <si>
    <t xml:space="preserve">Unitized curtain wall</t>
  </si>
  <si>
    <t xml:space="preserve">Supplying and installing unitized aluminium curtain wall with DGU, brackets, fire-stop and sealants, complete in all respects.</t>
  </si>
  <si>
    <t xml:space="preserve">Vendor system rate; fire-stop 0.10 Rft/Sft; access by cradle</t>
  </si>
  <si>
    <t xml:space="preserve">FAC-ACP-001</t>
  </si>
  <si>
    <t xml:space="preserve">Cladding</t>
  </si>
  <si>
    <t xml:space="preserve">ACP cladding</t>
  </si>
  <si>
    <t xml:space="preserve">Providing and fixing PVDF aluminium composite panel cladding on aluminium subframe with brackets, anchors and weather-seal, complete in all respects.</t>
  </si>
  <si>
    <t xml:space="preserve">Panel 1.15 Sft/Sft (folds+waste); subframe 0.8 kg/Sft; brackets 0.25/Sft; 1 cartridge/40 Sft (assumptions)</t>
  </si>
  <si>
    <t xml:space="preserve">FAC-STN-001</t>
  </si>
  <si>
    <t xml:space="preserve">Granite dry cladding</t>
  </si>
  <si>
    <t xml:space="preserve">Providing and fixing 1.25" granite cladding with SS 316 anchors, open/sealed joints, complete in all respects.</t>
  </si>
  <si>
    <t xml:space="preserve">Stone 1.07 Sft/Sft; anchors 1.0/Sft (4 per 2'x2' slab shared); 30 Sft/day</t>
  </si>
  <si>
    <t xml:space="preserve">EXT-PAV-001</t>
  </si>
  <si>
    <t xml:space="preserve">External</t>
  </si>
  <si>
    <t xml:space="preserve">Paving</t>
  </si>
  <si>
    <t xml:space="preserve">Tuff tile on sand bed</t>
  </si>
  <si>
    <t xml:space="preserve">Providing and laying grey tuff tiles on 2" compacted sand bed with sand-filled joints, compacted with plate compactor, complete in all respects; edge restraint measured separately.</t>
  </si>
  <si>
    <t xml:space="preserve">Tile 1.03 Sft/Sft; Ravi sand 0.1667 ft × 1.20; 1 mason + 2 helpers 300 Sft/day</t>
  </si>
  <si>
    <t xml:space="preserve">EXT-KRB-001</t>
  </si>
  <si>
    <t xml:space="preserve">Kerbs</t>
  </si>
  <si>
    <t xml:space="preserve">Precast kerb</t>
  </si>
  <si>
    <t xml:space="preserve">Providing and laying precast concrete kerb on 1:4:8 PCC bedding and haunching, pointed in 1:3 mortar, complete in all respects.</t>
  </si>
  <si>
    <t xml:space="preserve">PCC 0.25 cft/Rft (nominal 1:4:8 materials); 60 Rft/day</t>
  </si>
  <si>
    <t xml:space="preserve">EXT-RD-001</t>
  </si>
  <si>
    <t xml:space="preserve">Roads</t>
  </si>
  <si>
    <t xml:space="preserve">Granular subbase</t>
  </si>
  <si>
    <t xml:space="preserve">Providing, laying and compacting granular subbase in 6" layers to 98% MDD, complete in all respects.</t>
  </si>
  <si>
    <t xml:space="preserve">1.25 cft loose per cft compacted; roller 3,000 cft/day</t>
  </si>
  <si>
    <t xml:space="preserve">EXT-RD-002</t>
  </si>
  <si>
    <t xml:space="preserve">Asphalt 2" wearing course</t>
  </si>
  <si>
    <t xml:space="preserve">Providing and laying 2" asphaltic concrete wearing course incl. tack coat, compacted, complete in all respects.</t>
  </si>
  <si>
    <t xml:space="preserve">Sub-contract supply &amp; lay rate</t>
  </si>
  <si>
    <t xml:space="preserve">EXT-DRN-001</t>
  </si>
  <si>
    <t xml:space="preserve">Drainage</t>
  </si>
  <si>
    <t xml:space="preserve">Brick manhole 3'x3'x5'</t>
  </si>
  <si>
    <t xml:space="preserve">Constructing brick manhole 3'x3' internal, 5' deep, 9" walls in 1:6 on 6" PCC 1:4:8 base, ½" plaster 1:3 inside, with cover and frame, complete in all respects; excavation measured separately.</t>
  </si>
  <si>
    <t xml:space="preserve">Walls 4×3.75×0.75×5 = 56.25 cft; base 5.25×5.25×0.5 = 13.78 cft; plaster 4×3×5+9 = 69 Sft</t>
  </si>
  <si>
    <t xml:space="preserve">EXT-LND-001</t>
  </si>
  <si>
    <t xml:space="preserve">Landscaping</t>
  </si>
  <si>
    <t xml:space="preserve">Grass turfing</t>
  </si>
  <si>
    <t xml:space="preserve">Providing and laying grass turf on prepared ground, watered and maintained till establishment, complete in all respects.</t>
  </si>
  <si>
    <t xml:space="preserve">1 helper 500 Sft/day</t>
  </si>
  <si>
    <t xml:space="preserve">PLB-PPR-075</t>
  </si>
  <si>
    <t xml:space="preserve">Plumbing</t>
  </si>
  <si>
    <t xml:space="preserve">Water supply</t>
  </si>
  <si>
    <t xml:space="preserve">PPR PN-20 1/2"</t>
  </si>
  <si>
    <t xml:space="preserve">Providing and fixing PPR PN-20 pipe 1/2" with fusion-welded fittings and clamps, concealed or exposed, pressure-tested, complete in all respects.</t>
  </si>
  <si>
    <t xml:space="preserve">Fittings per Rft: elbow 0.15, socket 1/13.12, tee 0.08 (assumptions); fittings column mapping to verify</t>
  </si>
  <si>
    <t xml:space="preserve">PLB-PPR-100</t>
  </si>
  <si>
    <t xml:space="preserve">PPR PN-20 3/4"</t>
  </si>
  <si>
    <t xml:space="preserve">Providing and fixing PPR PN-20 pipe 3/4" with fusion-welded fittings and clamps, concealed or exposed, pressure-tested, complete in all respects.</t>
  </si>
  <si>
    <t xml:space="preserve">PLB-PPR-125</t>
  </si>
  <si>
    <t xml:space="preserve">PPR PN-20 1"</t>
  </si>
  <si>
    <t xml:space="preserve">Providing and fixing PPR PN-20 pipe 1" with fusion-welded fittings and clamps, concealed or exposed, pressure-tested, complete in all respects.</t>
  </si>
  <si>
    <t xml:space="preserve">PLB-PPR-150</t>
  </si>
  <si>
    <t xml:space="preserve">PPR PN-20 1-1/4"</t>
  </si>
  <si>
    <t xml:space="preserve">Providing and fixing PPR PN-20 pipe 1-1/4" with fusion-welded fittings and clamps, concealed or exposed, pressure-tested, complete in all respects.</t>
  </si>
  <si>
    <t xml:space="preserve">PLB-PPR-175</t>
  </si>
  <si>
    <t xml:space="preserve">PPR PN-20 1-1/2"</t>
  </si>
  <si>
    <t xml:space="preserve">Providing and fixing PPR PN-20 pipe 1-1/2" with fusion-welded fittings and clamps, concealed or exposed, pressure-tested, complete in all respects.</t>
  </si>
  <si>
    <t xml:space="preserve">PLB-PPR-200</t>
  </si>
  <si>
    <t xml:space="preserve">PPR PN-20 2"</t>
  </si>
  <si>
    <t xml:space="preserve">Providing and fixing PPR PN-20 pipe 2" with fusion-welded fittings and clamps, concealed or exposed, pressure-tested, complete in all respects.</t>
  </si>
  <si>
    <t xml:space="preserve">PLB-PPR-250</t>
  </si>
  <si>
    <t xml:space="preserve">PPR PN-20 2-1/2"</t>
  </si>
  <si>
    <t xml:space="preserve">Providing and fixing PPR PN-20 pipe 2-1/2" with fusion-welded fittings and clamps, concealed or exposed, pressure-tested, complete in all respects.</t>
  </si>
  <si>
    <t xml:space="preserve">PLB-PPR-300</t>
  </si>
  <si>
    <t xml:space="preserve">PPR PN-20 3"</t>
  </si>
  <si>
    <t xml:space="preserve">Providing and fixing PPR PN-20 pipe 3" with fusion-welded fittings and clamps, concealed or exposed, pressure-tested, complete in all respects.</t>
  </si>
  <si>
    <t xml:space="preserve">PLB-PPR-400</t>
  </si>
  <si>
    <t xml:space="preserve">PPR PN-20 4"</t>
  </si>
  <si>
    <t xml:space="preserve">Providing and fixing PPR PN-20 pipe 4" with fusion-welded fittings and clamps, concealed or exposed, pressure-tested, complete in all respects.</t>
  </si>
  <si>
    <t xml:space="preserve">PLB-SWV-200</t>
  </si>
  <si>
    <t xml:space="preserve">uPVC SWV 2"</t>
  </si>
  <si>
    <t xml:space="preserve">Providing and fixing uPVC soil/waste/vent pipe 2" to BS EN 1329 with solvent-welded fittings and clamps, tested, complete in all respects.</t>
  </si>
  <si>
    <t xml:space="preserve">Fittings 0.10 elbow + 0.08 tee per Rft; solvent 0.005 kg/Rft; 60 Rft/day (assumptions)</t>
  </si>
  <si>
    <t xml:space="preserve">PLB-SWV-300</t>
  </si>
  <si>
    <t xml:space="preserve">uPVC SWV 3"</t>
  </si>
  <si>
    <t xml:space="preserve">Providing and fixing uPVC soil/waste/vent pipe 3" to BS EN 1329 with solvent-welded fittings and clamps, tested, complete in all respects.</t>
  </si>
  <si>
    <t xml:space="preserve">PLB-SWV-400</t>
  </si>
  <si>
    <t xml:space="preserve">uPVC SWV 4"</t>
  </si>
  <si>
    <t xml:space="preserve">Providing and fixing uPVC soil/waste/vent pipe 4" to BS EN 1329 with solvent-welded fittings and clamps, tested, complete in all respects.</t>
  </si>
  <si>
    <t xml:space="preserve">PLB-FIX-001</t>
  </si>
  <si>
    <t xml:space="preserve">Fixtures</t>
  </si>
  <si>
    <t xml:space="preserve">WC floor-mounted</t>
  </si>
  <si>
    <t xml:space="preserve">Supplying and fixing floor-mounted WC with cistern and seat, connected to supply and drainage, complete in all respects.</t>
  </si>
  <si>
    <t xml:space="preserve">PC rate fixture</t>
  </si>
  <si>
    <t xml:space="preserve">PLB-FIX-002</t>
  </si>
  <si>
    <t xml:space="preserve">Wash basin with mixer</t>
  </si>
  <si>
    <t xml:space="preserve">Supplying and fixing wash basin with pedestal and mixer, bottle trap and connections, complete in all respects.</t>
  </si>
  <si>
    <t xml:space="preserve">FF-PIP-100</t>
  </si>
  <si>
    <t xml:space="preserve">Fire fighting</t>
  </si>
  <si>
    <t xml:space="preserve">Piping</t>
  </si>
  <si>
    <t xml:space="preserve">Black steel Sch-40 1"</t>
  </si>
  <si>
    <t xml:space="preserve">Providing and installing black steel Sch-40 pipe 1" for fire-fighting with fittings, hangers and red enamel, hydro-tested, complete in all respects.</t>
  </si>
  <si>
    <t xml:space="preserve">40 Rft/day pipe fitter + helper (assumption)</t>
  </si>
  <si>
    <t xml:space="preserve">FF-PIP-200</t>
  </si>
  <si>
    <t xml:space="preserve">Black steel Sch-40 2"</t>
  </si>
  <si>
    <t xml:space="preserve">Providing and installing black steel Sch-40 pipe 2" for fire-fighting with fittings, hangers and red enamel, hydro-tested, complete in all respects.</t>
  </si>
  <si>
    <t xml:space="preserve">FF-PIP-400</t>
  </si>
  <si>
    <t xml:space="preserve">Black steel Sch-40 4" grooved</t>
  </si>
  <si>
    <t xml:space="preserve">Providing and installing black steel Sch-40 pipe 4" grooved for fire-fighting with fittings, hangers and red enamel, hydro-tested, complete in all respects.</t>
  </si>
  <si>
    <t xml:space="preserve">FF-SPL-001</t>
  </si>
  <si>
    <t xml:space="preserve">Sprinklers</t>
  </si>
  <si>
    <t xml:space="preserve">Pendent sprinkler incl. drop</t>
  </si>
  <si>
    <t xml:space="preserve">Supplying and installing pendent sprinkler head with 1" drop (avg 3 Rft), complete in all respects.</t>
  </si>
  <si>
    <t xml:space="preserve">Drop 3 Rft of 1" pipe</t>
  </si>
  <si>
    <t xml:space="preserve">FF-HR-001</t>
  </si>
  <si>
    <t xml:space="preserve">Hose reels</t>
  </si>
  <si>
    <t xml:space="preserve">Hose reel cabinet</t>
  </si>
  <si>
    <t xml:space="preserve">Supplying and installing hose reel cabinet complete with reel, valve and nozzle, complete in all respects.</t>
  </si>
  <si>
    <t xml:space="preserve">Vendor supply</t>
  </si>
  <si>
    <t xml:space="preserve">ELE-CND-075</t>
  </si>
  <si>
    <t xml:space="preserve">Electrical</t>
  </si>
  <si>
    <t xml:space="preserve">Conduits</t>
  </si>
  <si>
    <t xml:space="preserve">uPVC conduit 3/4" concealed</t>
  </si>
  <si>
    <t xml:space="preserve">Providing and laying uPVC conduit 3/4" concealed in walls/slabs including chasing and making good, sockets and bends, complete in all respects.</t>
  </si>
  <si>
    <t xml:space="preserve">1 socket per 10 ft length; 1 bend per 10 Rft; 100 Rft/day incl. chasing (assumption)</t>
  </si>
  <si>
    <t xml:space="preserve">ELE-CND-100</t>
  </si>
  <si>
    <t xml:space="preserve">uPVC conduit 1" concealed</t>
  </si>
  <si>
    <t xml:space="preserve">Providing and laying uPVC conduit 1" concealed in walls/slabs including chasing and making good, sockets and bends, complete in all respects.</t>
  </si>
  <si>
    <t xml:space="preserve">ELE-CBL-329</t>
  </si>
  <si>
    <t xml:space="preserve">Wiring</t>
  </si>
  <si>
    <t xml:space="preserve">Wire 3/.029 in conduit</t>
  </si>
  <si>
    <t xml:space="preserve">Providing and drawing single-core PVC copper wire 3/.029 (BS-2004) in conduit, complete in all respects.</t>
  </si>
  <si>
    <t xml:space="preserve">800 Rft/day (assumption)</t>
  </si>
  <si>
    <t xml:space="preserve">ELE-CBL-729</t>
  </si>
  <si>
    <t xml:space="preserve">Wire 7/.029 in conduit</t>
  </si>
  <si>
    <t xml:space="preserve">Providing and drawing single-core PVC copper wire 7/.029 (BS-2004) in conduit, complete in all respects.</t>
  </si>
  <si>
    <t xml:space="preserve">ELE-CBL-744</t>
  </si>
  <si>
    <t xml:space="preserve">Wire 7/.044 in conduit</t>
  </si>
  <si>
    <t xml:space="preserve">Providing and drawing single-core PVC copper wire 7/.044 (BS-2004) in conduit, complete in all respects.</t>
  </si>
  <si>
    <t xml:space="preserve">ELE-PNT-001</t>
  </si>
  <si>
    <t xml:space="preserve">Points</t>
  </si>
  <si>
    <t xml:space="preserve">Light point complete</t>
  </si>
  <si>
    <t xml:space="preserve">Wiring a light point with 3/.029 wires (phase, neutral, earth) in 3/4" uPVC conduit, avg 25 Rft run, with switch, boxes, complete in all respects.</t>
  </si>
  <si>
    <t xml:space="preserve">Conduit 25 Rft; wire 3×25 = 75 Rft</t>
  </si>
  <si>
    <t xml:space="preserve">ELE-PNT-002</t>
  </si>
  <si>
    <t xml:space="preserve">15A power point complete</t>
  </si>
  <si>
    <t xml:space="preserve">Wiring a 15A power point with 7/.029 wires in 3/4" uPVC conduit, avg 30 Rft run, with socket and box, complete in all respects.</t>
  </si>
  <si>
    <t xml:space="preserve">Conduit 30 Rft; wire 3×30 = 90 Rft</t>
  </si>
  <si>
    <t xml:space="preserve">ELE-ERT-001</t>
  </si>
  <si>
    <t xml:space="preserve">Earthing</t>
  </si>
  <si>
    <t xml:space="preserve">Earth pit</t>
  </si>
  <si>
    <t xml:space="preserve">Constructing earth pit with copper electrode, GI pipe, earth-enhancing compound and inspection chamber, tested, complete in all respects.</t>
  </si>
  <si>
    <t xml:space="preserve">Materials as set</t>
  </si>
  <si>
    <t xml:space="preserve">ELE-DB-001</t>
  </si>
  <si>
    <t xml:space="preserve">Distribution</t>
  </si>
  <si>
    <t xml:space="preserve">DB supply &amp; install</t>
  </si>
  <si>
    <t xml:space="preserve">Supplying and installing populated distribution board, terminated and tested, complete in all respects.</t>
  </si>
  <si>
    <t xml:space="preserve">ELV-CCTV-001</t>
  </si>
  <si>
    <t xml:space="preserve">CCTV</t>
  </si>
  <si>
    <t xml:space="preserve">IP camera point</t>
  </si>
  <si>
    <t xml:space="preserve">Supplying and installing IP camera with Cat-6 cable in 3/4" conduit (avg 100 Rft), terminated and configured, complete in all respects.</t>
  </si>
  <si>
    <t xml:space="preserve">Conduit 100 Rft; Cat-6 100 Rft</t>
  </si>
  <si>
    <t xml:space="preserve">LS-FA-001</t>
  </si>
  <si>
    <t xml:space="preserve">Life safety</t>
  </si>
  <si>
    <t xml:space="preserve">Fire alarm</t>
  </si>
  <si>
    <t xml:space="preserve">Smoke detector point</t>
  </si>
  <si>
    <t xml:space="preserve">Supplying and installing addressable smoke detector with base, fire-rated cable in 3/4" conduit (avg 30 Rft), tested, complete in all respects.</t>
  </si>
  <si>
    <t xml:space="preserve">Conduit 30 Rft; FR cable 30 Rft</t>
  </si>
  <si>
    <t xml:space="preserve">MEP-HVAC-001</t>
  </si>
  <si>
    <t xml:space="preserve">Ductwork</t>
  </si>
  <si>
    <t xml:space="preserve">GI rectangular duct</t>
  </si>
  <si>
    <t xml:space="preserve">Fabricating and installing GI rectangular ductwork with joints, sealant and hangers, measured on duct surface area, complete in all respects.</t>
  </si>
  <si>
    <t xml:space="preserve">GI 0.60 kg/Sft incl. seams (assumption); hangers 0.10/Sft; 50 Sft/day</t>
  </si>
  <si>
    <t xml:space="preserve">MEP-HVAC-002</t>
  </si>
  <si>
    <t xml:space="preserve">Insulation</t>
  </si>
  <si>
    <t xml:space="preserve">Duct insulation 1"</t>
  </si>
  <si>
    <t xml:space="preserve">Providing and fixing 1" duct insulation with foil facing, taped joints, complete in all respects.</t>
  </si>
  <si>
    <t xml:space="preserve">150 Sft/day</t>
  </si>
  <si>
    <t xml:space="preserve">MEP-HVAC-003</t>
  </si>
  <si>
    <t xml:space="preserve">Split units</t>
  </si>
  <si>
    <t xml:space="preserve">Split AC 1.5 ton</t>
  </si>
  <si>
    <t xml:space="preserve">Supplying and installing 1.5-ton inverter split AC with 15 Rft insulated copper pipe pair, drain and brackets, commissioned, complete in all respects.</t>
  </si>
  <si>
    <t xml:space="preserve">Copper 15 Rft; drain 15 Rft of 3/4" PPR</t>
  </si>
  <si>
    <t xml:space="preserve">LFT-001</t>
  </si>
  <si>
    <t xml:space="preserve">Lifts</t>
  </si>
  <si>
    <t xml:space="preserve">Passenger lifts</t>
  </si>
  <si>
    <t xml:space="preserve">Passenger lift (vendor)</t>
  </si>
  <si>
    <t xml:space="preserve">Supplying, installing, testing and commissioning passenger lift per specification, complete in all respects.</t>
  </si>
  <si>
    <t xml:space="preserve">Vendor-priced only – no build-up fabricated</t>
  </si>
  <si>
    <t xml:space="preserve">MISC-RLG-001</t>
  </si>
  <si>
    <t xml:space="preserve">Misc</t>
  </si>
  <si>
    <t xml:space="preserve">Railings</t>
  </si>
  <si>
    <t xml:space="preserve">SS 304 handrail</t>
  </si>
  <si>
    <t xml:space="preserve">Providing and fixing SS 304 handrail 2" dia on SS posts @4 ft, welded and polished, complete in all respects.</t>
  </si>
  <si>
    <t xml:space="preserve">Posts 0.25/Rft; 15 Rft/day</t>
  </si>
  <si>
    <t xml:space="preserve">MISC-GLB-001</t>
  </si>
  <si>
    <t xml:space="preserve">Balustrades</t>
  </si>
  <si>
    <t xml:space="preserve">Glass balustrade</t>
  </si>
  <si>
    <t xml:space="preserve">Providing and fixing 1/2" toughened glass balustrade 3'-6" high in SS spigots, complete in all respects.</t>
  </si>
  <si>
    <t xml:space="preserve">Glass 3.5 Sft/Rft; spigots 0.5/Rft; 10 Rft/day</t>
  </si>
  <si>
    <t xml:space="preserve">ELE-CND-050</t>
  </si>
  <si>
    <t xml:space="preserve">uPVC conduit 1/2"</t>
  </si>
  <si>
    <t xml:space="preserve">Providing and laying uPVC conduit 1/2" concealed/exposed including sockets, bends, saddles and making good, complete in all respects.</t>
  </si>
  <si>
    <t xml:space="preserve">1 socket &amp; 1 bend per 10 Rft; 120 Rft/day</t>
  </si>
  <si>
    <t xml:space="preserve">ELE-CND-125</t>
  </si>
  <si>
    <t xml:space="preserve">uPVC conduit 1-1/4"</t>
  </si>
  <si>
    <t xml:space="preserve">Providing and laying uPVC conduit 1-1/4" concealed/exposed including sockets, bends, saddles and making good, complete in all respects.</t>
  </si>
  <si>
    <t xml:space="preserve">1 socket &amp; 1 bend per 10 Rft; 70 Rft/day</t>
  </si>
  <si>
    <t xml:space="preserve">ELE-CND-150</t>
  </si>
  <si>
    <t xml:space="preserve">uPVC conduit 1-1/2"</t>
  </si>
  <si>
    <t xml:space="preserve">Providing and laying uPVC conduit 1-1/2" concealed/exposed including sockets, bends, saddles and making good, complete in all respects.</t>
  </si>
  <si>
    <t xml:space="preserve">ELE-CND-200</t>
  </si>
  <si>
    <t xml:space="preserve">uPVC conduit 2"</t>
  </si>
  <si>
    <t xml:space="preserve">Providing and laying uPVC conduit 2" concealed/exposed including sockets, bends, saddles and making good, complete in all respects.</t>
  </si>
  <si>
    <t xml:space="preserve">FIN-FLR-005</t>
  </si>
  <si>
    <t xml:space="preserve">Vinyl / SPC plank</t>
  </si>
  <si>
    <t xml:space="preserve">Providing and laying vinyl/SPC plank flooring of approved make over levelled screed, including adhesive/underlay as required and trims, complete in all respects.</t>
  </si>
  <si>
    <t xml:space="preserve">Plank 1.07 Sft/Sft; adhesive 0.03 kg/Sft (glue-down); 250 Sft/day</t>
  </si>
  <si>
    <t xml:space="preserve">FIN-FLR-006</t>
  </si>
  <si>
    <t xml:space="preserve">Laminate</t>
  </si>
  <si>
    <t xml:space="preserve">Providing and laying floating laminate flooring on foam underlay with trims, complete in all respects.</t>
  </si>
  <si>
    <t xml:space="preserve">Laminate 1.07 Sft/Sft; underlay 1.05; 250 Sft/day</t>
  </si>
  <si>
    <t xml:space="preserve">FIN-FLR-007</t>
  </si>
  <si>
    <t xml:space="preserve">Epoxy self-levelling</t>
  </si>
  <si>
    <t xml:space="preserve">Providing and applying epoxy self-levelling floor system (primer, body coat, top coat) over prepared concrete, complete in all respects.</t>
  </si>
  <si>
    <t xml:space="preserve">Total 0.35 kg/Sft (assumption – per data sheet); 400 Sft/day; benchmark installed Rs250–600/Sft (SRC-28)</t>
  </si>
  <si>
    <t xml:space="preserve">FIN-SKT-001</t>
  </si>
  <si>
    <t xml:space="preserve">Porcelain skirting 4"</t>
  </si>
  <si>
    <t xml:space="preserve">Providing and fixing 4" high porcelain tile skirting on adhesive with grouting, complete in all respects.</t>
  </si>
  <si>
    <t xml:space="preserve">0.333 Sft tile per Rft; adhesive 1/270 bag per Rft; 150 Rft/day</t>
  </si>
  <si>
    <t xml:space="preserve">FIN-PLS-003</t>
  </si>
  <si>
    <t xml:space="preserve">3/4" external 1:4</t>
  </si>
  <si>
    <t xml:space="preserve">Providing and applying 0.75" thick cement sand plaster 1:4 to external elevations (one face), including curing; scaffold/cradle measured separately, complete in all respects.</t>
  </si>
  <si>
    <t xml:space="preserve">Thickness 0.0625 ft + 20%; dry factor 1.30</t>
  </si>
  <si>
    <t xml:space="preserve">FIN-PLS-004</t>
  </si>
  <si>
    <t xml:space="preserve">3/8" ceiling 1:3</t>
  </si>
  <si>
    <t xml:space="preserve">Providing and applying 0.375" thick cement sand plaster 1:3 to RCC ceilings/soffits, including hacking and curing, complete in all respects.</t>
  </si>
  <si>
    <t xml:space="preserve">Thickness 0.0312 ft + 20%; dry factor 1.30</t>
  </si>
  <si>
    <t xml:space="preserve">FIN-SCR-004</t>
  </si>
  <si>
    <t xml:space="preserve">1" screed 1:3</t>
  </si>
  <si>
    <t xml:space="preserve">Providing and laying 1" thick cement sand screed 1:3 to floors, including bonding slurry and curing, complete in all respects.</t>
  </si>
  <si>
    <t xml:space="preserve">Thickness 0.0833 ft + 5%</t>
  </si>
  <si>
    <t xml:space="preserve">CIV-MAS-006</t>
  </si>
  <si>
    <t xml:space="preserve">Brick 9" foundation 1:4</t>
  </si>
  <si>
    <t xml:space="preserve">Providing and laying first class burnt brick masonry in foundation and plinth in cement sand mortar 1:4, complete in all respects.</t>
  </si>
  <si>
    <t xml:space="preserve">13.5 bricks/cft; wet mortar 0.25 cft/cft</t>
  </si>
  <si>
    <t xml:space="preserve">CIV-CON-019</t>
  </si>
  <si>
    <t xml:space="preserve">Nominal 1:3:6</t>
  </si>
  <si>
    <t xml:space="preserve">Providing and laying plain cement concrete 1:3:6 (nominal, site-mixed) in blinding/sub-base, including compacting and curing, complete in all respects.</t>
  </si>
  <si>
    <t xml:space="preserve">Dry factor 1.54; 1 bag = 1.25 cft</t>
  </si>
  <si>
    <t xml:space="preserve">CIV-FWK-005</t>
  </si>
  <si>
    <t xml:space="preserve">Staircase</t>
  </si>
  <si>
    <t xml:space="preserve">Providing, erecting and stripping plywood formwork to staircase waist soffit, risers and stringers incl. props, complete in all respects; contact area.</t>
  </si>
  <si>
    <t xml:space="preserve">As CIV-FWK series</t>
  </si>
  <si>
    <t xml:space="preserve">CIV-FWK-006</t>
  </si>
  <si>
    <t xml:space="preserve">Foundation sides</t>
  </si>
  <si>
    <t xml:space="preserve">Providing, erecting and stripping plywood formwork to sides of footings, rafts and ground beams, complete in all respects; contact area.</t>
  </si>
  <si>
    <t xml:space="preserve">CIV-RFT-002</t>
  </si>
  <si>
    <t xml:space="preserve">Gr.60 per ton</t>
  </si>
  <si>
    <t xml:space="preserve">Providing, cutting, bending and fixing Grade 60 reinforcement, per ton (1,000 kg), complete in all respects.</t>
  </si>
  <si>
    <t xml:space="preserve">Same basis as CIV-RFT-001 × 1,000 kg</t>
  </si>
  <si>
    <t xml:space="preserve">ton</t>
  </si>
  <si>
    <t xml:space="preserve">CIV-CON-020</t>
  </si>
  <si>
    <t xml:space="preserve">RMC 4000 PSI (GRN)</t>
  </si>
  <si>
    <t xml:space="preserve">Providing and placing ready-mix concrete 4000 PSI from approved plant, pumped, compacted and cured, complete in all respects; excluding reinforcement and formwork.</t>
  </si>
  <si>
    <t xml:space="preserve">Ready-mix per GRN (Lahore), wastage W_RMC; pump per GRN; ground-floor base</t>
  </si>
  <si>
    <t xml:space="preserve">High</t>
  </si>
  <si>
    <t xml:space="preserve">Cross-check for lab-mix site-batched rates.</t>
  </si>
  <si>
    <t xml:space="preserve">CIV-CON-021</t>
  </si>
  <si>
    <t xml:space="preserve">RMC 4500 PSI (GRN)</t>
  </si>
  <si>
    <t xml:space="preserve">Providing and placing ready-mix concrete 4500 PSI from approved plant, pumped, compacted and cured, complete in all respects; excluding reinforcement and formwork.</t>
  </si>
  <si>
    <t xml:space="preserve">CIV-CON-022</t>
  </si>
  <si>
    <t xml:space="preserve">RMC 6500 PSI (GRN)</t>
  </si>
  <si>
    <t xml:space="preserve">Providing and placing ready-mix concrete 6500 PSI from approved plant, pumped, compacted and cured, complete in all respects; excluding reinforcement and formwork.</t>
  </si>
  <si>
    <t xml:space="preserve">CIV-CON-023</t>
  </si>
  <si>
    <t xml:space="preserve">RMC Lean (GRN)</t>
  </si>
  <si>
    <t xml:space="preserve">Providing and placing ready-mix concrete Lean from approved plant, pumped, compacted and cured, complete in all respects; excluding reinforcement and formwork.</t>
  </si>
  <si>
    <t xml:space="preserve">CIV-CON-024</t>
  </si>
  <si>
    <t xml:space="preserve">Extra-over</t>
  </si>
  <si>
    <t xml:space="preserve">Extra labour over RCC items for placing concrete in 2nd and subsequent storeys, complete in all respects.</t>
  </si>
  <si>
    <t xml:space="preserve">Extra-over item – add to the base item for work at the stated level; labour only</t>
  </si>
  <si>
    <t xml:space="preserve">See 09 SOURCE REGISTER (SRC-46..48) and resource notes</t>
  </si>
  <si>
    <t xml:space="preserve">Rev07 new item. Punjab MRS Ch.6 item 6(f). Covers the lift the base items (ground-floor basis) leave out.</t>
  </si>
  <si>
    <t xml:space="preserve">CIV-MAS-007</t>
  </si>
  <si>
    <t xml:space="preserve">Extra labour over brick masonry for work in 1st floor, complete in all respects.</t>
  </si>
  <si>
    <t xml:space="preserve">Rev07 new item. Punjab MRS Ch.7 item 6(i).</t>
  </si>
  <si>
    <t xml:space="preserve">CIV-MAS-008</t>
  </si>
  <si>
    <t xml:space="preserve">Extra labour over brick masonry for work in 2nd floor, complete in all respects.</t>
  </si>
  <si>
    <t xml:space="preserve">Rev07 new item. Punjab MRS Ch.7 item 6(ii).</t>
  </si>
  <si>
    <t xml:space="preserve">CIV-MAS-009</t>
  </si>
  <si>
    <t xml:space="preserve">Extra labour over brick masonry for work in 3rd floor, complete in all respects.</t>
  </si>
  <si>
    <t xml:space="preserve">Rev07 new item. Punjab MRS Ch.7 item 6(iii).</t>
  </si>
  <si>
    <t xml:space="preserve">CIV-MAS-010</t>
  </si>
  <si>
    <t xml:space="preserve">Extra labour over brick masonry for work in 4th floor, complete in all respects.</t>
  </si>
  <si>
    <t xml:space="preserve">Rev07 new item. Punjab MRS Ch.7 item 6(iv).</t>
  </si>
  <si>
    <t xml:space="preserve">CIV-MAS-011</t>
  </si>
  <si>
    <t xml:space="preserve">Extra labour over brick masonry for each floor above the 4th floor (add per floor), complete in all respects.</t>
  </si>
  <si>
    <t xml:space="preserve">Rev07 new item. Punjab MRS Ch.7 item 6(v).</t>
  </si>
  <si>
    <t xml:space="preserve">FIN-PLS-005</t>
  </si>
  <si>
    <t xml:space="preserve">Extra labour over cement plaster for work above 20 ft height, for each additional 10 ft or part, complete in all respects.</t>
  </si>
  <si>
    <t xml:space="preserve">Rev07 new item. Punjab MRS Ch.11 item 29.</t>
  </si>
  <si>
    <t xml:space="preserve">FIN-FLR-008</t>
  </si>
  <si>
    <t xml:space="preserve">Extra labour over tile / stone / mosaic flooring for each storey above ground, complete in all respects.</t>
  </si>
  <si>
    <t xml:space="preserve">Rev07 new item. Punjab MRS Ch.10 item 19.</t>
  </si>
  <si>
    <t xml:space="preserve">PLB-HDPE-110</t>
  </si>
  <si>
    <t xml:space="preserve">MEP</t>
  </si>
  <si>
    <t xml:space="preserve">HDPE 110 mm</t>
  </si>
  <si>
    <t xml:space="preserve">Providing and fixing HDPE PN-10 pipe 110 mm with butt-fusion elbows and tees and clamps, tested, complete in all respects.</t>
  </si>
  <si>
    <t xml:space="preserve">Materials from Quadrangle GRNs (Plasco, 2024–2025); fitting frequency as the PPR items</t>
  </si>
  <si>
    <t xml:space="preserve">Rev07 new item. GRNs dated 2024–2025 (&gt;12 months) – reconfirm. Butt-fusion machine hire not priced.</t>
  </si>
  <si>
    <t xml:space="preserve">FF-LV-001</t>
  </si>
  <si>
    <t xml:space="preserve">Landing valve</t>
  </si>
  <si>
    <t xml:space="preserve">Supplying and installing 2½" flanged landing valve with blank cap, connected and tested, complete in all respects.</t>
  </si>
  <si>
    <t xml:space="preserve">Quadrangle GRN RCP (Elite Fire &amp; Safety), 21-Oct-2024</t>
  </si>
  <si>
    <t xml:space="preserve">Rev07 new item. GRN dated Oct-2024 (&gt;12 months) – reconfirm. Labour as the workbook's hose-reel assumption.</t>
  </si>
  <si>
    <t xml:space="preserve">MISC-SGN-001</t>
  </si>
  <si>
    <t xml:space="preserve">Signage</t>
  </si>
  <si>
    <t xml:space="preserve">3D acrylic</t>
  </si>
  <si>
    <t xml:space="preserve">Supplying and fixing 3D acrylic-letter signage board, measured on board face area, complete in all respects.</t>
  </si>
  <si>
    <t xml:space="preserve">Quadrangle GRN (Latitude Advertising), 16-Jan-2023: 15 ft × 4.5 ft board = 67.5 Sft</t>
  </si>
  <si>
    <t xml:space="preserve">Rev07 new item. GRN dated Jan-2023 (&gt;3 years) – indicative only, re-quote.</t>
  </si>
  <si>
    <t xml:space="preserve">PRE-GEN-003</t>
  </si>
  <si>
    <t xml:space="preserve">General</t>
  </si>
  <si>
    <t xml:space="preserve">Mobilization</t>
  </si>
  <si>
    <t xml:space="preserve">Mobilization and demobilization of plant, equipment, staff and temporary facilities, complete in all respects.</t>
  </si>
  <si>
    <t xml:space="preserve">Vendor / sub-contract supply &amp; install – enter a dated quotation in 16 RFQ</t>
  </si>
  <si>
    <t xml:space="preserve">Job</t>
  </si>
  <si>
    <t xml:space="preserve">Rev07 new item. INCOMPLETE until quoted: no dated Pakistan price found (web search 27-Sep-2026). </t>
  </si>
  <si>
    <t xml:space="preserve">PRE-GEN-004</t>
  </si>
  <si>
    <t xml:space="preserve">Site establishment</t>
  </si>
  <si>
    <t xml:space="preserve">Providing, maintaining and removing site office, stores, labour welfare and security cabin, complete in all respects.</t>
  </si>
  <si>
    <t xml:space="preserve">PRE-GEN-005</t>
  </si>
  <si>
    <t xml:space="preserve">Temporary services</t>
  </si>
  <si>
    <t xml:space="preserve">Providing and running temporary water and electricity supply for construction, per month, complete in all respects.</t>
  </si>
  <si>
    <t xml:space="preserve">Month</t>
  </si>
  <si>
    <t xml:space="preserve">Rev07 new item. INCOMPLETE until quoted: no dated Pakistan price found (web search 27-Sep-2026). Diesel is on GRN (DIESEL 392/Ltr, Phoenix RCP-311, 28-Aug-2026) if a genset build-up is preferred.</t>
  </si>
  <si>
    <t xml:space="preserve">PRE-GEN-006</t>
  </si>
  <si>
    <t xml:space="preserve">Testing</t>
  </si>
  <si>
    <t xml:space="preserve">Sampling, curing and testing concrete cylinders / cubes (set of 3) at an approved laboratory, complete in all respects.</t>
  </si>
  <si>
    <t xml:space="preserve">PRE-GEN-007</t>
  </si>
  <si>
    <t xml:space="preserve">Cleaning</t>
  </si>
  <si>
    <t xml:space="preserve">Final builder's cleaning of floors, walls, glazing and fixtures before handover, complete in all respects.</t>
  </si>
  <si>
    <t xml:space="preserve">FIN-CLG-003</t>
  </si>
  <si>
    <t xml:space="preserve">Fire-rated</t>
  </si>
  <si>
    <t xml:space="preserve">Providing and fixing concealed-grid suspended ceiling of ½" fire-rated gypsum board on GI frame, taped and jointed, complete in all respects.</t>
  </si>
  <si>
    <t xml:space="preserve">Rev07 new item. INCOMPLETE until quoted: no dated Pakistan price found (web search 27-Sep-2026). Material line is material only; labour from PR-CLG (MRS-checked).</t>
  </si>
  <si>
    <t xml:space="preserve">FIN-CLG-004</t>
  </si>
  <si>
    <t xml:space="preserve">Metal ceiling</t>
  </si>
  <si>
    <t xml:space="preserve">Providing and fixing aluminium clip-in / lay-in metal ceiling tiles 2'×2' on suspended grid, complete in all respects.</t>
  </si>
  <si>
    <t xml:space="preserve">FIN-CLG-005</t>
  </si>
  <si>
    <t xml:space="preserve">Access panel</t>
  </si>
  <si>
    <t xml:space="preserve">Providing and fixing 2'×2' access panel in gypsum ceiling with frame and push-latch, complete in all respects.</t>
  </si>
  <si>
    <t xml:space="preserve">FIN-FLR-009</t>
  </si>
  <si>
    <t xml:space="preserve">Carpet</t>
  </si>
  <si>
    <t xml:space="preserve">Providing and laying carpet tiles on adhesive over levelled screed, complete in all respects.</t>
  </si>
  <si>
    <t xml:space="preserve">FIN-WAL-003</t>
  </si>
  <si>
    <t xml:space="preserve">Wallpaper</t>
  </si>
  <si>
    <t xml:space="preserve">Providing and fixing vinyl wallpaper on prepared plastered walls, complete in all respects.</t>
  </si>
  <si>
    <t xml:space="preserve">FIN-WAL-004</t>
  </si>
  <si>
    <t xml:space="preserve">Acoustic</t>
  </si>
  <si>
    <t xml:space="preserve">Providing and fixing acoustic wall panels on framing, complete in all respects.</t>
  </si>
  <si>
    <t xml:space="preserve">FIN-DOR-003</t>
  </si>
  <si>
    <t xml:space="preserve">Glass door</t>
  </si>
  <si>
    <t xml:space="preserve">Supplying and installing 12 mm toughened glass door 3'×7' with patch fittings, floor spring and handle, complete in all respects.</t>
  </si>
  <si>
    <t xml:space="preserve">FAC-GRC-001</t>
  </si>
  <si>
    <t xml:space="preserve">GRC</t>
  </si>
  <si>
    <t xml:space="preserve">Supplying and fixing GRC façade panels with stainless fixings, complete in all respects.</t>
  </si>
  <si>
    <t xml:space="preserve">FAC-EIFS-001</t>
  </si>
  <si>
    <t xml:space="preserve">EIFS</t>
  </si>
  <si>
    <t xml:space="preserve">Providing and applying EIFS insulated render system on external walls, complete in all respects.</t>
  </si>
  <si>
    <t xml:space="preserve">FAC-CNP-001</t>
  </si>
  <si>
    <t xml:space="preserve">Canopy</t>
  </si>
  <si>
    <t xml:space="preserve">Supplying and installing steel-framed glass entrance canopy, measured on plan area, complete in all respects.</t>
  </si>
  <si>
    <t xml:space="preserve">FAC-SKY-001</t>
  </si>
  <si>
    <t xml:space="preserve">Skylight</t>
  </si>
  <si>
    <t xml:space="preserve">Supplying and installing skylight glazing on aluminium frame with flashings, complete in all respects.</t>
  </si>
  <si>
    <t xml:space="preserve">PLB-URN-001</t>
  </si>
  <si>
    <t xml:space="preserve">Urinal</t>
  </si>
  <si>
    <t xml:space="preserve">Supplying and fixing wall-hung urinal with flush valve, trap and connections, complete in all respects.</t>
  </si>
  <si>
    <t xml:space="preserve">Rev07 new item. INCOMPLETE until quoted: no dated Pakistan price found (web search 27-Sep-2026). Material line is supply only; labour from PR-WB (MAK-checked).</t>
  </si>
  <si>
    <t xml:space="preserve">PLB-CPVC-100</t>
  </si>
  <si>
    <t xml:space="preserve">CPVC</t>
  </si>
  <si>
    <t xml:space="preserve">Providing and fixing CPVC SDR-11 pipe ¾" with solvent-welded fittings and clamps, tested, complete in all respects.</t>
  </si>
  <si>
    <t xml:space="preserve">Rev07 new item. INCOMPLETE until quoted: no dated Pakistan price found (web search 27-Sep-2026). Material line is supply only; labour from PR-PPR-S (MAK-checked).</t>
  </si>
  <si>
    <t xml:space="preserve">ELV-ACS-001</t>
  </si>
  <si>
    <t xml:space="preserve">Access control</t>
  </si>
  <si>
    <t xml:space="preserve">Supplying, installing and commissioning access control on one door (reader, maglock, exit button, controller share, cabling), complete in all respects.</t>
  </si>
  <si>
    <t xml:space="preserve">LS-FST-001</t>
  </si>
  <si>
    <t xml:space="preserve">Fire stopping</t>
  </si>
  <si>
    <t xml:space="preserve">Providing and applying fire-stop sealant / smoke seal at slab edges and service penetrations, complete in all respects.</t>
  </si>
  <si>
    <t xml:space="preserve">LFT-002</t>
  </si>
  <si>
    <t xml:space="preserve">Escalator</t>
  </si>
  <si>
    <t xml:space="preserve">Supplying, installing, testing and commissioning escalator per specification, complete in all respects.</t>
  </si>
  <si>
    <t xml:space="preserve">EXT-IRR-001</t>
  </si>
  <si>
    <t xml:space="preserve">Irrigation</t>
  </si>
  <si>
    <t xml:space="preserve">Providing and installing drip / sprinkler irrigation system for landscaped areas, complete in all respects.</t>
  </si>
  <si>
    <t xml:space="preserve">MEP-HVAC-004</t>
  </si>
  <si>
    <t xml:space="preserve">VRF</t>
  </si>
  <si>
    <t xml:space="preserve">Supplying and installing VRF air-conditioning system (outdoor and indoor units, refrigerant piping, controls), per TR, complete in all respects.</t>
  </si>
  <si>
    <t xml:space="preserve">TR</t>
  </si>
  <si>
    <t xml:space="preserve">ELE-MDB-001</t>
  </si>
  <si>
    <t xml:space="preserve">MDB</t>
  </si>
  <si>
    <t xml:space="preserve">Supplying and installing main distribution board with incomer, outgoing breakers, metering and busbars per SLD, complete in all respects.</t>
  </si>
  <si>
    <t xml:space="preserve">04 · DETAILED RATE ANALYSIS</t>
  </si>
  <si>
    <t xml:space="preserve">Amount = Adjusted Qty × Base Rate; Adjusted Qty = Consumption × (1 + Wastage). Base rates are live lookups from 05/06/07.</t>
  </si>
  <si>
    <t xml:space="preserve">Unit: cft</t>
  </si>
  <si>
    <t xml:space="preserve">Component</t>
  </si>
  <si>
    <t xml:space="preserve">Resource Code</t>
  </si>
  <si>
    <t xml:space="preserve">Description</t>
  </si>
  <si>
    <t xml:space="preserve">Consumption / unit</t>
  </si>
  <si>
    <t xml:space="preserve">Base Rate PKR</t>
  </si>
  <si>
    <t xml:space="preserve">Wastage %</t>
  </si>
  <si>
    <t xml:space="preserve">Adjusted Qty</t>
  </si>
  <si>
    <t xml:space="preserve">Amount PKR</t>
  </si>
  <si>
    <t xml:space="preserve">Input flag</t>
  </si>
  <si>
    <t xml:space="preserve">Material</t>
  </si>
  <si>
    <t xml:space="preserve">MAT-CEM-OPC</t>
  </si>
  <si>
    <t xml:space="preserve">OPC</t>
  </si>
  <si>
    <t xml:space="preserve">bag</t>
  </si>
  <si>
    <t xml:space="preserve">MAT-CRS-SGD</t>
  </si>
  <si>
    <t xml:space="preserve">C/Agg 3/4"–1/2" Sargodha</t>
  </si>
  <si>
    <t xml:space="preserve">C/Agg 1/2"–3/16" Sargodha</t>
  </si>
  <si>
    <t xml:space="preserve">MAT-SND-LWP</t>
  </si>
  <si>
    <t xml:space="preserve">Sand Lawrencepur</t>
  </si>
  <si>
    <t xml:space="preserve">MAT-ADM-SP</t>
  </si>
  <si>
    <t xml:space="preserve">Sika-520BA / Vertex G-880 @1.2 L/100 kg</t>
  </si>
  <si>
    <t xml:space="preserve">MAT-WTR</t>
  </si>
  <si>
    <t xml:space="preserve">Water</t>
  </si>
  <si>
    <t xml:space="preserve">litre</t>
  </si>
  <si>
    <t xml:space="preserve">Labour</t>
  </si>
  <si>
    <t xml:space="preserve">LAB-MSN</t>
  </si>
  <si>
    <t xml:space="preserve">Mason – PR-RCC crew</t>
  </si>
  <si>
    <t xml:space="preserve">day</t>
  </si>
  <si>
    <t xml:space="preserve">LAB-HLP</t>
  </si>
  <si>
    <t xml:space="preserve">Helpers – PR-RCC crew</t>
  </si>
  <si>
    <t xml:space="preserve">Equipment</t>
  </si>
  <si>
    <t xml:space="preserve">EQ-VIB</t>
  </si>
  <si>
    <t xml:space="preserve">Needle vibrator (1 per crew-day)</t>
  </si>
  <si>
    <t xml:space="preserve">EQ-MIX</t>
  </si>
  <si>
    <t xml:space="preserve">Concrete mixer (site-batched; for plant supply use RMC items CIV-CON-020..023)</t>
  </si>
  <si>
    <t xml:space="preserve">EQ-PUMP</t>
  </si>
  <si>
    <t xml:space="preserve">Concrete pump – ground-floor base (set 0 if chute/manual)</t>
  </si>
  <si>
    <t xml:space="preserve">Material – net (excl. wastage)</t>
  </si>
  <si>
    <t xml:space="preserve">Material – wastage</t>
  </si>
  <si>
    <t xml:space="preserve">Material total</t>
  </si>
  <si>
    <t xml:space="preserve">Labour total</t>
  </si>
  <si>
    <t xml:space="preserve">Equipment total</t>
  </si>
  <si>
    <t xml:space="preserve">Transport / handling total</t>
  </si>
  <si>
    <t xml:space="preserve">DIRECT COST</t>
  </si>
  <si>
    <t xml:space="preserve">Site overheads @ OH_Site</t>
  </si>
  <si>
    <t xml:space="preserve">Head-office overheads @ OH_HO</t>
  </si>
  <si>
    <t xml:space="preserve">Profit @ Profit</t>
  </si>
  <si>
    <t xml:space="preserve">Rate excl. tax</t>
  </si>
  <si>
    <t xml:space="preserve">Sales tax (only if Tax_On = Yes)</t>
  </si>
  <si>
    <t xml:space="preserve">FINAL RATE per cft (rounded)</t>
  </si>
  <si>
    <t xml:space="preserve">Blank / old (red) inputs in this analysis</t>
  </si>
  <si>
    <t xml:space="preserve">MAT-CRS-MGL</t>
  </si>
  <si>
    <t xml:space="preserve">3/4" (lab: 20) crushed Margalla</t>
  </si>
  <si>
    <t xml:space="preserve">3/8" (lab: 10) crushed Margalla</t>
  </si>
  <si>
    <t xml:space="preserve">Free water</t>
  </si>
  <si>
    <t xml:space="preserve">Mason – PR-PCC crew</t>
  </si>
  <si>
    <t xml:space="preserve">Helpers – PR-PCC crew</t>
  </si>
  <si>
    <t xml:space="preserve">Admixture-2 (product not named)</t>
  </si>
  <si>
    <t xml:space="preserve">MAT-SND-ZDP</t>
  </si>
  <si>
    <t xml:space="preserve">Sand Zinda Pir</t>
  </si>
  <si>
    <t xml:space="preserve">Admixture-2</t>
  </si>
  <si>
    <t xml:space="preserve">Sika 512 PK</t>
  </si>
  <si>
    <t xml:space="preserve">Cement</t>
  </si>
  <si>
    <t xml:space="preserve">Sand (source not stated – Lawrencepur priced)</t>
  </si>
  <si>
    <t xml:space="preserve">Crush mix (1/2"+3/8"+2/8" combined)</t>
  </si>
  <si>
    <t xml:space="preserve">Sand (Lawrencepur priced)</t>
  </si>
  <si>
    <t xml:space="preserve">Crush 1/2"</t>
  </si>
  <si>
    <t xml:space="preserve">Crush 3/8"</t>
  </si>
  <si>
    <t xml:space="preserve">Crush 2/8"</t>
  </si>
  <si>
    <t xml:space="preserve">Admixture</t>
  </si>
  <si>
    <t xml:space="preserve">Imperial 540M @ 1.0% (SG 1.18)</t>
  </si>
  <si>
    <t xml:space="preserve">Crush 1/4"</t>
  </si>
  <si>
    <t xml:space="preserve">Imperial 540M @ 1.32% (SG 1.18)</t>
  </si>
  <si>
    <t xml:space="preserve">Imperial 540M @ 1.4% (SG 1.18)</t>
  </si>
  <si>
    <t xml:space="preserve">Imperial 540M @ 1.42% (SG 1.18)</t>
  </si>
  <si>
    <t xml:space="preserve">Cement: DryF_Conc × 1/13 ÷ Bag_cft</t>
  </si>
  <si>
    <t xml:space="preserve">MAT-SND-CHN</t>
  </si>
  <si>
    <t xml:space="preserve">Sand Chenab: DryF_Conc × 4/13</t>
  </si>
  <si>
    <t xml:space="preserve">Crush Margalla: DryF_Conc × 8/13</t>
  </si>
  <si>
    <t xml:space="preserve">Water (W/C 0.50 on cement weight)</t>
  </si>
  <si>
    <t xml:space="preserve">Concrete mixer (1 per crew-day)</t>
  </si>
  <si>
    <t xml:space="preserve">Cement: DryF_Conc × 1/7 ÷ Bag_cft</t>
  </si>
  <si>
    <t xml:space="preserve">Sand Chenab: DryF_Conc × 2/7</t>
  </si>
  <si>
    <t xml:space="preserve">Crush Margalla: DryF_Conc × 4/7</t>
  </si>
  <si>
    <t xml:space="preserve">Cement: DryF_Conc × 1/5.5 ÷ Bag_cft</t>
  </si>
  <si>
    <t xml:space="preserve">Sand Chenab: DryF_Conc × 1.5/5.5</t>
  </si>
  <si>
    <t xml:space="preserve">Crush Margalla: DryF_Conc × 3/5.5</t>
  </si>
  <si>
    <t xml:space="preserve">Unit: kg</t>
  </si>
  <si>
    <t xml:space="preserve">MAT-STL-G60</t>
  </si>
  <si>
    <t xml:space="preserve">Steel bars Gr.60</t>
  </si>
  <si>
    <t xml:space="preserve">MAT-BWIRE</t>
  </si>
  <si>
    <t xml:space="preserve">Binding wire (0.010 kg per kg steel – assumption)</t>
  </si>
  <si>
    <t xml:space="preserve">LAB-SFX</t>
  </si>
  <si>
    <t xml:space="preserve">Steel fixer – PR-RFT crew</t>
  </si>
  <si>
    <t xml:space="preserve">Helper – PR-RFT crew</t>
  </si>
  <si>
    <t xml:space="preserve">FINAL RATE per kg (rounded)</t>
  </si>
  <si>
    <t xml:space="preserve">MAT-BRK-A</t>
  </si>
  <si>
    <t xml:space="preserve">Bricks A class – 13.5 Nos per cft</t>
  </si>
  <si>
    <t xml:space="preserve">Cement: 0.25 × DryF_Mortar × 1/7 ÷ Bag_cft</t>
  </si>
  <si>
    <t xml:space="preserve">Sand Chenab: 0.25 × DryF_Mortar × 6/7</t>
  </si>
  <si>
    <t xml:space="preserve">Mason – PR-BRK crew</t>
  </si>
  <si>
    <t xml:space="preserve">Helpers – PR-BRK crew</t>
  </si>
  <si>
    <t xml:space="preserve">Unit: Sft</t>
  </si>
  <si>
    <t xml:space="preserve">Sand Chenab</t>
  </si>
  <si>
    <t xml:space="preserve">LAB-PLS</t>
  </si>
  <si>
    <t xml:space="preserve">Plasterer – PR-PLS crew</t>
  </si>
  <si>
    <t xml:space="preserve">Helper – PR-PLS crew</t>
  </si>
  <si>
    <t xml:space="preserve">FINAL RATE per Sft (rounded)</t>
  </si>
  <si>
    <t xml:space="preserve">Plasterer – PR-PLS75 crew</t>
  </si>
  <si>
    <t xml:space="preserve">Helper – PR-PLS75 crew</t>
  </si>
  <si>
    <t xml:space="preserve">MAT-PLY-18</t>
  </si>
  <si>
    <t xml:space="preserve">Plywood: 1 sheet (32 Sft) ÷ Reuse_Ply</t>
  </si>
  <si>
    <t xml:space="preserve">sheet</t>
  </si>
  <si>
    <t xml:space="preserve">MAT-TIM-CHR</t>
  </si>
  <si>
    <t xml:space="preserve">Timber 0.03 cft/Sft ÷ Reuse_Tim</t>
  </si>
  <si>
    <t xml:space="preserve">MAT-NAIL</t>
  </si>
  <si>
    <t xml:space="preserve">Nails / ties 0.010 kg/Sft (assumption)</t>
  </si>
  <si>
    <t xml:space="preserve">MAT-SHOIL</t>
  </si>
  <si>
    <t xml:space="preserve">Release oil 0.010 litre/Sft (assumption)</t>
  </si>
  <si>
    <t xml:space="preserve">LAB-CRP</t>
  </si>
  <si>
    <t xml:space="preserve">Carpenter – PR-FWS crew</t>
  </si>
  <si>
    <t xml:space="preserve">Helper(s) – PR-FWS crew</t>
  </si>
  <si>
    <t xml:space="preserve">EQ-PROP</t>
  </si>
  <si>
    <t xml:space="preserve">Props / staging hire per Sft per use</t>
  </si>
  <si>
    <t xml:space="preserve">Timber 0.04 cft/Sft ÷ Reuse_Tim</t>
  </si>
  <si>
    <t xml:space="preserve">Carpenter – PR-FWB crew</t>
  </si>
  <si>
    <t xml:space="preserve">Helper(s) – PR-FWB crew</t>
  </si>
  <si>
    <t xml:space="preserve">Timber 0.035 cft/Sft ÷ Reuse_Tim</t>
  </si>
  <si>
    <t xml:space="preserve">Carpenter – PR-FWC crew</t>
  </si>
  <si>
    <t xml:space="preserve">Helper(s) – PR-FWC crew</t>
  </si>
  <si>
    <t xml:space="preserve">Carpenter – PR-FWW crew</t>
  </si>
  <si>
    <t xml:space="preserve">Helper(s) – PR-FWW crew</t>
  </si>
  <si>
    <t xml:space="preserve">MAT-BLK-8H</t>
  </si>
  <si>
    <t xml:space="preserve">Blocks 16"x8"x8" with 3/8" joints: 144 ÷ ((16+0.375)×(8+0.375))</t>
  </si>
  <si>
    <t xml:space="preserve">Cement: joint mortar 1:6 × DryF_Mortar ÷ 7 ÷ Bag_cft</t>
  </si>
  <si>
    <t xml:space="preserve">Sand Chenab: joint mortar × DryF_Mortar × 6/7</t>
  </si>
  <si>
    <t xml:space="preserve">Mason – PR-BLK8 crew</t>
  </si>
  <si>
    <t xml:space="preserve">Helper(s) – PR-BLK8 crew</t>
  </si>
  <si>
    <t xml:space="preserve">MAT-BLK-6H</t>
  </si>
  <si>
    <t xml:space="preserve">Blocks 16"x6"x8" with 3/8" joints: 144 ÷ ((16+0.375)×(8+0.375))</t>
  </si>
  <si>
    <t xml:space="preserve">Mason – PR-BLK6 crew</t>
  </si>
  <si>
    <t xml:space="preserve">Helper(s) – PR-BLK6 crew</t>
  </si>
  <si>
    <t xml:space="preserve">MAT-BLK-4S</t>
  </si>
  <si>
    <t xml:space="preserve">Blocks 12"x4"x8" with 3/8" joints: 144 ÷ ((12+0.375)×(8+0.375))</t>
  </si>
  <si>
    <t xml:space="preserve">Mason – PR-BLK4 crew</t>
  </si>
  <si>
    <t xml:space="preserve">Helper(s) – PR-BLK4 crew</t>
  </si>
  <si>
    <t xml:space="preserve">Bricks: 13.5 × 0.375</t>
  </si>
  <si>
    <t xml:space="preserve">Cement: 0.375×0.25×DryF_Mortar×1/5÷Bag_cft</t>
  </si>
  <si>
    <t xml:space="preserve">Sand: 0.375×0.25×DryF_Mortar×4/5</t>
  </si>
  <si>
    <t xml:space="preserve">Mason – PR-BRK45 crew</t>
  </si>
  <si>
    <t xml:space="preserve">Helper(s) – PR-BRK45 crew</t>
  </si>
  <si>
    <t xml:space="preserve">Mason – PR-SCR crew</t>
  </si>
  <si>
    <t xml:space="preserve">Helper(s) – PR-SCR crew</t>
  </si>
  <si>
    <t xml:space="preserve">Mason – PR-SCR2 crew</t>
  </si>
  <si>
    <t xml:space="preserve">Helper(s) – PR-SCR2 crew</t>
  </si>
  <si>
    <t xml:space="preserve">Mason – PR-SCR3 crew</t>
  </si>
  <si>
    <t xml:space="preserve">Helper(s) – PR-SCR3 crew</t>
  </si>
  <si>
    <t xml:space="preserve">MAT-BIT-PRM</t>
  </si>
  <si>
    <t xml:space="preserve">Bitumen primer – nil (included in GRN membrane rate)</t>
  </si>
  <si>
    <t xml:space="preserve">MAT-MEM-APP</t>
  </si>
  <si>
    <t xml:space="preserve">Membrane incl. laps</t>
  </si>
  <si>
    <t xml:space="preserve">MAT-LPG</t>
  </si>
  <si>
    <t xml:space="preserve">LPG 0.010 kg/Sft (assumption)</t>
  </si>
  <si>
    <t xml:space="preserve">EQ-TORCH</t>
  </si>
  <si>
    <t xml:space="preserve">Torch set (1 per crew-day)</t>
  </si>
  <si>
    <t xml:space="preserve">LAB-WPA</t>
  </si>
  <si>
    <t xml:space="preserve">Applicator – PR-WPM crew</t>
  </si>
  <si>
    <t xml:space="preserve">Helper(s) – PR-WPM crew</t>
  </si>
  <si>
    <t xml:space="preserve">MAT-CWP</t>
  </si>
  <si>
    <t xml:space="preserve">Cementitious coating per Sft (GRN supply rate)</t>
  </si>
  <si>
    <t xml:space="preserve">Applicator – PR-WPC crew</t>
  </si>
  <si>
    <t xml:space="preserve">Helper(s) – PR-WPC crew</t>
  </si>
  <si>
    <t xml:space="preserve">Cement: 0.125×DryF_Conc×1/7÷Bag_cft</t>
  </si>
  <si>
    <t xml:space="preserve">Sand: 0.125×DryF_Conc×2/7</t>
  </si>
  <si>
    <t xml:space="preserve">Crush 3/8": 0.125×DryF_Conc×4/7</t>
  </si>
  <si>
    <t xml:space="preserve">MAT-BIT-HOT</t>
  </si>
  <si>
    <t xml:space="preserve">Hot bitumen 0.10 kg/Sft (assumption)</t>
  </si>
  <si>
    <t xml:space="preserve">Mason – PR-DPC crew</t>
  </si>
  <si>
    <t xml:space="preserve">Helper(s) – PR-DPC crew</t>
  </si>
  <si>
    <t xml:space="preserve">MAT-TIL-POR</t>
  </si>
  <si>
    <t xml:space="preserve">Tiles incl. cutting</t>
  </si>
  <si>
    <t xml:space="preserve">MAT-TADH</t>
  </si>
  <si>
    <t xml:space="preserve">Adhesive 20 kg bag: 1/60</t>
  </si>
  <si>
    <t xml:space="preserve">MAT-GRT</t>
  </si>
  <si>
    <t xml:space="preserve">Grout 0.020 kg/Sft (assumption)</t>
  </si>
  <si>
    <t xml:space="preserve">LAB-TIL</t>
  </si>
  <si>
    <t xml:space="preserve">Tiler – PR-TLF crew</t>
  </si>
  <si>
    <t xml:space="preserve">Helper(s) – PR-TLF crew</t>
  </si>
  <si>
    <t xml:space="preserve">MAT-TIL-CER</t>
  </si>
  <si>
    <t xml:space="preserve">Adhesive 20 kg bag: 1/90</t>
  </si>
  <si>
    <t xml:space="preserve">Tiler – PR-TLW crew</t>
  </si>
  <si>
    <t xml:space="preserve">Helper(s) – PR-TLW crew</t>
  </si>
  <si>
    <t xml:space="preserve">MAT-MBL-ZW</t>
  </si>
  <si>
    <t xml:space="preserve">Marble incl. cutting</t>
  </si>
  <si>
    <t xml:space="preserve">Cement: bed 1:4 + slurry</t>
  </si>
  <si>
    <t xml:space="preserve">Sand Chenab: bed 1:4</t>
  </si>
  <si>
    <t xml:space="preserve">Marble fixer – PR-MBL crew</t>
  </si>
  <si>
    <t xml:space="preserve">Helper(s) – PR-MBL crew</t>
  </si>
  <si>
    <t xml:space="preserve">MAT-MBL-TV</t>
  </si>
  <si>
    <t xml:space="preserve">MAT-GYP-SYS12</t>
  </si>
  <si>
    <t xml:space="preserve">Ceiling system material per Sft (Punjab MRS) – component qty in basis</t>
  </si>
  <si>
    <t xml:space="preserve">LAB-CLG</t>
  </si>
  <si>
    <t xml:space="preserve">Installer – PR-CLG crew</t>
  </si>
  <si>
    <t xml:space="preserve">Helper(s) – PR-CLG crew</t>
  </si>
  <si>
    <t xml:space="preserve">MAT-GYP-SYSMR</t>
  </si>
  <si>
    <t xml:space="preserve">MAT-PNT-PRM</t>
  </si>
  <si>
    <t xml:space="preserve">Primer 1 coat = 1/350 gal/Sft</t>
  </si>
  <si>
    <t xml:space="preserve">gallon</t>
  </si>
  <si>
    <t xml:space="preserve">MAT-PUTTY</t>
  </si>
  <si>
    <t xml:space="preserve">Putty 2 coats 0.10 kg/Sft (assumption)</t>
  </si>
  <si>
    <t xml:space="preserve">MAT-PNT-PE</t>
  </si>
  <si>
    <t xml:space="preserve">Emulsion 2 coats = 2/350 gal/Sft</t>
  </si>
  <si>
    <t xml:space="preserve">LAB-PNT</t>
  </si>
  <si>
    <t xml:space="preserve">Painter – PR-PNT crew</t>
  </si>
  <si>
    <t xml:space="preserve">Helper(s) – PR-PNT crew</t>
  </si>
  <si>
    <t xml:space="preserve">MAT-PNT-WS</t>
  </si>
  <si>
    <t xml:space="preserve">Weather shield 2 coats = 2/300 gal/Sft</t>
  </si>
  <si>
    <t xml:space="preserve">Painter – PR-PNX crew</t>
  </si>
  <si>
    <t xml:space="preserve">Helper(s) – PR-PNX crew</t>
  </si>
  <si>
    <t xml:space="preserve">EQ-SCAF</t>
  </si>
  <si>
    <t xml:space="preserve">Scaffold – benchmark all-in</t>
  </si>
  <si>
    <t xml:space="preserve">LAB-SCF</t>
  </si>
  <si>
    <t xml:space="preserve">Scaffolder – nil (in benchmark)</t>
  </si>
  <si>
    <t xml:space="preserve">Helpers – nil (in benchmark)</t>
  </si>
  <si>
    <t xml:space="preserve">Helpers 2/150</t>
  </si>
  <si>
    <t xml:space="preserve">EQ-TRUCK</t>
  </si>
  <si>
    <t xml:space="preserve">Haulage per cft loose</t>
  </si>
  <si>
    <t xml:space="preserve">EQ-EXC</t>
  </si>
  <si>
    <t xml:space="preserve">Machine excavation – MRS item rate</t>
  </si>
  <si>
    <t xml:space="preserve">Trimming – nil (in MRS rate)</t>
  </si>
  <si>
    <t xml:space="preserve">EQ-EXC-H</t>
  </si>
  <si>
    <t xml:space="preserve">Helper 1/80</t>
  </si>
  <si>
    <t xml:space="preserve">Water 1.0 litre/cft</t>
  </si>
  <si>
    <t xml:space="preserve">Helpers PR-BKF crew</t>
  </si>
  <si>
    <t xml:space="preserve">EQ-COMP</t>
  </si>
  <si>
    <t xml:space="preserve">Compaction – MRS per cft</t>
  </si>
  <si>
    <t xml:space="preserve">MAT-SND-RAV</t>
  </si>
  <si>
    <t xml:space="preserve">Ravi sand 1.20 cft/cft</t>
  </si>
  <si>
    <t xml:space="preserve">Helpers PR-SNF crew</t>
  </si>
  <si>
    <t xml:space="preserve">Loading – nil (in benchmark)</t>
  </si>
  <si>
    <t xml:space="preserve">Disposal benchmark per cft</t>
  </si>
  <si>
    <t xml:space="preserve">MAT-ATC</t>
  </si>
  <si>
    <t xml:space="preserve">Chemical 0.005 litre/Sft</t>
  </si>
  <si>
    <t xml:space="preserve">Helper 1/1000</t>
  </si>
  <si>
    <t xml:space="preserve">Unit: Nos</t>
  </si>
  <si>
    <t xml:space="preserve">MAT-DOR-FL</t>
  </si>
  <si>
    <t xml:space="preserve">Leaf 3'x7' = 21 Sft</t>
  </si>
  <si>
    <t xml:space="preserve">MAT-TIM-DEO</t>
  </si>
  <si>
    <t xml:space="preserve">Frame 1.77 cft</t>
  </si>
  <si>
    <t xml:space="preserve">MAT-HNG</t>
  </si>
  <si>
    <t xml:space="preserve">Hinges 3</t>
  </si>
  <si>
    <t xml:space="preserve">MAT-LCK</t>
  </si>
  <si>
    <t xml:space="preserve">Lock set</t>
  </si>
  <si>
    <t xml:space="preserve">MAT-DSTP</t>
  </si>
  <si>
    <t xml:space="preserve">Stopper</t>
  </si>
  <si>
    <t xml:space="preserve">MAT-POL</t>
  </si>
  <si>
    <t xml:space="preserve">Polish 50 Sft</t>
  </si>
  <si>
    <t xml:space="preserve">Carpenter 1.0 day</t>
  </si>
  <si>
    <t xml:space="preserve">Helper 0.5 day</t>
  </si>
  <si>
    <t xml:space="preserve">Polisher – nil (MAT-POL all-in)</t>
  </si>
  <si>
    <t xml:space="preserve">FINAL RATE per Nos (rounded)</t>
  </si>
  <si>
    <t xml:space="preserve">MAT-FRD</t>
  </si>
  <si>
    <t xml:space="preserve">Fire door set (vendor)</t>
  </si>
  <si>
    <t xml:space="preserve">Carpenter 0.5</t>
  </si>
  <si>
    <t xml:space="preserve">Helper 0.5</t>
  </si>
  <si>
    <t xml:space="preserve">MAT-ALW</t>
  </si>
  <si>
    <t xml:space="preserve">Window system</t>
  </si>
  <si>
    <t xml:space="preserve">MAT-SIL</t>
  </si>
  <si>
    <t xml:space="preserve">Silicone 1/75</t>
  </si>
  <si>
    <t xml:space="preserve">LAB-GLZ</t>
  </si>
  <si>
    <t xml:space="preserve">Glazier – nil (installed rate)</t>
  </si>
  <si>
    <t xml:space="preserve">Helper – nil (installed rate)</t>
  </si>
  <si>
    <t xml:space="preserve">MAT-UPW</t>
  </si>
  <si>
    <t xml:space="preserve">Unit: Rft</t>
  </si>
  <si>
    <t xml:space="preserve">MAT-MDF-18</t>
  </si>
  <si>
    <t xml:space="preserve">Board 12 Sft ÷ 32</t>
  </si>
  <si>
    <t xml:space="preserve">MAT-CAB-HW</t>
  </si>
  <si>
    <t xml:space="preserve">Hardware set per Rft</t>
  </si>
  <si>
    <t xml:space="preserve">set</t>
  </si>
  <si>
    <t xml:space="preserve">Carpenter 0.30 day</t>
  </si>
  <si>
    <t xml:space="preserve">Helper 0.15 day</t>
  </si>
  <si>
    <t xml:space="preserve">FINAL RATE per Rft (rounded)</t>
  </si>
  <si>
    <t xml:space="preserve">MAT-CW</t>
  </si>
  <si>
    <t xml:space="preserve">CW system (vendor, installed)</t>
  </si>
  <si>
    <t xml:space="preserve">MAT-FSTOP</t>
  </si>
  <si>
    <t xml:space="preserve">Fire-stop 0.10 Rft/Sft</t>
  </si>
  <si>
    <t xml:space="preserve">EQ-CRADLE</t>
  </si>
  <si>
    <t xml:space="preserve">Cradle access</t>
  </si>
  <si>
    <t xml:space="preserve">MAT-ACP</t>
  </si>
  <si>
    <t xml:space="preserve">Panel incl. folds</t>
  </si>
  <si>
    <t xml:space="preserve">MAT-ALSF</t>
  </si>
  <si>
    <t xml:space="preserve">Subframe 0.8 kg</t>
  </si>
  <si>
    <t xml:space="preserve">MAT-BRKT</t>
  </si>
  <si>
    <t xml:space="preserve">Brackets 0.25</t>
  </si>
  <si>
    <t xml:space="preserve">Sealant 1/40</t>
  </si>
  <si>
    <t xml:space="preserve">LAB-CLD</t>
  </si>
  <si>
    <t xml:space="preserve">Cladding fixer 1/40</t>
  </si>
  <si>
    <t xml:space="preserve">Helper 1/40</t>
  </si>
  <si>
    <t xml:space="preserve">MAT-GRN</t>
  </si>
  <si>
    <t xml:space="preserve">Granite incl. waste</t>
  </si>
  <si>
    <t xml:space="preserve">MAT-SSANC</t>
  </si>
  <si>
    <t xml:space="preserve">Anchor sets</t>
  </si>
  <si>
    <t xml:space="preserve">Sealant 1/60</t>
  </si>
  <si>
    <t xml:space="preserve">Cladding fixer 1/30</t>
  </si>
  <si>
    <t xml:space="preserve">Helper 1/30</t>
  </si>
  <si>
    <t xml:space="preserve">MAT-TUFF</t>
  </si>
  <si>
    <t xml:space="preserve">Tuff tile</t>
  </si>
  <si>
    <t xml:space="preserve">Sand bed 2" + joints</t>
  </si>
  <si>
    <t xml:space="preserve">Mason 1/300</t>
  </si>
  <si>
    <t xml:space="preserve">Helpers 2/300</t>
  </si>
  <si>
    <t xml:space="preserve">Compaction of 2" bed – MRS per cft</t>
  </si>
  <si>
    <t xml:space="preserve">MAT-KERB</t>
  </si>
  <si>
    <t xml:space="preserve">Kerb</t>
  </si>
  <si>
    <t xml:space="preserve">Cement: 0.25×DryF_Conc/13/Bag_cft</t>
  </si>
  <si>
    <t xml:space="preserve">Sand 0.25×DryF_Conc×4/13</t>
  </si>
  <si>
    <t xml:space="preserve">Crush 0.25×DryF_Conc×8/13</t>
  </si>
  <si>
    <t xml:space="preserve">Mason 1/60</t>
  </si>
  <si>
    <t xml:space="preserve">Helpers 2/60</t>
  </si>
  <si>
    <t xml:space="preserve">MAT-SUBB</t>
  </si>
  <si>
    <t xml:space="preserve">Subbase loose</t>
  </si>
  <si>
    <t xml:space="preserve">Water 1.5 litre/cft</t>
  </si>
  <si>
    <t xml:space="preserve">EQ-ROL</t>
  </si>
  <si>
    <t xml:space="preserve">Helpers 3/3000</t>
  </si>
  <si>
    <t xml:space="preserve">MAT-ASPH</t>
  </si>
  <si>
    <t xml:space="preserve">Asphalt supply &amp; lay (vendor)</t>
  </si>
  <si>
    <t xml:space="preserve">Bricks 13.5 × 56.25</t>
  </si>
  <si>
    <t xml:space="preserve">Cement: mortar + PCC + plaster</t>
  </si>
  <si>
    <t xml:space="preserve">Sand: mortar + PCC + plaster</t>
  </si>
  <si>
    <t xml:space="preserve">Crush: PCC</t>
  </si>
  <si>
    <t xml:space="preserve">MAT-MHC</t>
  </si>
  <si>
    <t xml:space="preserve">Cover &amp; frame</t>
  </si>
  <si>
    <t xml:space="preserve">Mason 3.0 days</t>
  </si>
  <si>
    <t xml:space="preserve">Helpers 6.0 days</t>
  </si>
  <si>
    <t xml:space="preserve">MAT-TURF</t>
  </si>
  <si>
    <t xml:space="preserve">Turf 1.05</t>
  </si>
  <si>
    <t xml:space="preserve">Helper 1/500</t>
  </si>
  <si>
    <t xml:space="preserve">MAT-PPR-075</t>
  </si>
  <si>
    <t xml:space="preserve">Pipe 1/2"</t>
  </si>
  <si>
    <t xml:space="preserve">MAT-PPR-075-EL</t>
  </si>
  <si>
    <t xml:space="preserve">Elbows 0.15 per Rft</t>
  </si>
  <si>
    <t xml:space="preserve">MAT-PPR-075-SO</t>
  </si>
  <si>
    <t xml:space="preserve">Sockets 1 per 13.12 ft</t>
  </si>
  <si>
    <t xml:space="preserve">MAT-PPR-075-TE</t>
  </si>
  <si>
    <t xml:space="preserve">Tees 0.08 per Rft</t>
  </si>
  <si>
    <t xml:space="preserve">MAT-CLMP</t>
  </si>
  <si>
    <t xml:space="preserve">Clamps @3 ft</t>
  </si>
  <si>
    <t xml:space="preserve">LAB-PLB</t>
  </si>
  <si>
    <t xml:space="preserve">Plumber PR-PPR-S crew</t>
  </si>
  <si>
    <t xml:space="preserve">Helper PR-PPR-S crew</t>
  </si>
  <si>
    <t xml:space="preserve">MAT-PPR-100</t>
  </si>
  <si>
    <t xml:space="preserve">Pipe 3/4"</t>
  </si>
  <si>
    <t xml:space="preserve">MAT-PPR-100-EL</t>
  </si>
  <si>
    <t xml:space="preserve">MAT-PPR-100-SO</t>
  </si>
  <si>
    <t xml:space="preserve">MAT-PPR-100-TE</t>
  </si>
  <si>
    <t xml:space="preserve">MAT-PPR-125</t>
  </si>
  <si>
    <t xml:space="preserve">Pipe 1"</t>
  </si>
  <si>
    <t xml:space="preserve">MAT-PPR-125-EL</t>
  </si>
  <si>
    <t xml:space="preserve">MAT-PPR-125-SO</t>
  </si>
  <si>
    <t xml:space="preserve">MAT-PPR-125-TE</t>
  </si>
  <si>
    <t xml:space="preserve">MAT-PPR-150</t>
  </si>
  <si>
    <t xml:space="preserve">Pipe 1-1/4"</t>
  </si>
  <si>
    <t xml:space="preserve">MAT-PPR-150-EL</t>
  </si>
  <si>
    <t xml:space="preserve">MAT-PPR-150-SO</t>
  </si>
  <si>
    <t xml:space="preserve">MAT-PPR-150-TE</t>
  </si>
  <si>
    <t xml:space="preserve">Plumber PR-PPR-M crew</t>
  </si>
  <si>
    <t xml:space="preserve">Helper PR-PPR-M crew</t>
  </si>
  <si>
    <t xml:space="preserve">MAT-PPR-175</t>
  </si>
  <si>
    <t xml:space="preserve">Pipe 1-1/2"</t>
  </si>
  <si>
    <t xml:space="preserve">MAT-PPR-175-EL</t>
  </si>
  <si>
    <t xml:space="preserve">MAT-PPR-175-SO</t>
  </si>
  <si>
    <t xml:space="preserve">MAT-PPR-175-TE</t>
  </si>
  <si>
    <t xml:space="preserve">MAT-PPR-200</t>
  </si>
  <si>
    <t xml:space="preserve">Pipe 2"</t>
  </si>
  <si>
    <t xml:space="preserve">MAT-PPR-200-EL</t>
  </si>
  <si>
    <t xml:space="preserve">MAT-PPR-200-SO</t>
  </si>
  <si>
    <t xml:space="preserve">MAT-PPR-200-TE</t>
  </si>
  <si>
    <t xml:space="preserve">MAT-PPR-250</t>
  </si>
  <si>
    <t xml:space="preserve">Pipe 2-1/2"</t>
  </si>
  <si>
    <t xml:space="preserve">MAT-PPR-250-EL</t>
  </si>
  <si>
    <t xml:space="preserve">MAT-PPR-250-SO</t>
  </si>
  <si>
    <t xml:space="preserve">MAT-PPR-250-TE</t>
  </si>
  <si>
    <t xml:space="preserve">Plumber PR-PPR-250 crew</t>
  </si>
  <si>
    <t xml:space="preserve">Helper PR-PPR-250 crew</t>
  </si>
  <si>
    <t xml:space="preserve">MAT-PPR-300</t>
  </si>
  <si>
    <t xml:space="preserve">Pipe 3"</t>
  </si>
  <si>
    <t xml:space="preserve">MAT-PPR-300-EL</t>
  </si>
  <si>
    <t xml:space="preserve">MAT-PPR-300-SO</t>
  </si>
  <si>
    <t xml:space="preserve">MAT-PPR-300-TE</t>
  </si>
  <si>
    <t xml:space="preserve">Plumber PR-PPR-300 crew</t>
  </si>
  <si>
    <t xml:space="preserve">Helper PR-PPR-300 crew</t>
  </si>
  <si>
    <t xml:space="preserve">MAT-PPR-400</t>
  </si>
  <si>
    <t xml:space="preserve">Pipe 4"</t>
  </si>
  <si>
    <t xml:space="preserve">MAT-PPR-400-EL</t>
  </si>
  <si>
    <t xml:space="preserve">MAT-PPR-400-SO</t>
  </si>
  <si>
    <t xml:space="preserve">MAT-PPR-400-TE</t>
  </si>
  <si>
    <t xml:space="preserve">Plumber PR-PPR-400 crew</t>
  </si>
  <si>
    <t xml:space="preserve">Helper PR-PPR-400 crew</t>
  </si>
  <si>
    <t xml:space="preserve">MAT-SWV-200</t>
  </si>
  <si>
    <t xml:space="preserve">Pipe 2" – VERIFY size mapping</t>
  </si>
  <si>
    <t xml:space="preserve">MAT-SWV-FIT</t>
  </si>
  <si>
    <t xml:space="preserve">Elbows 0.10/Rft</t>
  </si>
  <si>
    <t xml:space="preserve">Tees 0.08/Rft</t>
  </si>
  <si>
    <t xml:space="preserve">MAT-SOLV</t>
  </si>
  <si>
    <t xml:space="preserve">Solvent 0.005 kg</t>
  </si>
  <si>
    <t xml:space="preserve">Clamps @4 ft</t>
  </si>
  <si>
    <t xml:space="preserve">Plumber PR-SWV2 crew</t>
  </si>
  <si>
    <t xml:space="preserve">Helper PR-SWV2 crew</t>
  </si>
  <si>
    <t xml:space="preserve">MAT-SWV-300</t>
  </si>
  <si>
    <t xml:space="preserve">Pipe 3" – VERIFY size mapping</t>
  </si>
  <si>
    <t xml:space="preserve">Plumber PR-SWV3 crew</t>
  </si>
  <si>
    <t xml:space="preserve">Helper PR-SWV3 crew</t>
  </si>
  <si>
    <t xml:space="preserve">MAT-SWV-400</t>
  </si>
  <si>
    <t xml:space="preserve">Pipe 4" – VERIFY size mapping</t>
  </si>
  <si>
    <t xml:space="preserve">MAT-SWV-400-EL</t>
  </si>
  <si>
    <t xml:space="preserve">MAT-SWV-400-TE</t>
  </si>
  <si>
    <t xml:space="preserve">Plumber PR-SWV4 crew</t>
  </si>
  <si>
    <t xml:space="preserve">Helper PR-SWV4 crew</t>
  </si>
  <si>
    <t xml:space="preserve">MAT-WC</t>
  </si>
  <si>
    <t xml:space="preserve">WC set</t>
  </si>
  <si>
    <t xml:space="preserve">MAT-SANACC</t>
  </si>
  <si>
    <t xml:space="preserve">Accessories</t>
  </si>
  <si>
    <t xml:space="preserve">Plumber PR-WC crew</t>
  </si>
  <si>
    <t xml:space="preserve">Helper PR-WC crew</t>
  </si>
  <si>
    <t xml:space="preserve">MAT-WB</t>
  </si>
  <si>
    <t xml:space="preserve">Basin + mixer</t>
  </si>
  <si>
    <t xml:space="preserve">Plumber PR-WB crew</t>
  </si>
  <si>
    <t xml:space="preserve">Helper PR-WB crew</t>
  </si>
  <si>
    <t xml:space="preserve">MAT-BSP-100</t>
  </si>
  <si>
    <t xml:space="preserve">Pipe</t>
  </si>
  <si>
    <t xml:space="preserve">MAT-FFFIT-100</t>
  </si>
  <si>
    <t xml:space="preserve">Fittings &amp; couplings – MAT-FFFIT-100</t>
  </si>
  <si>
    <t xml:space="preserve">Hangers @8 ft</t>
  </si>
  <si>
    <t xml:space="preserve">MAT-RDPNT</t>
  </si>
  <si>
    <t xml:space="preserve">Paint</t>
  </si>
  <si>
    <t xml:space="preserve">LAB-PFT</t>
  </si>
  <si>
    <t xml:space="preserve">Pipe fitter PR-FFP1 crew</t>
  </si>
  <si>
    <t xml:space="preserve">Helper PR-FFP1 crew</t>
  </si>
  <si>
    <t xml:space="preserve">MAT-BSP-200</t>
  </si>
  <si>
    <t xml:space="preserve">MAT-FFFIT-200</t>
  </si>
  <si>
    <t xml:space="preserve">Fittings &amp; couplings – MAT-FFFIT-200</t>
  </si>
  <si>
    <t xml:space="preserve">Pipe fitter PR-FFP2 crew</t>
  </si>
  <si>
    <t xml:space="preserve">Helper PR-FFP2 crew</t>
  </si>
  <si>
    <t xml:space="preserve">MAT-BSP-400</t>
  </si>
  <si>
    <t xml:space="preserve">MAT-FFFIT-400</t>
  </si>
  <si>
    <t xml:space="preserve">Fittings &amp; couplings – MAT-FFFIT-400</t>
  </si>
  <si>
    <t xml:space="preserve">Pipe fitter PR-FFP4 crew</t>
  </si>
  <si>
    <t xml:space="preserve">Helper PR-FFP4 crew</t>
  </si>
  <si>
    <t xml:space="preserve">MAT-SPK</t>
  </si>
  <si>
    <t xml:space="preserve">Sprinkler head</t>
  </si>
  <si>
    <t xml:space="preserve">Drop 3 Rft</t>
  </si>
  <si>
    <t xml:space="preserve">Fitter PR-SPK crew</t>
  </si>
  <si>
    <t xml:space="preserve">Helper PR-SPK crew</t>
  </si>
  <si>
    <t xml:space="preserve">MAT-HRC</t>
  </si>
  <si>
    <t xml:space="preserve">Cabinet complete</t>
  </si>
  <si>
    <t xml:space="preserve">Fitter 0.5</t>
  </si>
  <si>
    <t xml:space="preserve">MAT-CND-075</t>
  </si>
  <si>
    <t xml:space="preserve">Conduit</t>
  </si>
  <si>
    <t xml:space="preserve">MAT-CND-075-SO</t>
  </si>
  <si>
    <t xml:space="preserve">Sockets 0.1/Rft</t>
  </si>
  <si>
    <t xml:space="preserve">MAT-CND-075-BN</t>
  </si>
  <si>
    <t xml:space="preserve">Bends 0.1/Rft</t>
  </si>
  <si>
    <t xml:space="preserve">LAB-ELC</t>
  </si>
  <si>
    <t xml:space="preserve">Electrician 1/100</t>
  </si>
  <si>
    <t xml:space="preserve">Helper 1/100</t>
  </si>
  <si>
    <t xml:space="preserve">MAT-CND-100</t>
  </si>
  <si>
    <t xml:space="preserve">MAT-CND-100-SO</t>
  </si>
  <si>
    <t xml:space="preserve">MAT-CND-100-BN</t>
  </si>
  <si>
    <t xml:space="preserve">MAT-CBL-329</t>
  </si>
  <si>
    <t xml:space="preserve">Wire</t>
  </si>
  <si>
    <t xml:space="preserve">Electrician 1/800</t>
  </si>
  <si>
    <t xml:space="preserve">Helper 1/800</t>
  </si>
  <si>
    <t xml:space="preserve">MAT-CBL-729</t>
  </si>
  <si>
    <t xml:space="preserve">MAT-CBL-744</t>
  </si>
  <si>
    <t xml:space="preserve">Conduit 25 Rft</t>
  </si>
  <si>
    <t xml:space="preserve">Bends 3</t>
  </si>
  <si>
    <t xml:space="preserve">Wire 75 Rft</t>
  </si>
  <si>
    <t xml:space="preserve">MAT-SW</t>
  </si>
  <si>
    <t xml:space="preserve">Switch</t>
  </si>
  <si>
    <t xml:space="preserve">MAT-BOX-SW</t>
  </si>
  <si>
    <t xml:space="preserve">Switch box</t>
  </si>
  <si>
    <t xml:space="preserve">MAT-BOX-LT</t>
  </si>
  <si>
    <t xml:space="preserve">Light box</t>
  </si>
  <si>
    <t xml:space="preserve">Electrician 0.25</t>
  </si>
  <si>
    <t xml:space="preserve">Helper 0.25</t>
  </si>
  <si>
    <t xml:space="preserve">Conduit 30 Rft</t>
  </si>
  <si>
    <t xml:space="preserve">Wire 90 Rft</t>
  </si>
  <si>
    <t xml:space="preserve">MAT-SKT</t>
  </si>
  <si>
    <t xml:space="preserve">15A socket</t>
  </si>
  <si>
    <t xml:space="preserve">MAT-BOX-SK</t>
  </si>
  <si>
    <t xml:space="preserve">Socket box</t>
  </si>
  <si>
    <t xml:space="preserve">Electrician 0.30</t>
  </si>
  <si>
    <t xml:space="preserve">Helper 0.30</t>
  </si>
  <si>
    <t xml:space="preserve">MAT-EPIT</t>
  </si>
  <si>
    <t xml:space="preserve">Earth pit set</t>
  </si>
  <si>
    <t xml:space="preserve">Electrician 1.0</t>
  </si>
  <si>
    <t xml:space="preserve">Helpers 2.0</t>
  </si>
  <si>
    <t xml:space="preserve">MAT-DB</t>
  </si>
  <si>
    <t xml:space="preserve">DB populated</t>
  </si>
  <si>
    <t xml:space="preserve">Helper 1.0</t>
  </si>
  <si>
    <t xml:space="preserve">MAT-IPC</t>
  </si>
  <si>
    <t xml:space="preserve">Camera</t>
  </si>
  <si>
    <t xml:space="preserve">MAT-CAT6</t>
  </si>
  <si>
    <t xml:space="preserve">Cat-6 100 Rft</t>
  </si>
  <si>
    <t xml:space="preserve">Conduit 100 Rft</t>
  </si>
  <si>
    <t xml:space="preserve">Technician 0.5</t>
  </si>
  <si>
    <t xml:space="preserve">MAT-SMD</t>
  </si>
  <si>
    <t xml:space="preserve">Detector + base</t>
  </si>
  <si>
    <t xml:space="preserve">MAT-FRC</t>
  </si>
  <si>
    <t xml:space="preserve">FR cable 30 Rft</t>
  </si>
  <si>
    <t xml:space="preserve">Technician 0.25</t>
  </si>
  <si>
    <t xml:space="preserve">MAT-GIS</t>
  </si>
  <si>
    <t xml:space="preserve">GI sheet 0.60 kg</t>
  </si>
  <si>
    <t xml:space="preserve">MAT-DHNG</t>
  </si>
  <si>
    <t xml:space="preserve">Hangers 0.10</t>
  </si>
  <si>
    <t xml:space="preserve">LAB-HVT</t>
  </si>
  <si>
    <t xml:space="preserve">Duct fitter PR-DUCT crew</t>
  </si>
  <si>
    <t xml:space="preserve">Helper PR-DUCT crew</t>
  </si>
  <si>
    <t xml:space="preserve">MAT-DINS</t>
  </si>
  <si>
    <t xml:space="preserve">Insulation 1.10 Sft</t>
  </si>
  <si>
    <t xml:space="preserve">Fitter PR-DINS crew</t>
  </si>
  <si>
    <t xml:space="preserve">Helper PR-DINS crew</t>
  </si>
  <si>
    <t xml:space="preserve">MAT-SAC</t>
  </si>
  <si>
    <t xml:space="preserve">Split AC set</t>
  </si>
  <si>
    <t xml:space="preserve">MAT-CUP</t>
  </si>
  <si>
    <t xml:space="preserve">Copper pair 15 Rft</t>
  </si>
  <si>
    <t xml:space="preserve">Drain 15 Rft</t>
  </si>
  <si>
    <t xml:space="preserve">Technician 1.0</t>
  </si>
  <si>
    <t xml:space="preserve">MAT-LIFT</t>
  </si>
  <si>
    <t xml:space="preserve">Lift complete (vendor)</t>
  </si>
  <si>
    <t xml:space="preserve">MAT-SSP</t>
  </si>
  <si>
    <t xml:space="preserve">SS railing incl. posts (MRS)</t>
  </si>
  <si>
    <t xml:space="preserve">MAT-SSB</t>
  </si>
  <si>
    <t xml:space="preserve">Posts – included</t>
  </si>
  <si>
    <t xml:space="preserve">LAB-FAB</t>
  </si>
  <si>
    <t xml:space="preserve">Fabricator 1/15</t>
  </si>
  <si>
    <t xml:space="preserve">Helper 1/15</t>
  </si>
  <si>
    <t xml:space="preserve">MAT-TGL</t>
  </si>
  <si>
    <t xml:space="preserve">Glass balustrade installed 3.5 Sft/Rft</t>
  </si>
  <si>
    <t xml:space="preserve">MAT-SPIG</t>
  </si>
  <si>
    <t xml:space="preserve">Spigots – included</t>
  </si>
  <si>
    <t xml:space="preserve">Glazier – nil (installed)</t>
  </si>
  <si>
    <t xml:space="preserve">Helper – nil (installed)</t>
  </si>
  <si>
    <t xml:space="preserve">MAT-CND-050</t>
  </si>
  <si>
    <t xml:space="preserve">MAT-CND-050-SO</t>
  </si>
  <si>
    <t xml:space="preserve">Sockets 0.1</t>
  </si>
  <si>
    <t xml:space="preserve">MAT-CND-050-BN</t>
  </si>
  <si>
    <t xml:space="preserve">Bends 0.1</t>
  </si>
  <si>
    <t xml:space="preserve">Electrician 1/120</t>
  </si>
  <si>
    <t xml:space="preserve">Helper 1/120</t>
  </si>
  <si>
    <t xml:space="preserve">MAT-CND-125</t>
  </si>
  <si>
    <t xml:space="preserve">MAT-CND-125-SO</t>
  </si>
  <si>
    <t xml:space="preserve">MAT-CND-125-BN</t>
  </si>
  <si>
    <t xml:space="preserve">Electrician 1/70</t>
  </si>
  <si>
    <t xml:space="preserve">Helper 1/70</t>
  </si>
  <si>
    <t xml:space="preserve">MAT-CND-150</t>
  </si>
  <si>
    <t xml:space="preserve">MAT-CND-150-SO</t>
  </si>
  <si>
    <t xml:space="preserve">MAT-CND-150-BN</t>
  </si>
  <si>
    <t xml:space="preserve">MAT-CND-200</t>
  </si>
  <si>
    <t xml:space="preserve">MAT-CND-200-SO</t>
  </si>
  <si>
    <t xml:space="preserve">MAT-CND-200-BN</t>
  </si>
  <si>
    <t xml:space="preserve">MAT-VNL</t>
  </si>
  <si>
    <t xml:space="preserve">Plank incl. cutting</t>
  </si>
  <si>
    <t xml:space="preserve">MAT-VADH</t>
  </si>
  <si>
    <t xml:space="preserve">Adhesive 0.03 kg</t>
  </si>
  <si>
    <t xml:space="preserve">Installer 1/250</t>
  </si>
  <si>
    <t xml:space="preserve">Helper 1/250</t>
  </si>
  <si>
    <t xml:space="preserve">MAT-LAM</t>
  </si>
  <si>
    <t xml:space="preserve">Laminate incl. cutting</t>
  </si>
  <si>
    <t xml:space="preserve">MAT-UNDL</t>
  </si>
  <si>
    <t xml:space="preserve">Underlay 1.05</t>
  </si>
  <si>
    <t xml:space="preserve">MAT-EPX</t>
  </si>
  <si>
    <t xml:space="preserve">Epoxy system supplied &amp; applied</t>
  </si>
  <si>
    <t xml:space="preserve">Applicator – nil (installed rate)</t>
  </si>
  <si>
    <t xml:space="preserve">Helpers – nil</t>
  </si>
  <si>
    <t xml:space="preserve">Tile 0.333 Sft</t>
  </si>
  <si>
    <t xml:space="preserve">Adhesive 1/270 bag</t>
  </si>
  <si>
    <t xml:space="preserve">Grout 0.01 kg</t>
  </si>
  <si>
    <t xml:space="preserve">Tiler 1/150</t>
  </si>
  <si>
    <t xml:space="preserve">Helper 1/150</t>
  </si>
  <si>
    <t xml:space="preserve">Helper(s) – PR-PLS75 crew</t>
  </si>
  <si>
    <t xml:space="preserve">Plasterer – PR-PLSC crew</t>
  </si>
  <si>
    <t xml:space="preserve">Helper(s) – PR-PLSC crew</t>
  </si>
  <si>
    <t xml:space="preserve">Sand</t>
  </si>
  <si>
    <t xml:space="preserve">Mason – PR-SCR1 crew</t>
  </si>
  <si>
    <t xml:space="preserve">Helper(s) – PR-SCR1 crew</t>
  </si>
  <si>
    <t xml:space="preserve">Bricks 13.5</t>
  </si>
  <si>
    <t xml:space="preserve">Cement 0.25×DryF_Mortar/5</t>
  </si>
  <si>
    <t xml:space="preserve">Sand 0.25×DryF_Mortar×4/5</t>
  </si>
  <si>
    <t xml:space="preserve">Mason – PR-BRKF crew</t>
  </si>
  <si>
    <t xml:space="preserve">Helper(s) – PR-BRKF crew</t>
  </si>
  <si>
    <t xml:space="preserve">Cement 1.54×1/10÷1.25</t>
  </si>
  <si>
    <t xml:space="preserve">Sand 1.54×3/10</t>
  </si>
  <si>
    <t xml:space="preserve">Crush 1.54×6/10</t>
  </si>
  <si>
    <t xml:space="preserve">Water (W/C 0.6)</t>
  </si>
  <si>
    <t xml:space="preserve">Helper(s) – PR-PCC crew</t>
  </si>
  <si>
    <t xml:space="preserve">Mixer 1/150</t>
  </si>
  <si>
    <t xml:space="preserve">Plywood 1/32/Reuse_Ply</t>
  </si>
  <si>
    <t xml:space="preserve">Timber 0.04/Reuse_Tim</t>
  </si>
  <si>
    <t xml:space="preserve">Nails 0.01</t>
  </si>
  <si>
    <t xml:space="preserve">Oil 0.01</t>
  </si>
  <si>
    <t xml:space="preserve">Props</t>
  </si>
  <si>
    <t xml:space="preserve">Unit: ton</t>
  </si>
  <si>
    <t xml:space="preserve">Steel 1,000 kg</t>
  </si>
  <si>
    <t xml:space="preserve">Binding wire 10 kg</t>
  </si>
  <si>
    <t xml:space="preserve">Fixer per ton</t>
  </si>
  <si>
    <t xml:space="preserve">Helper</t>
  </si>
  <si>
    <t xml:space="preserve">FINAL RATE per ton (rounded)</t>
  </si>
  <si>
    <t xml:space="preserve">MAT-RMC-4000</t>
  </si>
  <si>
    <t xml:space="preserve">Ready-mix concrete delivered</t>
  </si>
  <si>
    <t xml:space="preserve">Pumping (GRN)</t>
  </si>
  <si>
    <t xml:space="preserve">Mason – PR-RMC crew</t>
  </si>
  <si>
    <t xml:space="preserve">Helpers – PR-RMC crew</t>
  </si>
  <si>
    <t xml:space="preserve">Needle vibrator – PR-RMC crew</t>
  </si>
  <si>
    <t xml:space="preserve">MAT-RMC-4500</t>
  </si>
  <si>
    <t xml:space="preserve">MAT-RMC-6500</t>
  </si>
  <si>
    <t xml:space="preserve">MAT-RMC-LEAN</t>
  </si>
  <si>
    <t xml:space="preserve">MRS-C6-6-17</t>
  </si>
  <si>
    <t xml:space="preserve">MRS extra labour – item rate per unit</t>
  </si>
  <si>
    <t xml:space="preserve">MRS-C7-6-1</t>
  </si>
  <si>
    <t xml:space="preserve">MRS-C7-6-2</t>
  </si>
  <si>
    <t xml:space="preserve">MRS-C7-6-3</t>
  </si>
  <si>
    <t xml:space="preserve">MRS-C7-6-4</t>
  </si>
  <si>
    <t xml:space="preserve">MRS-C7-6-5</t>
  </si>
  <si>
    <t xml:space="preserve">MRS-C11-29-1</t>
  </si>
  <si>
    <t xml:space="preserve">MRS-C10-19-1</t>
  </si>
  <si>
    <t xml:space="preserve">GRN-QUA-HDW-000614</t>
  </si>
  <si>
    <t xml:space="preserve">HDPE pipe 110 mm</t>
  </si>
  <si>
    <t xml:space="preserve">GRN-QUA-MEP-001380</t>
  </si>
  <si>
    <t xml:space="preserve">Elbows 0.05 per Rft (ASSUMPTION)</t>
  </si>
  <si>
    <t xml:space="preserve">GRN-QUA-MEP-001381</t>
  </si>
  <si>
    <t xml:space="preserve">Tees 0.03 per Rft (ASSUMPTION)</t>
  </si>
  <si>
    <t xml:space="preserve">Plumber – PR-PPR-400 crew (110 mm proxy)</t>
  </si>
  <si>
    <t xml:space="preserve">Helper – PR-PPR-400 crew</t>
  </si>
  <si>
    <t xml:space="preserve">GRN-QUA-MEP-000939</t>
  </si>
  <si>
    <t xml:space="preserve">Landing valve 2½" flanged</t>
  </si>
  <si>
    <t xml:space="preserve">Pipe fitter 0.5 day (as FF-HR-001, ASSUMPTION)</t>
  </si>
  <si>
    <t xml:space="preserve">GRN-QUA-ARC-000002</t>
  </si>
  <si>
    <t xml:space="preserve">Board 1 ÷ 67.5 Sft (supplied &amp; fixed)</t>
  </si>
  <si>
    <t xml:space="preserve">Unit: Job</t>
  </si>
  <si>
    <t xml:space="preserve">MAT-MOB</t>
  </si>
  <si>
    <t xml:space="preserve">Supply &amp; install – vendor quote (RFQ)</t>
  </si>
  <si>
    <t xml:space="preserve">FINAL RATE per Job (rounded)</t>
  </si>
  <si>
    <t xml:space="preserve">MAT-SITEOFF</t>
  </si>
  <si>
    <t xml:space="preserve">Unit: Month</t>
  </si>
  <si>
    <t xml:space="preserve">MAT-TEMPSVC</t>
  </si>
  <si>
    <t xml:space="preserve">FINAL RATE per Month (rounded)</t>
  </si>
  <si>
    <t xml:space="preserve">MAT-CUBE</t>
  </si>
  <si>
    <t xml:space="preserve">MAT-CLEAN</t>
  </si>
  <si>
    <t xml:space="preserve">MAT-GYP-SYSFR</t>
  </si>
  <si>
    <t xml:space="preserve">Helper – PR-CLG crew</t>
  </si>
  <si>
    <t xml:space="preserve">MAT-MCLG</t>
  </si>
  <si>
    <t xml:space="preserve">MAT-ACCP</t>
  </si>
  <si>
    <t xml:space="preserve">MAT-CPT</t>
  </si>
  <si>
    <t xml:space="preserve">MAT-WPP</t>
  </si>
  <si>
    <t xml:space="preserve">MAT-ACPNL</t>
  </si>
  <si>
    <t xml:space="preserve">MAT-GLDR</t>
  </si>
  <si>
    <t xml:space="preserve">MAT-GRC</t>
  </si>
  <si>
    <t xml:space="preserve">MAT-EIFS</t>
  </si>
  <si>
    <t xml:space="preserve">MAT-CNPY</t>
  </si>
  <si>
    <t xml:space="preserve">MAT-SKYL</t>
  </si>
  <si>
    <t xml:space="preserve">MAT-URN</t>
  </si>
  <si>
    <t xml:space="preserve">Plumber – PR-WB crew (proxy)</t>
  </si>
  <si>
    <t xml:space="preserve">Helper – PR-WB crew</t>
  </si>
  <si>
    <t xml:space="preserve">MAT-CPVC-100</t>
  </si>
  <si>
    <t xml:space="preserve">Plumber – PR-PPR-S crew (proxy)</t>
  </si>
  <si>
    <t xml:space="preserve">Helper – PR-PPR-S crew</t>
  </si>
  <si>
    <t xml:space="preserve">MAT-ACS</t>
  </si>
  <si>
    <t xml:space="preserve">MAT-ESC</t>
  </si>
  <si>
    <t xml:space="preserve">MAT-IRR</t>
  </si>
  <si>
    <t xml:space="preserve">Unit: TR</t>
  </si>
  <si>
    <t xml:space="preserve">MAT-VRF</t>
  </si>
  <si>
    <t xml:space="preserve">FINAL RATE per TR (rounded)</t>
  </si>
  <si>
    <t xml:space="preserve">MAT-MDB</t>
  </si>
  <si>
    <t xml:space="preserve">05 · MATERIAL RATE LIBRARY (city-driven)</t>
  </si>
  <si>
    <t xml:space="preserve">Base Rate (E) = rate for the City selected in 10 ASSUMPTIONS, pulled from 08. Lahore Rate (N) is the Lahore input (red items link to 16 RFQ).</t>
  </si>
  <si>
    <t xml:space="preserve">Material Code</t>
  </si>
  <si>
    <t xml:space="preserve">Specification</t>
  </si>
  <si>
    <t xml:space="preserve">Base Rate PKR (selected city)</t>
  </si>
  <si>
    <t xml:space="preserve">Low (Lahore)</t>
  </si>
  <si>
    <t xml:space="preserve">High (Lahore)</t>
  </si>
  <si>
    <t xml:space="preserve">Source ID</t>
  </si>
  <si>
    <t xml:space="preserve">Basis / Note</t>
  </si>
  <si>
    <t xml:space="preserve">Has Rate (1 ok / 0 blank / 2 old)</t>
  </si>
  <si>
    <t xml:space="preserve">Lahore Rate PKR (input)</t>
  </si>
  <si>
    <t xml:space="preserve">Scope</t>
  </si>
  <si>
    <t xml:space="preserve">Cement OPC</t>
  </si>
  <si>
    <t xml:space="preserve">OPC Grade 53, 50 kg bag, any approved brand (DG/Lucky/Maple Leaf/Fauji/Bestway)</t>
  </si>
  <si>
    <t xml:space="preserve">2026-09-05</t>
  </si>
  <si>
    <t xml:space="preserve">Market indication</t>
  </si>
  <si>
    <t xml:space="preserve">SRC-39</t>
  </si>
  <si>
    <t xml:space="preserve">Rev07: 1,415 (Phoenix GRN RCP-266, 06-May-2026, &gt;4 months) -&gt; 1,575 Lahore market 05-Sep-2026 (band 1,520–1,605; web 04-Sep-2026 1,500–1,610). Same as dashboard CEM.</t>
  </si>
  <si>
    <t xml:space="preserve">National list</t>
  </si>
  <si>
    <t xml:space="preserve">Sand – Lawrencepur</t>
  </si>
  <si>
    <t xml:space="preserve">Coarse sand, FM ~2.4–2.6, delivered Lahore</t>
  </si>
  <si>
    <t xml:space="preserve">2026-09-04</t>
  </si>
  <si>
    <t xml:space="preserve">SRC-40</t>
  </si>
  <si>
    <t xml:space="preserve">Rev07: 190 (SRC-03 national north band, Jul-2026) -&gt; 240 Lahore market rate supplied by Sajjad 04-Sep-2026. Same as dashboard SAND-LP.</t>
  </si>
  <si>
    <t xml:space="preserve">City-specific</t>
  </si>
  <si>
    <t xml:space="preserve">Sand – Chenab</t>
  </si>
  <si>
    <t xml:space="preserve">A-grade, delivered Lahore</t>
  </si>
  <si>
    <t xml:space="preserve">2026-09-07</t>
  </si>
  <si>
    <t xml:space="preserve">GRN verified</t>
  </si>
  <si>
    <t xml:space="preserve">SRC-30</t>
  </si>
  <si>
    <t xml:space="preserve">Phoenix GRN RCP-316, 07-Sep-2026 – Mushtaq &amp; Sons.</t>
  </si>
  <si>
    <t xml:space="preserve">Sand – Zinda Pir</t>
  </si>
  <si>
    <t xml:space="preserve">As per mix design Image 5 (1:3:6)</t>
  </si>
  <si>
    <t xml:space="preserve">SRC-49</t>
  </si>
  <si>
    <t xml:space="preserve">ASSUMPTION — no dated source (2026-09-27, assumed on request): between Ravi 52 (Phoenix GRN RCP-310, 27-Aug-2026) and Chenab 80 (RCP-316, 07-Sep-2026). Replace with a quotation in 16 RFQ col H.</t>
  </si>
  <si>
    <t xml:space="preserve">Crush – Margalla (all fractions)</t>
  </si>
  <si>
    <t xml:space="preserve">Crushed stone, fraction as per mix (3/4", 1/2", 3/8", 1/4")</t>
  </si>
  <si>
    <t xml:space="preserve">2026-07-01</t>
  </si>
  <si>
    <t xml:space="preserve">SRC-41</t>
  </si>
  <si>
    <t xml:space="preserve">Rev07: 145 -&gt; 180. Rev06 midpoint was below the 04-Sep-2026 Sargodha quote (185) although Margalla hauls further; 180 = dashboard CRSH-MG (web, Jul-2026). Get a delivered quote.</t>
  </si>
  <si>
    <t xml:space="preserve">Crush – Sargodha (all fractions)</t>
  </si>
  <si>
    <t xml:space="preserve">Crushed stone 3/4"–1/2" &amp; 1/2"–3/16"</t>
  </si>
  <si>
    <t xml:space="preserve">Rev07: 190 (Quadrangle GRN RCP-2607, Jul-2025, &gt;12 months) -&gt; 185 Lahore market 04-Sep-2026. Same as dashboard CRSH-SG.</t>
  </si>
  <si>
    <t xml:space="preserve">Admixture – superplasticizer</t>
  </si>
  <si>
    <t xml:space="preserve">Sikament 512 PK / Sika 520 BA / Imperial 540M or equivalent (ASTM C494 Type G/F)</t>
  </si>
  <si>
    <t xml:space="preserve">2024-07-24</t>
  </si>
  <si>
    <t xml:space="preserve">Quadrangle GRN RCP-1847, 24-Jul-2024 – FosPak SP 568 @ Rs185/kg. &gt;24 months old – escalate / re-quote.</t>
  </si>
  <si>
    <t xml:space="preserve">Water for mixing &amp; curing</t>
  </si>
  <si>
    <t xml:space="preserve">Clean potable water</t>
  </si>
  <si>
    <t xml:space="preserve">SRC-38</t>
  </si>
  <si>
    <t xml:space="preserve">PROXY: Karachi KWSC commercial tanker Rs3,120 per 1,000 gal (4,546 L). No Lahore tariff found; nil if site bore water.</t>
  </si>
  <si>
    <t xml:space="preserve">Steel reinforcement Grade 60</t>
  </si>
  <si>
    <t xml:space="preserve">Deformed bars ASTM A615 Gr.60, any approved mill</t>
  </si>
  <si>
    <t xml:space="preserve">2026-08-30</t>
  </si>
  <si>
    <t xml:space="preserve">Phoenix GRN RCP-312, 30-Aug-2026 – M/S Hamza Steel, G-60 #3–#8 @ Rs242,000/ton.</t>
  </si>
  <si>
    <t xml:space="preserve">Binding wire</t>
  </si>
  <si>
    <t xml:space="preserve">GI / black annealed binding wire</t>
  </si>
  <si>
    <t xml:space="preserve">2026-08-19</t>
  </si>
  <si>
    <t xml:space="preserve">Phoenix GRN RCP-308, 19-Aug-2026 – Ibrahim Nizami Steel Wire, 20 SWG.</t>
  </si>
  <si>
    <t xml:space="preserve">Brick – A class (Awwal)</t>
  </si>
  <si>
    <t xml:space="preserve">Burnt clay 9"×4.5"×3"</t>
  </si>
  <si>
    <t xml:space="preserve">2026-09-26</t>
  </si>
  <si>
    <t xml:space="preserve">SRC-42</t>
  </si>
  <si>
    <t xml:space="preserve">Rev07: 18 -&gt; 17.5 (Rs 16,000–19,000 per 1,000, Sep-2026). Same as dashboard BRK-1.</t>
  </si>
  <si>
    <t xml:space="preserve">Concrete block 8" hollow</t>
  </si>
  <si>
    <t xml:space="preserve">16"x8"x8" hollow, 1200 PSI class</t>
  </si>
  <si>
    <t xml:space="preserve">Phoenix GRN RCP-317, 07-Sep-2026 – Azmat Sons, 8"x8"x16" hollow.</t>
  </si>
  <si>
    <t xml:space="preserve">Hubs (LHR/KHI/ISB/RWP)</t>
  </si>
  <si>
    <t xml:space="preserve">Concrete block 6" hollow</t>
  </si>
  <si>
    <t xml:space="preserve">16"x6"x8"</t>
  </si>
  <si>
    <t xml:space="preserve">Vendor quote</t>
  </si>
  <si>
    <t xml:space="preserve">SRC-43</t>
  </si>
  <si>
    <t xml:space="preserve">Rev07: 110 (national ex-factory midpoint, Jun-2026) -&gt; 165 Zarea Lahore quotation 05-Sep-2026. Same as dashboard BLK-H6.</t>
  </si>
  <si>
    <t xml:space="preserve">Concrete block 4" solid</t>
  </si>
  <si>
    <t xml:space="preserve">12"x4"x8" partition block</t>
  </si>
  <si>
    <t xml:space="preserve">Rev07: 103 (Phoenix GRN RCP-213, Oct-2025, &gt;11 months) -&gt; 140 Zarea Lahore quotation 05-Sep-2026. Same as dashboard BLK-S4.</t>
  </si>
  <si>
    <t xml:space="preserve">Shuttering plywood 3/4" 8'x4'</t>
  </si>
  <si>
    <t xml:space="preserve">3/4" plywood sheet 32 Sft</t>
  </si>
  <si>
    <t xml:space="preserve">SRC-10</t>
  </si>
  <si>
    <t xml:space="preserve">Midpoint of general plywood band; film-faced shuttering ply may differ – confirm.</t>
  </si>
  <si>
    <t xml:space="preserve">Timber – Chir (battens, bearers, yokes)</t>
  </si>
  <si>
    <t xml:space="preserve">Sawn chir wood</t>
  </si>
  <si>
    <t xml:space="preserve">2026-06-10</t>
  </si>
  <si>
    <t xml:space="preserve">Phoenix GRN RCP-277, 10-Jun-2026 – Taha International, wooden planks 1.5"x9"x10' @ Rs3,450 each ÷ 0.9375 cft = Rs3,680/cft (species not stated).</t>
  </si>
  <si>
    <t xml:space="preserve">Nails / tie wire for formwork</t>
  </si>
  <si>
    <t xml:space="preserve">Assorted</t>
  </si>
  <si>
    <t xml:space="preserve">2026-05-21</t>
  </si>
  <si>
    <t xml:space="preserve">Phoenix GRN RCP-273, 21-May-2026 – Taha International, MS nails 2".</t>
  </si>
  <si>
    <t xml:space="preserve">Shuttering / release oil</t>
  </si>
  <si>
    <t xml:space="preserve">Mould release agent</t>
  </si>
  <si>
    <t xml:space="preserve">ASSUMPTION — no dated source (2026-09-27, assumed on request): same as the dashboard's MOULD assumption – set near diesel 392/Ltr (Phoenix GRN RCP-311, 28-Aug-2026). Replace with a quotation in 16 RFQ col H.</t>
  </si>
  <si>
    <t xml:space="preserve">APP modified bitumen membrane 4-thick (torch-on)</t>
  </si>
  <si>
    <t xml:space="preserve">Polyester reinforced, roll</t>
  </si>
  <si>
    <t xml:space="preserve">2025-08-19</t>
  </si>
  <si>
    <t xml:space="preserve">Quadrangle GRN RCP-2689, 19-Aug-2025 – Grace Chemicals, 4-thick membrane WITH primer coat, per Sft.</t>
  </si>
  <si>
    <t xml:space="preserve">Bitumen primer</t>
  </si>
  <si>
    <t xml:space="preserve">Solvent/oil-based bituminous primer</t>
  </si>
  <si>
    <t xml:space="preserve">2021-12-23</t>
  </si>
  <si>
    <t xml:space="preserve">Quadrangle GRN RCP-192 – Roof Line. Not used: membrane GRN rate includes primer coat (FIN-WPF-001 primer set to nil).</t>
  </si>
  <si>
    <t xml:space="preserve">Bitumen 80/100 (hot applied)</t>
  </si>
  <si>
    <t xml:space="preserve">Penetration grade bitumen</t>
  </si>
  <si>
    <t xml:space="preserve">SRC-33</t>
  </si>
  <si>
    <t xml:space="preserve">Dashboard civil review: 60/70 bitumen Rs185,000–210,000/ton (web 26-Sep-2026).</t>
  </si>
  <si>
    <t xml:space="preserve">LPG for torching</t>
  </si>
  <si>
    <t xml:space="preserve">Gas cylinder, per kg</t>
  </si>
  <si>
    <t xml:space="preserve">2026-09-01</t>
  </si>
  <si>
    <t xml:space="preserve">Govt notified</t>
  </si>
  <si>
    <t xml:space="preserve">SRC-34</t>
  </si>
  <si>
    <t xml:space="preserve">OGRA LPG price September 2026.</t>
  </si>
  <si>
    <t xml:space="preserve">Cementitious waterproofing (2-component)</t>
  </si>
  <si>
    <t xml:space="preserve">e.g. Sika/Ultra/Fosroc brushable slurry</t>
  </si>
  <si>
    <t xml:space="preserve">2024-03-13</t>
  </si>
  <si>
    <t xml:space="preserve">Quadrangle GRN RCP-1567 – Fawchem, Sika Seal 105 cementitious coating per Sft. &gt;24 months – re-quote.</t>
  </si>
  <si>
    <t xml:space="preserve">Porcelain tile 24"x24" local A-grade</t>
  </si>
  <si>
    <t xml:space="preserve">Local brand (Master/Stile/Time) – PC rate, depends on selected series</t>
  </si>
  <si>
    <t xml:space="preserve">SRC-14; SRC-13</t>
  </si>
  <si>
    <t xml:space="preserve">Converted from SRC-14; replace with selected product rate (PC).</t>
  </si>
  <si>
    <t xml:space="preserve">Ceramic tile local (floor/wall)</t>
  </si>
  <si>
    <t xml:space="preserve">Local brand – PC rate</t>
  </si>
  <si>
    <t xml:space="preserve">Tile adhesive 20 kg bag</t>
  </si>
  <si>
    <t xml:space="preserve">Cementitious C1 (Bestway / Stile Bond)</t>
  </si>
  <si>
    <t xml:space="preserve">SRC-15</t>
  </si>
  <si>
    <t xml:space="preserve">Upper end of Bestway band; Stile Bond also Rs650.</t>
  </si>
  <si>
    <t xml:space="preserve">Tile grout (cementitious)</t>
  </si>
  <si>
    <t xml:space="preserve">Sanded/unsanded, colour to match</t>
  </si>
  <si>
    <t xml:space="preserve">2025-05-14</t>
  </si>
  <si>
    <t xml:space="preserve">Quadrangle GRN RCP-2505, 14-May-2025 – Hassan Enterprises, Rs300 per pack; pack taken as 1 kg (ASSUMPTION – confirm pack size).</t>
  </si>
  <si>
    <t xml:space="preserve">Marble Ziarat White 3/4" floor</t>
  </si>
  <si>
    <t xml:space="preserve">Local, polished-in-situ</t>
  </si>
  <si>
    <t xml:space="preserve">2026-09-10</t>
  </si>
  <si>
    <t xml:space="preserve">SRC-37</t>
  </si>
  <si>
    <t xml:space="preserve">ICONS 10-Sep-2026: Ziarat White floor marble Rs330–345/Sft (midpoint).</t>
  </si>
  <si>
    <t xml:space="preserve">Marble Tavera 3/4" floor</t>
  </si>
  <si>
    <t xml:space="preserve">Local</t>
  </si>
  <si>
    <t xml:space="preserve">ICONS 10-Sep-2026: Tavera floor marble Rs85–100/Sft (midpoint).</t>
  </si>
  <si>
    <t xml:space="preserve">MAT-GYP-12</t>
  </si>
  <si>
    <t xml:space="preserve">Gypsum board 1/2" standard 4'x8'</t>
  </si>
  <si>
    <t xml:space="preserve">Tapered edge, 32 Sft/sheet</t>
  </si>
  <si>
    <t xml:space="preserve">ASSUMPTION — no dated source (2026-09-27, assumed on request): web B2B listing 27-Sep-2026 (tradekey.com, undated): Pakistan gypsum board 3,550–3,600 per sheet; low end. Replace with a quotation in 16 RFQ col H.</t>
  </si>
  <si>
    <t xml:space="preserve">MAT-GYP-MR</t>
  </si>
  <si>
    <t xml:space="preserve">Gypsum board 1/2" moisture-resistant 4'x8'</t>
  </si>
  <si>
    <t xml:space="preserve">MR (green) board</t>
  </si>
  <si>
    <t xml:space="preserve">ASSUMPTION — no dated source (2026-09-27, assumed on request): standard board 3,550 + ≈30% moisture-resistant premium (Claude estimate for Lahore, Sep-2026). Replace with a quotation in 16 RFQ col H.</t>
  </si>
  <si>
    <t xml:space="preserve">MAT-GI-MC</t>
  </si>
  <si>
    <t xml:space="preserve">GI main channel</t>
  </si>
  <si>
    <t xml:space="preserve">Primary carrying channel</t>
  </si>
  <si>
    <t xml:space="preserve">ASSUMPTION — no dated source (2026-09-27, assumed on request): calibrated so board + frame + accessories ≈ the Punjab MRS 2026 Ch.9 item 49(ii) gypsum-ceiling system material (176.10/Sft). Replace with a quotation in 16 RFQ col H.</t>
  </si>
  <si>
    <t xml:space="preserve">MAT-GI-FC</t>
  </si>
  <si>
    <t xml:space="preserve">GI furring channel</t>
  </si>
  <si>
    <t xml:space="preserve">Secondary furring</t>
  </si>
  <si>
    <t xml:space="preserve">MAT-GI-WA</t>
  </si>
  <si>
    <t xml:space="preserve">GI wall angle</t>
  </si>
  <si>
    <t xml:space="preserve">Perimeter angle</t>
  </si>
  <si>
    <t xml:space="preserve">MAT-HGR</t>
  </si>
  <si>
    <t xml:space="preserve">Hanger set (rod/wire, anchor, clip)</t>
  </si>
  <si>
    <t xml:space="preserve">Soffit fixing</t>
  </si>
  <si>
    <t xml:space="preserve">2025-08-06</t>
  </si>
  <si>
    <t xml:space="preserve">As MAT-DHNG (rod + anchor); clip excluded.</t>
  </si>
  <si>
    <t xml:space="preserve">MAT-SCRW</t>
  </si>
  <si>
    <t xml:space="preserve">Drywall screws</t>
  </si>
  <si>
    <t xml:space="preserve">Self-tapping</t>
  </si>
  <si>
    <t xml:space="preserve">2026-05-15</t>
  </si>
  <si>
    <t xml:space="preserve">Phoenix GRN RCP-271 – Rehman Ali, self-tapping screw 1-1/2".</t>
  </si>
  <si>
    <t xml:space="preserve">MAT-JTAPE</t>
  </si>
  <si>
    <t xml:space="preserve">Joint tape</t>
  </si>
  <si>
    <t xml:space="preserve">Paper/mesh tape</t>
  </si>
  <si>
    <t xml:space="preserve">MAT-JCMP</t>
  </si>
  <si>
    <t xml:space="preserve">Jointing compound</t>
  </si>
  <si>
    <t xml:space="preserve">Ready-mix / powder</t>
  </si>
  <si>
    <t xml:space="preserve">Plastic emulsion (interior)</t>
  </si>
  <si>
    <t xml:space="preserve">Master/Diamond/Brighto plastic emulsion, 1 gallon</t>
  </si>
  <si>
    <t xml:space="preserve">SRC-21</t>
  </si>
  <si>
    <t xml:space="preserve">Midpoint of Master Paints band.</t>
  </si>
  <si>
    <t xml:space="preserve">Weather shield (exterior acrylic)</t>
  </si>
  <si>
    <t xml:space="preserve">Premium exterior, 1 gallon</t>
  </si>
  <si>
    <t xml:space="preserve">SRC-36</t>
  </si>
  <si>
    <t xml:space="preserve">Berger VIP Weathercoat Rs1,645 per 1 L (official Berger shop, Punjab region) × 3.64 L. Bulk 16 L packs are usually cheaper per litre.</t>
  </si>
  <si>
    <t xml:space="preserve">Wall sealer / primer</t>
  </si>
  <si>
    <t xml:space="preserve">Alkali-resistant primer, 1 gallon</t>
  </si>
  <si>
    <t xml:space="preserve">2025-07-23</t>
  </si>
  <si>
    <t xml:space="preserve">Quadrangle GRN RCP-2630 – Berger, water-based primer 18 L bucket Rs5,000 → Rs277.78/L × 3.64 L gallon.</t>
  </si>
  <si>
    <t xml:space="preserve">Wall putty / filler</t>
  </si>
  <si>
    <t xml:space="preserve">Interior putty</t>
  </si>
  <si>
    <t xml:space="preserve">2025-08-18</t>
  </si>
  <si>
    <t xml:space="preserve">Quadrangle GRN RCP-2681 – Berger wall putty 30 kg bucket Rs2,800.</t>
  </si>
  <si>
    <t xml:space="preserve">PPR PN-20 pipe 1/2"</t>
  </si>
  <si>
    <t xml:space="preserve">Popular PPR-100 PN-20</t>
  </si>
  <si>
    <t xml:space="preserve">Manufacturer list</t>
  </si>
  <si>
    <t xml:space="preserve">SRC-23</t>
  </si>
  <si>
    <t xml:space="preserve">List price converted per Rft; incl. sales tax.</t>
  </si>
  <si>
    <t xml:space="preserve">PPR el 1/2"</t>
  </si>
  <si>
    <t xml:space="preserve">PPR elbow 90° 1/2"</t>
  </si>
  <si>
    <t xml:space="preserve">ASSUMPTION — no dated source (2026-09-27, assumed on request): ≈70% of the ¾" elbow 54.50 (Popular PPR-100 list 08-Sep-2026). Replace with a quotation in 16 RFQ col H.</t>
  </si>
  <si>
    <t xml:space="preserve">PPR so 1/2"</t>
  </si>
  <si>
    <t xml:space="preserve">PPR socket 1/2"</t>
  </si>
  <si>
    <t xml:space="preserve">ASSUMPTION — no dated source (2026-09-27, assumed on request): ≈70% of the ¾" socket 38.50 (Popular PPR-100 list 08-Sep-2026). Replace with a quotation in 16 RFQ col H.</t>
  </si>
  <si>
    <t xml:space="preserve">PPR te 1/2"</t>
  </si>
  <si>
    <t xml:space="preserve">PPR tee 1/2"</t>
  </si>
  <si>
    <t xml:space="preserve">ASSUMPTION — no dated source (2026-09-27, assumed on request): ≈70% of the ¾" tee 71.50 (Popular PPR-100 list 08-Sep-2026). Replace with a quotation in 16 RFQ col H.</t>
  </si>
  <si>
    <t xml:space="preserve">PPR PN-20 pipe 3/4"</t>
  </si>
  <si>
    <t xml:space="preserve">PPR el 3/4"</t>
  </si>
  <si>
    <t xml:space="preserve">PPR elbow 90° 3/4"</t>
  </si>
  <si>
    <t xml:space="preserve">Column mapping from PDF text – verify.</t>
  </si>
  <si>
    <t xml:space="preserve">PPR so 3/4"</t>
  </si>
  <si>
    <t xml:space="preserve">PPR socket 3/4"</t>
  </si>
  <si>
    <t xml:space="preserve">PPR te 3/4"</t>
  </si>
  <si>
    <t xml:space="preserve">PPR tee 3/4"</t>
  </si>
  <si>
    <t xml:space="preserve">PPR PN-20 pipe 1"</t>
  </si>
  <si>
    <t xml:space="preserve">PPR el 1"</t>
  </si>
  <si>
    <t xml:space="preserve">PPR elbow 90° 1"</t>
  </si>
  <si>
    <t xml:space="preserve">PPR so 1"</t>
  </si>
  <si>
    <t xml:space="preserve">PPR socket 1"</t>
  </si>
  <si>
    <t xml:space="preserve">PPR te 1"</t>
  </si>
  <si>
    <t xml:space="preserve">PPR tee 1"</t>
  </si>
  <si>
    <t xml:space="preserve">PPR PN-20 pipe 1-1/4"</t>
  </si>
  <si>
    <t xml:space="preserve">PPR el 1-1/4"</t>
  </si>
  <si>
    <t xml:space="preserve">PPR elbow 90° 1-1/4"</t>
  </si>
  <si>
    <t xml:space="preserve">PPR so 1-1/4"</t>
  </si>
  <si>
    <t xml:space="preserve">PPR socket 1-1/4"</t>
  </si>
  <si>
    <t xml:space="preserve">PPR te 1-1/4"</t>
  </si>
  <si>
    <t xml:space="preserve">PPR tee 1-1/4"</t>
  </si>
  <si>
    <t xml:space="preserve">PPR PN-20 pipe 1-1/2"</t>
  </si>
  <si>
    <t xml:space="preserve">PPR el 1-1/2"</t>
  </si>
  <si>
    <t xml:space="preserve">PPR elbow 90° 1-1/2"</t>
  </si>
  <si>
    <t xml:space="preserve">PPR so 1-1/2"</t>
  </si>
  <si>
    <t xml:space="preserve">PPR socket 1-1/2"</t>
  </si>
  <si>
    <t xml:space="preserve">PPR te 1-1/2"</t>
  </si>
  <si>
    <t xml:space="preserve">PPR tee 1-1/2"</t>
  </si>
  <si>
    <t xml:space="preserve">PPR PN-20 pipe 2"</t>
  </si>
  <si>
    <t xml:space="preserve">PPR el 2"</t>
  </si>
  <si>
    <t xml:space="preserve">PPR elbow 90° 2"</t>
  </si>
  <si>
    <t xml:space="preserve">PPR so 2"</t>
  </si>
  <si>
    <t xml:space="preserve">PPR socket 2"</t>
  </si>
  <si>
    <t xml:space="preserve">PPR te 2"</t>
  </si>
  <si>
    <t xml:space="preserve">PPR tee 2"</t>
  </si>
  <si>
    <t xml:space="preserve">uPVC SWV pipe 2"</t>
  </si>
  <si>
    <t xml:space="preserve">Popular DIN-8062 S-series</t>
  </si>
  <si>
    <t xml:space="preserve">SRC-24</t>
  </si>
  <si>
    <t xml:space="preserve">Size mapping from scrambled PDF text – VERIFY.</t>
  </si>
  <si>
    <t xml:space="preserve">uPVC SWV pipe 3"</t>
  </si>
  <si>
    <t xml:space="preserve">uPVC SWV pipe 4"</t>
  </si>
  <si>
    <t xml:space="preserve">uPVC elbow 90° 4"</t>
  </si>
  <si>
    <t xml:space="preserve">BS EN 1329</t>
  </si>
  <si>
    <t xml:space="preserve">uPVC tee 4"</t>
  </si>
  <si>
    <t xml:space="preserve">uPVC fittings 2"/3" (avg per fitting)</t>
  </si>
  <si>
    <t xml:space="preserve">2025-02-07</t>
  </si>
  <si>
    <t xml:space="preserve">Average of GRN uPVC Class-B 2" elbow Rs88, socket Rs64, Y-tee Rs186 (Plasco, Feb-2025).</t>
  </si>
  <si>
    <t xml:space="preserve">Solvent cement</t>
  </si>
  <si>
    <t xml:space="preserve">uPVC solvent cement</t>
  </si>
  <si>
    <t xml:space="preserve">2025-07-07</t>
  </si>
  <si>
    <t xml:space="preserve">Quadrangle GRN RCP-2590 – solvent cement 500 ml Rs850; 500 ml taken ≈0.5 kg (ASSUMPTION on density).</t>
  </si>
  <si>
    <t xml:space="preserve">Pipe clamp / hanger</t>
  </si>
  <si>
    <t xml:space="preserve">GI clamp with anchor</t>
  </si>
  <si>
    <t xml:space="preserve">2024-04-24</t>
  </si>
  <si>
    <t xml:space="preserve">Quadrangle GRN RCP-1645 – Powermech, duo clamp 25 dia. 29 months – re-quote.</t>
  </si>
  <si>
    <t xml:space="preserve">uPVC conduit 3/4"</t>
  </si>
  <si>
    <t xml:space="preserve">Popular PS-1905 grey, 10 ft length</t>
  </si>
  <si>
    <t xml:space="preserve">SRC-25</t>
  </si>
  <si>
    <t xml:space="preserve">uPVC conduit 1"</t>
  </si>
  <si>
    <t xml:space="preserve">Popular PS-1905 grey</t>
  </si>
  <si>
    <t xml:space="preserve">Conduit socket 3/4"</t>
  </si>
  <si>
    <t xml:space="preserve">Conduit bend 3/4"</t>
  </si>
  <si>
    <t xml:space="preserve">Conduit socket 1"</t>
  </si>
  <si>
    <t xml:space="preserve">Conduit bend 1"</t>
  </si>
  <si>
    <t xml:space="preserve">Wall switch box (small)</t>
  </si>
  <si>
    <t xml:space="preserve">uPVC</t>
  </si>
  <si>
    <t xml:space="preserve">Wall socket box (large)</t>
  </si>
  <si>
    <t xml:space="preserve">Light / ceiling box</t>
  </si>
  <si>
    <t xml:space="preserve">Wire 3/.029 PVC single core</t>
  </si>
  <si>
    <t xml:space="preserve">BS-2004, 250/440 V, per coil 295.3 ft</t>
  </si>
  <si>
    <t xml:space="preserve">SRC-26</t>
  </si>
  <si>
    <t xml:space="preserve">Coil price ÷ 295.28 ft; size mapping from PDF text – VERIFY.</t>
  </si>
  <si>
    <t xml:space="preserve">Wire 7/.029 PVC single core</t>
  </si>
  <si>
    <t xml:space="preserve">BS-2004, 250/440 V</t>
  </si>
  <si>
    <t xml:space="preserve">VERIFY mapping.</t>
  </si>
  <si>
    <t xml:space="preserve">Wire 7/.044 PVC single core</t>
  </si>
  <si>
    <t xml:space="preserve">Switch 1-gang with plate</t>
  </si>
  <si>
    <t xml:space="preserve">Approved brand</t>
  </si>
  <si>
    <t xml:space="preserve">Quadrangle GRN RCP-2686 – A.S Traders, 1-gang switch.</t>
  </si>
  <si>
    <t xml:space="preserve">15A switched socket with plate</t>
  </si>
  <si>
    <t xml:space="preserve">2025-05-23</t>
  </si>
  <si>
    <t xml:space="preserve">Quadrangle GRN RCP-2524 – A.S Traders, 3-pin 15A switch socket.</t>
  </si>
  <si>
    <t xml:space="preserve">Cat-6 UTP cable</t>
  </si>
  <si>
    <t xml:space="preserve">305 coil</t>
  </si>
  <si>
    <t xml:space="preserve">2026-02-27</t>
  </si>
  <si>
    <t xml:space="preserve">Phoenix GRN RCP-251, 27-Feb-2026 – MTCS Computer Systems (converted from per-length unit).</t>
  </si>
  <si>
    <t xml:space="preserve">Fire-rated alarm cable 2-core</t>
  </si>
  <si>
    <t xml:space="preserve">FP200 or equal</t>
  </si>
  <si>
    <t xml:space="preserve">2025-08-20</t>
  </si>
  <si>
    <t xml:space="preserve">Quadrangle GRN RCP-2692 – C-XOR, fire-rated FA 1x2 core 1.5 cable.</t>
  </si>
  <si>
    <t xml:space="preserve">Sand – Ravi (fill)</t>
  </si>
  <si>
    <t xml:space="preserve">Fill sand, delivered Lahore</t>
  </si>
  <si>
    <t xml:space="preserve">2026-08-27</t>
  </si>
  <si>
    <t xml:space="preserve">Phoenix GRN RCP-310, 27-Aug-2026 – Mushtaq &amp; Sons.</t>
  </si>
  <si>
    <t xml:space="preserve">Tuff tile (interlocking paver) grey</t>
  </si>
  <si>
    <t xml:space="preserve">Standard thickness, 5000 PSI class</t>
  </si>
  <si>
    <t xml:space="preserve">SRC-27</t>
  </si>
  <si>
    <t xml:space="preserve">Anti-termite chemical concentrate</t>
  </si>
  <si>
    <t xml:space="preserve">Chlorpyrifos/Imidacloprid or approved</t>
  </si>
  <si>
    <t xml:space="preserve">2025-08-13</t>
  </si>
  <si>
    <t xml:space="preserve">Quadrangle GRN RCP-2676 &amp; Phoenix RCP-179, 13-Aug-2025 – Deltamethrin (Local Cash Purchases).</t>
  </si>
  <si>
    <t xml:space="preserve">Granular subbase material</t>
  </si>
  <si>
    <t xml:space="preserve">Pit-run / crushed, graded</t>
  </si>
  <si>
    <t xml:space="preserve">2026-09-24</t>
  </si>
  <si>
    <t xml:space="preserve">SRC-44</t>
  </si>
  <si>
    <t xml:space="preserve">Rev07: 120 (Phoenix GRN RCP-149, 30-Apr-2025, &gt;12 months) -&gt; 100 (Rs 95–105, 24-Sep-2026). Same as dashboard GRAVEL-SB.</t>
  </si>
  <si>
    <t xml:space="preserve">Asphalt wearing course 2" (supply &amp; lay, vendor)</t>
  </si>
  <si>
    <t xml:space="preserve">Hot-mix, compacted</t>
  </si>
  <si>
    <t xml:space="preserve">Govt MRS</t>
  </si>
  <si>
    <t xml:space="preserve">SRC-31</t>
  </si>
  <si>
    <t xml:space="preserve">Punjab MRS 2nd BA-2026 (Layyah) Ch.18 item 10(a)(xi): plant-premixed bituminous carpet, 4% bitumen, laid &amp; compacted – Rs7,115.50 per inch per 100 Sft × 2" ÷ 100.</t>
  </si>
  <si>
    <t xml:space="preserve">Precast kerb stone</t>
  </si>
  <si>
    <t xml:space="preserve">Standard highway kerb</t>
  </si>
  <si>
    <t xml:space="preserve">Punjab MRS 2nd BA-2026 (Layyah): precast edge kerb 12"x6"x12" in PCC 1:2:4 over lean 1:4:8 – composite Rs675.15 less labour Rs206.65 = material Rs468.50/Rft (includes bedding concrete – PCC lines in EXT-KRB-001 set to nil). Layyah district – no Lahore factor applied.</t>
  </si>
  <si>
    <t xml:space="preserve">Manhole cover &amp; frame (RCC/cast iron)</t>
  </si>
  <si>
    <t xml:space="preserve">Light/medium duty</t>
  </si>
  <si>
    <t xml:space="preserve">2026-01-01</t>
  </si>
  <si>
    <t xml:space="preserve">SRC-32</t>
  </si>
  <si>
    <t xml:space="preserve">Punjab MRS 1st BA-2026 (Rawalpindi) Ch.19 item 40 – cast iron manhole cover &amp; frame (via dashboard).</t>
  </si>
  <si>
    <t xml:space="preserve">Grass turf</t>
  </si>
  <si>
    <t xml:space="preserve">Local grass sod</t>
  </si>
  <si>
    <t xml:space="preserve">Dashboard: fine Dhaka grass Rs8–10/Sft (web 26-Sep-2026).</t>
  </si>
  <si>
    <t xml:space="preserve">Solid-core flush door leaf 1.75"</t>
  </si>
  <si>
    <t xml:space="preserve">Veneered, ready to polish</t>
  </si>
  <si>
    <t xml:space="preserve">Punjab MRS 2nd BA-2026 (Layyah) Ch.12 item 13: P/F 1½" solid flush door, commercial ply faces, wooden lipping – composite Rs902.15 less labour Rs333.60. Note 1½" vs 1¾" specified.</t>
  </si>
  <si>
    <t xml:space="preserve">Timber – Deodar (frames)</t>
  </si>
  <si>
    <t xml:space="preserve">Seasoned deodar</t>
  </si>
  <si>
    <t xml:space="preserve">Punjab MRS 2nd BA-2026 (Layyah) Ch.12 item 1(a): plain deodar wood work sawn, wrought, planed &amp; fixed incl. nails – composite Rs12,569.30 less labour Rs2,265.10.</t>
  </si>
  <si>
    <t xml:space="preserve">Butt hinge 4" SS</t>
  </si>
  <si>
    <t xml:space="preserve">Punjab MRS 2nd BA-2026 (Layyah) Ch.12 item 65: SS 304 bearing hinge 3 thick – composite Rs1,025.90 less labour Rs51.50.</t>
  </si>
  <si>
    <t xml:space="preserve">Mortice lock set with lever handles</t>
  </si>
  <si>
    <t xml:space="preserve">Approved</t>
  </si>
  <si>
    <t xml:space="preserve">Punjab MRS 2nd BA-2026 (Layyah) Ch.12 item 64: imported mortice lever-handle lock with backplates – composite Rs4,536.55 less labour Rs1,794.55.</t>
  </si>
  <si>
    <t xml:space="preserve">Door stopper</t>
  </si>
  <si>
    <t xml:space="preserve">Punjab MRS 2nd BA-2026 (Layyah) Ch.12 item 67: SS magnetic door stopper – composite Rs1,157.40 less labour Rs257.40.</t>
  </si>
  <si>
    <t xml:space="preserve">Wood polish system (material)</t>
  </si>
  <si>
    <t xml:space="preserve">Lacquer / PU per Sft</t>
  </si>
  <si>
    <t xml:space="preserve">Sajjad benchmark BM-CV-103 PU wood polish all-in per Sft (undated). Polisher labour in FIN-DOR-001 set to nil.</t>
  </si>
  <si>
    <t xml:space="preserve">Fire-rated steel door set 90 min, 3'x7' (vendor)</t>
  </si>
  <si>
    <t xml:space="preserve">Incl. frame &amp; ironmongery</t>
  </si>
  <si>
    <t xml:space="preserve">PROXY: 60-min steel fire door 3'x7' with frame Rs59,000 (Adams Fire Tech, web 26-Sep-2026). Item specifies 90 min – obtain quote.</t>
  </si>
  <si>
    <t xml:space="preserve">Aluminium sliding window system (supply &amp; fabricate)</t>
  </si>
  <si>
    <t xml:space="preserve">Profile + 3/16" clear glass + hardware</t>
  </si>
  <si>
    <t xml:space="preserve">PROXY: aluminium sliding door supplied &amp; installed Rs1,200–1,600/Sft (web 26-Sep-2026) used for window. Labour set to nil. Obtain window quote.</t>
  </si>
  <si>
    <t xml:space="preserve">uPVC window system (supply &amp; fabricate)</t>
  </si>
  <si>
    <t xml:space="preserve">Profile + glass + hardware</t>
  </si>
  <si>
    <t xml:space="preserve">Dashboard: uPVC sliding window supplied &amp; installed Rs2,300–3,400/Sft (web 26-Sep-2026). Installed – labour in FIN-WIN-002 set to nil.</t>
  </si>
  <si>
    <t xml:space="preserve">Silicone sealant cartridge</t>
  </si>
  <si>
    <t xml:space="preserve">Weather-seal</t>
  </si>
  <si>
    <t xml:space="preserve">2025-02-11</t>
  </si>
  <si>
    <t xml:space="preserve">Quadrangle GRN RCP-2340 – NA Associate, silicone cartridge.</t>
  </si>
  <si>
    <t xml:space="preserve">MDF / ply board 3/4" 4'x8' (carcass)</t>
  </si>
  <si>
    <t xml:space="preserve">Laminated</t>
  </si>
  <si>
    <t xml:space="preserve">ASSUMPTION — no dated source (2026-09-27, assumed on request): 18 mm laminated MDF 8×4 sheet (Claude estimate for Lahore, Sep-2026; plain sheet about 7,500–8,500). Replace with a quotation in 16 RFQ col H.</t>
  </si>
  <si>
    <t xml:space="preserve">Cabinet hardware set per Rft</t>
  </si>
  <si>
    <t xml:space="preserve">Hinges, channels, handles</t>
  </si>
  <si>
    <t xml:space="preserve">ASSUMED 1 heavy-duty SS soft-close hinge per Rft (MRS Ch.12 item 61(ii) Rs776.20 less labour Rs230.20); handles &amp; runners excluded – confirm hardware schedule.</t>
  </si>
  <si>
    <t xml:space="preserve">Unitized curtain wall system (vendor supply &amp; install)</t>
  </si>
  <si>
    <t xml:space="preserve">Thermally broken, DGU</t>
  </si>
  <si>
    <t xml:space="preserve">Sajjad benchmark BM-CV-098 curtain wall all-in (undated assumption).</t>
  </si>
  <si>
    <t xml:space="preserve">ACP panel PVDF</t>
  </si>
  <si>
    <t xml:space="preserve">Composite panel</t>
  </si>
  <si>
    <t xml:space="preserve">ASSUMPTION — no dated source (2026-09-27, assumed on request): 4 mm PVDF ACP supply only (Claude estimate for Lahore, Sep-2026); dashboard CV-099 installed benchmark 885/Sft. Replace with a quotation in 16 RFQ col H.</t>
  </si>
  <si>
    <t xml:space="preserve">Aluminium subframe sections</t>
  </si>
  <si>
    <t xml:space="preserve">ASSUMPTION — no dated source (2026-09-27, assumed on request): aluminium extrusion sections per kg (Claude estimate for Lahore, Sep-2026). Replace with a quotation in 16 RFQ col H.</t>
  </si>
  <si>
    <t xml:space="preserve">Façade bracket with anchor</t>
  </si>
  <si>
    <t xml:space="preserve">GI/aluminium</t>
  </si>
  <si>
    <t xml:space="preserve">ASSUMPTION — no dated source (2026-09-27, assumed on request): GI / aluminium bracket with anchor (Claude estimate for Lahore, Sep-2026). Replace with a quotation in 16 RFQ col H.</t>
  </si>
  <si>
    <t xml:space="preserve">Granite 1.25" cladding slab</t>
  </si>
  <si>
    <t xml:space="preserve">Local/imported</t>
  </si>
  <si>
    <t xml:space="preserve">PROXY: MRS Ch.10 item 49(iii) 3/4" granite slab with adhesive &amp; sealer – composite Rs1,146.00 less labour Rs90.80. Item specifies 1.25" cladding – obtain quote.</t>
  </si>
  <si>
    <t xml:space="preserve">SS 316 cladding anchor set</t>
  </si>
  <si>
    <t xml:space="preserve">ASSUMPTION — no dated source (2026-09-27, assumed on request): SS 316 cladding anchor set (Claude estimate for Lahore, Sep-2026). Replace with a quotation in 16 RFQ col H.</t>
  </si>
  <si>
    <t xml:space="preserve">Fire-stop / smoke seal at slab edge</t>
  </si>
  <si>
    <t xml:space="preserve">ASSUMPTION — no dated source (2026-09-27, assumed on request): fire-stop sealant / smoke seal per Rft of joint (Claude estimate for Lahore, Sep-2026). Replace with a quotation in 16 RFQ col H.</t>
  </si>
  <si>
    <t xml:space="preserve">WC floor-mounted with cistern &amp; seat</t>
  </si>
  <si>
    <t xml:space="preserve">Punjab MRS 2nd BA-2026 (Layyah) Ch.19 item 2: PORTA HD 9A/B/D/N WC with flushing cistern, CP/rubber connection &amp; thimble – composite Rs32,218.10 less labour Rs2,302.10.</t>
  </si>
  <si>
    <t xml:space="preserve">Wash basin with pedestal &amp; mixer</t>
  </si>
  <si>
    <t xml:space="preserve">Basin: MRS Ch.19 item 7(i) white basin with pedestal Rs12,035.05 less labour Rs1,151.05 = Rs10,884; + mixer Rs3,500 (Quadrangle GRN RCP-1887, Aug-2024 – old component).</t>
  </si>
  <si>
    <t xml:space="preserve">Sanitary accessories (angle valves, connectors, waste)</t>
  </si>
  <si>
    <t xml:space="preserve">Punjab MRS 2nd BA-2026 (Layyah) Ch.19 item 25: CP tee stop cock ½" – composite Rs2,065.80 less labour Rs85.80 (one per fixture; connectors &amp; waste in fixture rates).</t>
  </si>
  <si>
    <t xml:space="preserve">Black steel pipe Sch-40 1"</t>
  </si>
  <si>
    <t xml:space="preserve">ASTM A53</t>
  </si>
  <si>
    <t xml:space="preserve">2024-08-06</t>
  </si>
  <si>
    <t xml:space="preserve">Quadrangle GRN RCP-1903 – Saeed Sons, MS seamless Sch-40 1". 25 months – escalate.</t>
  </si>
  <si>
    <t xml:space="preserve">Black steel pipe Sch-40 2"</t>
  </si>
  <si>
    <t xml:space="preserve">Quadrangle GRN RCP-1904 – Saeed Sons, 2". 25 months – escalate.</t>
  </si>
  <si>
    <t xml:space="preserve">Black steel pipe Sch-40 4" grooved</t>
  </si>
  <si>
    <t xml:space="preserve">Quadrangle GRN RCP-1903 – Saeed Sons, 4". 25 months – escalate.</t>
  </si>
  <si>
    <t xml:space="preserve">MAT-FFFIT</t>
  </si>
  <si>
    <t xml:space="preserve">FF fittings &amp; couplings allowance</t>
  </si>
  <si>
    <t xml:space="preserve">per Rft of pipe</t>
  </si>
  <si>
    <t xml:space="preserve">ASSUMPTION — no dated source (2026-09-27, assumed on request): superseded in Rev07a by the size-specific lines MAT-FFFIT-100/200/400. Replace with a quotation in 16 RFQ col H.</t>
  </si>
  <si>
    <t xml:space="preserve">Red enamel / primer for FF pipe</t>
  </si>
  <si>
    <t xml:space="preserve">2026-06-01</t>
  </si>
  <si>
    <t xml:space="preserve">Derived from Phoenix GRN RCP-275 enamel Rs4,100/gallon: 2" pipe surface 0.622 Sft/Rft × 2 coats ÷ 350 Sft/gal (coverage ASSUMPTION).</t>
  </si>
  <si>
    <t xml:space="preserve">Sprinkler head pendent 68°C</t>
  </si>
  <si>
    <t xml:space="preserve">UL/FM</t>
  </si>
  <si>
    <t xml:space="preserve">2024-10-21</t>
  </si>
  <si>
    <t xml:space="preserve">Quadrangle GRN RCP-2105 – Elite Fire &amp; Safety, sprinkler 68°C K5.6 (upright).</t>
  </si>
  <si>
    <t xml:space="preserve">Hose reel cabinet complete</t>
  </si>
  <si>
    <t xml:space="preserve">2025-03-09</t>
  </si>
  <si>
    <t xml:space="preserve">Quadrangle GRN RCP-2387 – Elite Fire &amp; Safety, hose reel cabinet 1"x100'.</t>
  </si>
  <si>
    <t xml:space="preserve">Earth pit materials (copper rod/plate, GI pipe, compound)</t>
  </si>
  <si>
    <t xml:space="preserve">Set from GRN: earth pit with concrete cover Rs11,871.20 (RCP-2371, Feb-2025) + Cu-bond earth rod 5/8"x10 ft Rs18,290 (RCP-2629, Jul-2025) + earthing chemical Rs13,570 (RCP-2629).</t>
  </si>
  <si>
    <t xml:space="preserve">Distribution board (populated)</t>
  </si>
  <si>
    <t xml:space="preserve">2023-10-26</t>
  </si>
  <si>
    <t xml:space="preserve">Quadrangle GRN RCP-1232 – Power Solutions, DB-1B typical. &gt;24 months; DB content project-specific – re-quote.</t>
  </si>
  <si>
    <t xml:space="preserve">IP camera</t>
  </si>
  <si>
    <t xml:space="preserve">2025-04-08</t>
  </si>
  <si>
    <t xml:space="preserve">Quadrangle GRN RCP-2444 – Mediatek, Dahua 2MP bullet camera.</t>
  </si>
  <si>
    <t xml:space="preserve">Addressable smoke detector with base</t>
  </si>
  <si>
    <t xml:space="preserve">2025-07-04</t>
  </si>
  <si>
    <t xml:space="preserve">Quadrangle GRN RCP-2589 – Highrise MEP, addressable smoke detector with isolator.</t>
  </si>
  <si>
    <t xml:space="preserve">GI sheet for ductwork (24–26 gauge)</t>
  </si>
  <si>
    <t xml:space="preserve">2025-07-29</t>
  </si>
  <si>
    <t xml:space="preserve">Quadrangle GRN RCP-2640 – GI sheet 26G.</t>
  </si>
  <si>
    <t xml:space="preserve">Duct insulation 1" with foil</t>
  </si>
  <si>
    <t xml:space="preserve">Punjab MRS 2nd BA-2026 (Layyah) Ch.27: XLPE closed-cell duct insulation 25 thick (outdoor) – composite Rs344.65 less labour Rs16.75. (GRN NBR 19 thick Rs294.87, Apr-2025, for reference.)</t>
  </si>
  <si>
    <t xml:space="preserve">Duct hanger set</t>
  </si>
  <si>
    <t xml:space="preserve">Set from GRN: 2 Rft threaded rod 1/2" @ Rs90 (RCP-2584, Jul-2025) + drop-in anchor 3/8" Rs37.76 (RCP-2660, Aug-2025).</t>
  </si>
  <si>
    <t xml:space="preserve">Split AC 1.5 ton inverter (indoor+outdoor)</t>
  </si>
  <si>
    <t xml:space="preserve">2025-08-05</t>
  </si>
  <si>
    <t xml:space="preserve">Quadrangle GRN RCP-2654 – Haier Pakistan, 1.5 ton inverter wall mounted.</t>
  </si>
  <si>
    <t xml:space="preserve">Copper refrigerant pipe pair insulated</t>
  </si>
  <si>
    <t xml:space="preserve">2024-12-03</t>
  </si>
  <si>
    <t xml:space="preserve">Pair from GRN (Crescent Corp, Dec-2024): Cu 1/2" Rs509.61 + 1/4" Rs239.22 + insulation 1/2" Rs101.47 + 1/4" Rs83.71 per Rft.</t>
  </si>
  <si>
    <t xml:space="preserve">Passenger lift complete (vendor supply &amp; install)</t>
  </si>
  <si>
    <t xml:space="preserve">ASSUMPTION — no dated source (2026-09-27, assumed on request): passenger lift 8-person, 1.0 m/s, about 5 stops, supplied &amp; installed (Claude estimate for Lahore, Sep-2026); vendor quote essential. Replace with a quotation in 16 RFQ col H.</t>
  </si>
  <si>
    <t xml:space="preserve">SS 304 handrail pipe 2"</t>
  </si>
  <si>
    <t xml:space="preserve">Punjab MRS 2nd BA-2026 (Layyah) Ch.25 item 38: 2'-9" high SS 304 2" 18 SWG pipe railing with 2" posts – composite Rs3,380.85 less labour Rs460.40, per Rft of railing (posts included).</t>
  </si>
  <si>
    <t xml:space="preserve">SS baluster / post</t>
  </si>
  <si>
    <t xml:space="preserve">Included</t>
  </si>
  <si>
    <t xml:space="preserve">Included in MAT-SSP (MRS railing rate includes posts).</t>
  </si>
  <si>
    <t xml:space="preserve">Toughened glass 1/2"</t>
  </si>
  <si>
    <t xml:space="preserve">Derived: glass balustrade ½" with fittings, supplied &amp; installed Rs6,000/Rft (web 26-Sep-2026) ÷ 3.5 Sft/Rft. Spigots &amp; labour in MISC-GLB-001 set to nil.</t>
  </si>
  <si>
    <t xml:space="preserve">SS glass spigot / shoe</t>
  </si>
  <si>
    <t xml:space="preserve">Included in MAT-TGL composite.</t>
  </si>
  <si>
    <t xml:space="preserve">PPR PN-20 pipe 2-1/2"</t>
  </si>
  <si>
    <t xml:space="preserve">PPR el 2-1/2"</t>
  </si>
  <si>
    <t xml:space="preserve">PPR elbow 90° 2-1/2"</t>
  </si>
  <si>
    <t xml:space="preserve">PPR so 2-1/2"</t>
  </si>
  <si>
    <t xml:space="preserve">PPR socket 2-1/2"</t>
  </si>
  <si>
    <t xml:space="preserve">PPR te 2-1/2"</t>
  </si>
  <si>
    <t xml:space="preserve">PPR tee 2-1/2"</t>
  </si>
  <si>
    <t xml:space="preserve">PPR PN-20 pipe 3"</t>
  </si>
  <si>
    <t xml:space="preserve">PPR el 3"</t>
  </si>
  <si>
    <t xml:space="preserve">PPR elbow 90° 3"</t>
  </si>
  <si>
    <t xml:space="preserve">PPR so 3"</t>
  </si>
  <si>
    <t xml:space="preserve">PPR socket 3"</t>
  </si>
  <si>
    <t xml:space="preserve">PPR te 3"</t>
  </si>
  <si>
    <t xml:space="preserve">PPR tee 3"</t>
  </si>
  <si>
    <t xml:space="preserve">PPR PN-20 pipe 4"</t>
  </si>
  <si>
    <t xml:space="preserve">PPR el 4"</t>
  </si>
  <si>
    <t xml:space="preserve">PPR elbow 90° 4"</t>
  </si>
  <si>
    <t xml:space="preserve">PPR so 4"</t>
  </si>
  <si>
    <t xml:space="preserve">PPR socket 4"</t>
  </si>
  <si>
    <t xml:space="preserve">PPR te 4"</t>
  </si>
  <si>
    <t xml:space="preserve">PPR tee 4"</t>
  </si>
  <si>
    <t xml:space="preserve">Conduit socket 1/2"</t>
  </si>
  <si>
    <t xml:space="preserve">Conduit bend 1/2"</t>
  </si>
  <si>
    <t xml:space="preserve">Conduit socket 1-1/4"</t>
  </si>
  <si>
    <t xml:space="preserve">Conduit bend 1-1/4"</t>
  </si>
  <si>
    <t xml:space="preserve">Conduit socket 1-1/2"</t>
  </si>
  <si>
    <t xml:space="preserve">Conduit bend 1-1/2"</t>
  </si>
  <si>
    <t xml:space="preserve">Conduit socket 2"</t>
  </si>
  <si>
    <t xml:space="preserve">Conduit bend 2"</t>
  </si>
  <si>
    <t xml:space="preserve">Vinyl / SPC plank flooring</t>
  </si>
  <si>
    <t xml:space="preserve">Click or glue-down, mid range</t>
  </si>
  <si>
    <t xml:space="preserve">SRC-28</t>
  </si>
  <si>
    <t xml:space="preserve">Midpoint; PC rate – set to selected product.</t>
  </si>
  <si>
    <t xml:space="preserve">Laminate flooring</t>
  </si>
  <si>
    <t xml:space="preserve">AC4, 8-thick class, mid range</t>
  </si>
  <si>
    <t xml:space="preserve">Midpoint; PC rate.</t>
  </si>
  <si>
    <t xml:space="preserve">Vinyl adhesive</t>
  </si>
  <si>
    <t xml:space="preserve">ASSUMPTION — no dated source (2026-09-27, assumed on request): 20 kg pail about 14,000 (Claude estimate for Lahore, Sep-2026). Replace with a quotation in 16 RFQ col H.</t>
  </si>
  <si>
    <t xml:space="preserve">Laminate underlay foam</t>
  </si>
  <si>
    <t xml:space="preserve">Included in laminate supply rate (dashboard LAM-SUP Rs350/Sft 'with underlay', web 26-Sep-2026).</t>
  </si>
  <si>
    <t xml:space="preserve">Epoxy floor system (primer + body + top)</t>
  </si>
  <si>
    <t xml:space="preserve">Self-levelling / roller</t>
  </si>
  <si>
    <t xml:space="preserve">Dashboard: basic epoxy coating supplied &amp; applied Rs150–250/Sft (web 26-Sep-2026). Installed composite – labour in FIN-FLR-007 set to nil.</t>
  </si>
  <si>
    <t xml:space="preserve">Ready-mix concrete 4000 PSI (delivered)</t>
  </si>
  <si>
    <t xml:space="preserve">Pakmix Ready Mix Concrete Premium</t>
  </si>
  <si>
    <t xml:space="preserve">2026-03-11</t>
  </si>
  <si>
    <t xml:space="preserve">Phoenix GRN RCP-252, 11-Mar-2026 – Pakmix, 4000 PSI Rs11,910 per GRN batch unit (35.315 cft).</t>
  </si>
  <si>
    <t xml:space="preserve">Ready-mix concrete 4500 PSI (delivered)</t>
  </si>
  <si>
    <t xml:space="preserve">Strong Ready Mix</t>
  </si>
  <si>
    <t xml:space="preserve">2026-04-10</t>
  </si>
  <si>
    <t xml:space="preserve">Phoenix GRN RCP-259, 10-Apr-2026 – Strong Ready Mix, 4500 PSI Rs11,700 per GRN batch unit ÷ 35.315 (lower than Pakmix 4000 – different supplier).</t>
  </si>
  <si>
    <t xml:space="preserve">Ready-mix concrete 6500 PSI (delivered)</t>
  </si>
  <si>
    <t xml:space="preserve">Phoenix GRN RCP-259 – Strong Ready Mix, 6500 PSI Rs15,100 per GRN batch unit ÷ 35.315.</t>
  </si>
  <si>
    <t xml:space="preserve">Ready-mix lean concrete (delivered)</t>
  </si>
  <si>
    <t xml:space="preserve">2025-10-16</t>
  </si>
  <si>
    <t xml:space="preserve">Phoenix GRN RCP-209 – Strong Ready Mix, lean concrete Rs9,536 per GRN batch unit ÷ 35.315.</t>
  </si>
  <si>
    <t xml:space="preserve">Gypsum ceiling system material – 12 thick board on concealed GI frame</t>
  </si>
  <si>
    <t xml:space="preserve">Board, main &amp; furring channel, wall angle, threaded hangers, screws, fibreglass tape, joint filler</t>
  </si>
  <si>
    <t xml:space="preserve">Punjab MRS 2nd BA-2026 (Layyah) Ch.9 item 49(ii): gypsum board ceiling 4'x8' 12 thick on 0.5 GI furring @2 ft + 0.8 GI primary @4 ft, wall angle, threaded hangers, fibreglass tape &amp; filler – composite Rs220.80 less labour Rs44.70 = Rs176.10/Sft material.</t>
  </si>
  <si>
    <t xml:space="preserve">Gypsum ceiling system material – MR board on concealed GI frame</t>
  </si>
  <si>
    <t xml:space="preserve">As standard; MR board</t>
  </si>
  <si>
    <t xml:space="preserve">ASSUMPTION — no dated source (2026-09-27, assumed on request): MRS system material 176.10 + MR board premium (4,600 − 3,550) ÷ 32 × 1.10. Replace with a quotation in 16 RFQ col H.</t>
  </si>
  <si>
    <t xml:space="preserve">HDPE Pipe 110mm</t>
  </si>
  <si>
    <t xml:space="preserve">OLD SOURCE</t>
  </si>
  <si>
    <t xml:space="preserve">SRC-48</t>
  </si>
  <si>
    <t xml:space="preserve">Quadrangle GRN RCP-2690, 20-Aug-2025 — Plasco PVC Pipe Industries (Private) Limited. Dated 2025 — reconfirm before use</t>
  </si>
  <si>
    <t xml:space="preserve">HDPE elbow 90° 110 mm</t>
  </si>
  <si>
    <t xml:space="preserve">HDPE Elbow 90° 110mm</t>
  </si>
  <si>
    <t xml:space="preserve">2025-03-17</t>
  </si>
  <si>
    <t xml:space="preserve">Quadrangle GRN RCP-2407, 17-Mar-2025 — Plasco PVC Pipe Industries (Private) Limited; 2 receipts, range 1,763–1,763. Dated 2025 — reconfirm before use</t>
  </si>
  <si>
    <t xml:space="preserve">HDPE tee 110 mm</t>
  </si>
  <si>
    <t xml:space="preserve">HDPE Tee 110mm</t>
  </si>
  <si>
    <t xml:space="preserve">2024-07-02</t>
  </si>
  <si>
    <t xml:space="preserve">Quadrangle GRN RCP-1795, 02-Jul-2024 — Plasco PVC Pipe Industries (Private) Limited. Dated 2024 — reconfirm before use</t>
  </si>
  <si>
    <t xml:space="preserve">MS landing valve 2½" flange type</t>
  </si>
  <si>
    <t xml:space="preserve">MS Landing Valve 2-1/2'' Flange Type</t>
  </si>
  <si>
    <t xml:space="preserve">Quadrangle GRN RCP-2105, 21-Oct-2024 — Elite Fire &amp; Safety Solutions. Dated 2024 — reconfirm before use</t>
  </si>
  <si>
    <t xml:space="preserve">Signage board 3D acrylic letters 15 ft × 4.5 ft</t>
  </si>
  <si>
    <t xml:space="preserve">signage board 3D acrylic words 15ftx4.5ft</t>
  </si>
  <si>
    <t xml:space="preserve">2023-01-16</t>
  </si>
  <si>
    <t xml:space="preserve">Quadrangle GRN RCP-708, 16-Jan-2023 — Latitude Advertising. Dated 2023 — reconfirm before use</t>
  </si>
  <si>
    <t xml:space="preserve">Mobilization &amp; demobilization (contractor quote)</t>
  </si>
  <si>
    <t xml:space="preserve">Vendor supply &amp; install</t>
  </si>
  <si>
    <t xml:space="preserve">ASSUMPTION — no dated source (2026-09-27, assumed on request): mobilization + demobilization of a mid-size building contract (Claude estimate for Lahore, Sep-2026). Replace with a quotation in 16 RFQ col H.</t>
  </si>
  <si>
    <t xml:space="preserve">Site office, stores &amp; welfare establishment (contractor quote)</t>
  </si>
  <si>
    <t xml:space="preserve">ASSUMPTION — no dated source (2026-09-27, assumed on request): porta-cabin site office, store, toilets and security cabin, established &amp; removed (Claude estimate for Lahore, Sep-2026). Replace with a quotation in 16 RFQ col H.</t>
  </si>
  <si>
    <t xml:space="preserve">Temporary water &amp; electricity supply incl. running (per month)</t>
  </si>
  <si>
    <t xml:space="preserve">ASSUMPTION — no dated source (2026-09-27, assumed on request): temporary water + electricity per month incl. running (Claude estimate for Lahore, Sep-2026). Replace with a quotation in 16 RFQ col H.</t>
  </si>
  <si>
    <t xml:space="preserve">Concrete cylinder / cube test set incl. sampling &amp; lab fee</t>
  </si>
  <si>
    <t xml:space="preserve">ASSUMPTION — no dated source (2026-09-27, assumed on request): set of 3 cylinders sampled, cured and tested at 1,500 each (Claude estimate for Lahore, Sep-2026). Replace with a quotation in 16 RFQ col H.</t>
  </si>
  <si>
    <t xml:space="preserve">Final builder's clean (sub-contract rate)</t>
  </si>
  <si>
    <t xml:space="preserve">ASSUMPTION — no dated source (2026-09-27, assumed on request): final builder's clean per Sft of floor (Claude estimate for Lahore, Sep-2026). Replace with a quotation in 16 RFQ col H.</t>
  </si>
  <si>
    <t xml:space="preserve">Fire-rated gypsum ceiling system material (FR board on GI frame)</t>
  </si>
  <si>
    <t xml:space="preserve">ASSUMPTION — no dated source (2026-09-27, assumed on request): MRS system material 176.10 + fire-rated board premium 40% × 3,550 ÷ 32 × 1.10. Replace with a quotation in 16 RFQ col H.</t>
  </si>
  <si>
    <t xml:space="preserve">Aluminium clip-in / lay-in metal ceiling 2'×2' with grid</t>
  </si>
  <si>
    <t xml:space="preserve">ASSUMPTION — no dated source (2026-09-27, assumed on request): aluminium clip-in 2'×2' ceiling with grid, supplied &amp; installed (Claude estimate for Lahore, Sep-2026). Replace with a quotation in 16 RFQ col H.</t>
  </si>
  <si>
    <t xml:space="preserve">Access panel 2'×2' for gypsum ceiling, supplied &amp; installed</t>
  </si>
  <si>
    <t xml:space="preserve">ASSUMPTION — no dated source (2026-09-27, assumed on request): 2'×2' ceiling access panel supplied &amp; installed (Claude estimate for Lahore, Sep-2026). Replace with a quotation in 16 RFQ col H.</t>
  </si>
  <si>
    <t xml:space="preserve">Carpet tiles 20"×20" with adhesive, supplied &amp; installed</t>
  </si>
  <si>
    <t xml:space="preserve">ASSUMPTION — no dated source (2026-09-27, assumed on request): carpet tiles with adhesive, supplied &amp; installed (Claude estimate for Lahore, Sep-2026). Replace with a quotation in 16 RFQ col H.</t>
  </si>
  <si>
    <t xml:space="preserve">Vinyl wallpaper with adhesive, supplied &amp; installed</t>
  </si>
  <si>
    <t xml:space="preserve">ASSUMPTION — no dated source (2026-09-27, assumed on request): vinyl wallpaper supplied &amp; installed (Claude estimate for Lahore, Sep-2026). Replace with a quotation in 16 RFQ col H.</t>
  </si>
  <si>
    <t xml:space="preserve">Acoustic wall panel system, supplied &amp; installed</t>
  </si>
  <si>
    <t xml:space="preserve">ASSUMPTION — no dated source (2026-09-27, assumed on request): acoustic wall panel system supplied &amp; installed (Claude estimate for Lahore, Sep-2026). Replace with a quotation in 16 RFQ col H.</t>
  </si>
  <si>
    <t xml:space="preserve">12 mm toughened glass door 3'×7' with patch fittings &amp; floor spring</t>
  </si>
  <si>
    <t xml:space="preserve">ASSUMPTION — no dated source (2026-09-27, assumed on request): 12 mm toughened glass 21 Sft ≈ 21,000 (dashboard GLASS-12 1,000/Sft) + floor spring, patch fittings, handle and fixing (Claude estimate for Lahore, Sep-2026). Replace with a quotation in 16 RFQ col H.</t>
  </si>
  <si>
    <t xml:space="preserve">GRC façade panel with fixings, supplied &amp; installed</t>
  </si>
  <si>
    <t xml:space="preserve">ASSUMPTION — no dated source (2026-09-27, assumed on request): GRC panel with stainless fixings, supplied &amp; installed (Claude estimate for Lahore, Sep-2026). Replace with a quotation in 16 RFQ col H.</t>
  </si>
  <si>
    <t xml:space="preserve">EIFS insulated render system, supplied &amp; applied</t>
  </si>
  <si>
    <t xml:space="preserve">ASSUMPTION — no dated source (2026-09-27, assumed on request): EIFS system supplied &amp; applied (Claude estimate for Lahore, Sep-2026). Replace with a quotation in 16 RFQ col H.</t>
  </si>
  <si>
    <t xml:space="preserve">Steel / glass entrance canopy, supplied &amp; installed</t>
  </si>
  <si>
    <t xml:space="preserve">ASSUMPTION — no dated source (2026-09-27, assumed on request): steel-framed glass canopy per Sft of plan (Claude estimate for Lahore, Sep-2026). Replace with a quotation in 16 RFQ col H.</t>
  </si>
  <si>
    <t xml:space="preserve">Skylight – polycarbonate / glass on aluminium frame</t>
  </si>
  <si>
    <t xml:space="preserve">ASSUMPTION — no dated source (2026-09-27, assumed on request): skylight glazing on aluminium frame per Sft (Claude estimate for Lahore, Sep-2026). Replace with a quotation in 16 RFQ col H.</t>
  </si>
  <si>
    <t xml:space="preserve">Wall-hung urinal with flush valve &amp; trap</t>
  </si>
  <si>
    <t xml:space="preserve">ASSUMPTION — no dated source (2026-09-27, assumed on request): wall-hung urinal with flush valve and trap, supply only (Claude estimate for Lahore, Sep-2026). Replace with a quotation in 16 RFQ col H.</t>
  </si>
  <si>
    <t xml:space="preserve">CPVC pipe ¾" SDR-11 with fittings</t>
  </si>
  <si>
    <t xml:space="preserve">ASSUMPTION — no dated source (2026-09-27, assumed on request): ¾" CPVC SDR-11 with fittings, supply only; PPR ¾" is 145.38 + fittings (Claude estimate for Lahore, Sep-2026). Replace with a quotation in 16 RFQ col H.</t>
  </si>
  <si>
    <t xml:space="preserve">Access control door set (reader, maglock, exit button, controller)</t>
  </si>
  <si>
    <t xml:space="preserve">ASSUMPTION — no dated source (2026-09-27, assumed on request): one-door access control set incl. controller share and cabling (Claude estimate for Lahore, Sep-2026). Replace with a quotation in 16 RFQ col H.</t>
  </si>
  <si>
    <t xml:space="preserve">Escalator complete (vendor supply &amp; install)</t>
  </si>
  <si>
    <t xml:space="preserve">ASSUMPTION — no dated source (2026-09-27, assumed on request): standard escalator, supplied &amp; installed (Claude estimate for Lahore, Sep-2026); vendor quote essential. Replace with a quotation in 16 RFQ col H.</t>
  </si>
  <si>
    <t xml:space="preserve">Drip / sprinkler irrigation system (vendor)</t>
  </si>
  <si>
    <t xml:space="preserve">ASSUMPTION — no dated source (2026-09-27, assumed on request): drip / sprinkler irrigation per Sft of landscaped area (Claude estimate for Lahore, Sep-2026). Replace with a quotation in 16 RFQ col H.</t>
  </si>
  <si>
    <t xml:space="preserve">VRF system – outdoor + indoor units, piping &amp; controls (vendor)</t>
  </si>
  <si>
    <t xml:space="preserve">ASSUMPTION — no dated source (2026-09-27, assumed on request): VRF system per TR, supplied &amp; installed with piping and controls (Claude estimate for Lahore, Sep-2026). Replace with a quotation in 16 RFQ col H.</t>
  </si>
  <si>
    <t xml:space="preserve">Main distribution board (panel builder quote)</t>
  </si>
  <si>
    <t xml:space="preserve">ASSUMPTION — no dated source (2026-09-27, assumed on request): main distribution board about 800 A with incomer, outgoing breakers and metering (Claude estimate for Lahore, Sep-2026). Replace with a quotation in 16 RFQ col H.</t>
  </si>
  <si>
    <t xml:space="preserve">FF fittings &amp; couplings allowance for 1" pipe</t>
  </si>
  <si>
    <t xml:space="preserve">ASSUMPTION — no dated source (2026-09-27, assumed on request): fittings share 0.483 × pipe value (MS fittings-to-pipe ratio of the Quadrangle receipts, see README MEP section) × MAT-BSP-100 309.60. Replace with a quotation in 16 RFQ col H.</t>
  </si>
  <si>
    <t xml:space="preserve">FF fittings &amp; couplings allowance for 2" pipe</t>
  </si>
  <si>
    <t xml:space="preserve">ASSUMPTION — no dated source (2026-09-27, assumed on request): fittings share 0.483 × MAT-BSP-200 651.92 (Quadrangle receipts ratio). Replace with a quotation in 16 RFQ col H.</t>
  </si>
  <si>
    <t xml:space="preserve">FF fittings &amp; couplings allowance for 4" pipe</t>
  </si>
  <si>
    <t xml:space="preserve">ASSUMPTION — no dated source (2026-09-27, assumed on request): fittings share 0.483 × MAT-BSP-400 1,878.66 (Quadrangle receipts ratio). Replace with a quotation in 16 RFQ col H.</t>
  </si>
  <si>
    <t xml:space="preserve">06 · LABOUR RATE LIBRARY (city-driven)</t>
  </si>
  <si>
    <t xml:space="preserve">Base Rate (D) follows selected City via 08. Lahore Rate (M) is the Lahore input.</t>
  </si>
  <si>
    <t xml:space="preserve">Labour Code</t>
  </si>
  <si>
    <t xml:space="preserve">Has Rate (1/0)</t>
  </si>
  <si>
    <t xml:space="preserve">Mason (raj mistri)</t>
  </si>
  <si>
    <t xml:space="preserve">SRC-06</t>
  </si>
  <si>
    <t xml:space="preserve">Midpoint of Lahore band.</t>
  </si>
  <si>
    <t xml:space="preserve">Helper / unskilled labour</t>
  </si>
  <si>
    <t xml:space="preserve">Statutory floor</t>
  </si>
  <si>
    <t xml:space="preserve">SRC-07</t>
  </si>
  <si>
    <t xml:space="preserve">40,000 ÷ 26 days. Statutory minimum, market rate may be higher – confirm.</t>
  </si>
  <si>
    <t xml:space="preserve">Steel fixer (bar bender)</t>
  </si>
  <si>
    <t xml:space="preserve">2025-10-11</t>
  </si>
  <si>
    <t xml:space="preserve">Dashboard L-STEEL: ConcretesMath Lahore steel fixer (11-Oct-2025).</t>
  </si>
  <si>
    <t xml:space="preserve">Plasterer</t>
  </si>
  <si>
    <t xml:space="preserve">Rev07: 2,200 (mason band, no trade source) -&gt; 2,150 ConcretesMath Lahore plaster mason (range 1,900–2,400). Same as dashboard L-PLMASON.</t>
  </si>
  <si>
    <t xml:space="preserve">Carpenter (shuttering)</t>
  </si>
  <si>
    <t xml:space="preserve">Dashboard L-CARP: ConcretesMath Lahore carpenter/shuttering fixer (11-Oct-2025).</t>
  </si>
  <si>
    <t xml:space="preserve">Waterproofing applicator</t>
  </si>
  <si>
    <t xml:space="preserve">—</t>
  </si>
  <si>
    <t xml:space="preserve">No dated source; set at mason midpoint – confirm.</t>
  </si>
  <si>
    <t xml:space="preserve">Tile / marble fixer</t>
  </si>
  <si>
    <t xml:space="preserve">Rev07: 2,200 (mason band) -&gt; 2,500 ConcretesMath Lahore tile/marble fixer (2,200–2,800). Same as dashboard L-TILE.</t>
  </si>
  <si>
    <t xml:space="preserve">Painter</t>
  </si>
  <si>
    <t xml:space="preserve">2026-09-23</t>
  </si>
  <si>
    <t xml:space="preserve">SRC-45</t>
  </si>
  <si>
    <t xml:space="preserve">Rev07: 2,200 (mason band) -&gt; 2,100 Lahore painters 1,800–2,500 (web 23-Sep-2026). Same as dashboard L-PAINT.</t>
  </si>
  <si>
    <t xml:space="preserve">Ceiling installer (drywall)</t>
  </si>
  <si>
    <t xml:space="preserve">ASSUMED at mason midpoint – no dated source.</t>
  </si>
  <si>
    <t xml:space="preserve">Scaffolder</t>
  </si>
  <si>
    <t xml:space="preserve">ASSUMED at mason midpoint – no dated source (not used: scaffold benchmark all-in).</t>
  </si>
  <si>
    <t xml:space="preserve">Plumber</t>
  </si>
  <si>
    <t xml:space="preserve">Dashboard L-PLUMB: ConcretesMath Lahore plumber (11-Oct-2025).</t>
  </si>
  <si>
    <t xml:space="preserve">Electrician</t>
  </si>
  <si>
    <t xml:space="preserve">Dashboard L-ELEC: ConcretesMath Lahore electrician (11-Oct-2025).</t>
  </si>
  <si>
    <t xml:space="preserve">Glazier / window installer</t>
  </si>
  <si>
    <t xml:space="preserve">Cladding fixer</t>
  </si>
  <si>
    <t xml:space="preserve">Pipe fitter (fire)</t>
  </si>
  <si>
    <t xml:space="preserve">ASSUMED = plumber rate (L-PLUMB) – confirm fire-fitter rate.</t>
  </si>
  <si>
    <t xml:space="preserve">HVAC technician / duct fitter</t>
  </si>
  <si>
    <t xml:space="preserve">ASSUMED = electrician rate (L-ELEC) – confirm.</t>
  </si>
  <si>
    <t xml:space="preserve">SS / MS fabricator</t>
  </si>
  <si>
    <t xml:space="preserve">Extra labour for RCC in 2nd and subsequent storeys (MRS item rate)</t>
  </si>
  <si>
    <t xml:space="preserve">SRC-46</t>
  </si>
  <si>
    <t xml:space="preserve">Punjab MRS 1st Bi-Annual 2026 (Rawalpindi), 01-Jan-2026 — Ch.6 item 6, line 17 (Concrete), p.36; labour rate (MRS gives no composite) 60.90 per Cft as printed; valid 01-Jan-2026 to 30-Jun-2026 — edition lapsed, reconfirm before use</t>
  </si>
  <si>
    <t xml:space="preserve">Extra labour for brickwork in 1st floor (MRS item rate)</t>
  </si>
  <si>
    <t xml:space="preserve">Punjab MRS 1st Bi-Annual 2026 (Rawalpindi), 01-Jan-2026 — Ch.7 item 6, line 1 (Brickwork), p.46; labour rate (MRS gives no composite) 1,793.45 per 100Cft. as printed, converted to per Cft; valid 01-Jan-2026 to 30-Jun-2026 — edition lapsed, reconfirm before use</t>
  </si>
  <si>
    <t xml:space="preserve">Extra labour for brickwork in 2nd floor (MRS item rate)</t>
  </si>
  <si>
    <t xml:space="preserve">Punjab MRS 1st Bi-Annual 2026 (Rawalpindi), 01-Jan-2026 — Ch.7 item 6, line 2 (Brickwork), p.46; labour rate (MRS gives no composite) 4,026.90 per 100Cft. as printed, converted to per Cft; valid 01-Jan-2026 to 30-Jun-2026 — edition lapsed, reconfirm before use</t>
  </si>
  <si>
    <t xml:space="preserve">Extra labour for brickwork in 3rd floor (MRS item rate)</t>
  </si>
  <si>
    <t xml:space="preserve">Punjab MRS 1st Bi-Annual 2026 (Rawalpindi), 01-Jan-2026 — Ch.7 item 6, line 3 (Brickwork), p.46; labour rate (MRS gives no composite) 6,260.30 per 100Cft. as printed, converted to per Cft; valid 01-Jan-2026 to 30-Jun-2026 — edition lapsed, reconfirm before use</t>
  </si>
  <si>
    <t xml:space="preserve">Extra labour for brickwork in 4th floor (MRS item rate)</t>
  </si>
  <si>
    <t xml:space="preserve">Punjab MRS 1st Bi-Annual 2026 (Rawalpindi), 01-Jan-2026 — Ch.7 item 6, line 4 (Brickwork), p.46; labour rate (MRS gives no composite) 10,050.50 per 100Cft. as printed, converted to per Cft; valid 01-Jan-2026 to 30-Jun-2026 — edition lapsed, reconfirm before use</t>
  </si>
  <si>
    <t xml:space="preserve">Extra labour for brickwork, each floor above 4th (MRS item rate)</t>
  </si>
  <si>
    <t xml:space="preserve">Punjab MRS 1st Bi-Annual 2026 (Rawalpindi), 01-Jan-2026 — Ch.7 item 6, line 5 (Brickwork), p.46; labour rate (MRS gives no composite) 1,076.05 per 100Cft. as printed, converted to per Cft; valid 01-Jan-2026 to 30-Jun-2026 — edition lapsed, reconfirm before use</t>
  </si>
  <si>
    <t xml:space="preserve">Extra labour for plaster above 20 ft, each 10 ft (MRS item rate)</t>
  </si>
  <si>
    <t xml:space="preserve">Punjab MRS 1st Bi-Annual 2026 (Rawalpindi), 01-Jan-2026 — Ch.11 item 29, line 1 (Surface Rendering), p.70; labour rate (MRS gives no composite) 659.45 per 100 Sft. as printed, converted to per Sft; valid 01-Jan-2026 to 30-Jun-2026 — edition lapsed, reconfirm before use</t>
  </si>
  <si>
    <t xml:space="preserve">Extra labour for flooring, each storey above ground (MRS item rate)</t>
  </si>
  <si>
    <t xml:space="preserve">Punjab MRS 1st Bi-Annual 2026 (Rawalpindi), 01-Jan-2026 — Ch.10 item 19, line 1 (Flooring), p.61; labour rate (MRS gives no composite) 1,218.10 per 100 Sft as printed, converted to per Sft; valid 01-Jan-2026 to 30-Jun-2026 — edition lapsed, reconfirm before use</t>
  </si>
  <si>
    <t xml:space="preserve">07 · EQUIPMENT RATE LIBRARY (city-driven)</t>
  </si>
  <si>
    <t xml:space="preserve">No dated hire rates found – all link to 16 RFQ.</t>
  </si>
  <si>
    <t xml:space="preserve">Equip Code</t>
  </si>
  <si>
    <t xml:space="preserve">Concrete mixer 1-bag with operator &amp; fuel</t>
  </si>
  <si>
    <t xml:space="preserve">ASSUMPTION — no dated source (2026-09-27, assumed on request): same as the dashboard P-MIXER assumption (1-bag mixer with fuel, per day). Replace with a quotation in 16 RFQ col H.</t>
  </si>
  <si>
    <t xml:space="preserve">Needle vibrator with fuel</t>
  </si>
  <si>
    <t xml:space="preserve">ASSUMED ownership cost: GRN vibrator engine Rs23,500 + shaft Rs10,500 (Phoenix RCP-113, Jan-2025) ÷ 150 working-day life; fuel &amp; repairs excluded. Replace with hire rate.</t>
  </si>
  <si>
    <t xml:space="preserve">Concrete pump (static/boom) incl. pipeline</t>
  </si>
  <si>
    <t xml:space="preserve">Phoenix GRN RCP-259 – Strong Ready Mix mobile pump Rs1,000 per GRN batch unit (35.315 cft).</t>
  </si>
  <si>
    <t xml:space="preserve">EQ-BP</t>
  </si>
  <si>
    <t xml:space="preserve">Batching plant production &amp; transit mixer haul</t>
  </si>
  <si>
    <t xml:space="preserve">ASSUMPTION — no dated source (2026-09-27, assumed on request): batching plant + transit mixer per cft (Claude estimate for Lahore, Sep-2026). Replace with a quotation in 16 RFQ col H.</t>
  </si>
  <si>
    <t xml:space="preserve">Steel props / staging hire (per Sft of soffit per use)</t>
  </si>
  <si>
    <t xml:space="preserve">ASSUMPTION — no dated source (2026-09-27, assumed on request): same as the dashboard PROPS assumption; web 2026 (civilconstructionguide.com, undated) gives 15–25 per Sft for complete steel shuttering hire. Replace with a quotation in 16 RFQ col H.</t>
  </si>
  <si>
    <t xml:space="preserve">Gas torch &amp; burner set</t>
  </si>
  <si>
    <t xml:space="preserve">ASSUMPTION — no dated source (2026-09-27, assumed on request): gas torch &amp; burner set per day (Claude estimate for Lahore, Sep-2026). Replace with a quotation in 16 RFQ col H.</t>
  </si>
  <si>
    <t xml:space="preserve">Excavator 20-ton class with operator &amp; fuel</t>
  </si>
  <si>
    <t xml:space="preserve">Punjab MRS 2nd BA-2026 (Layyah) Ch.3 item 21(1)(b)(ii): excavation in foundation by excavator, ordinary soil, composite Rs11,147.40/1000 cft less refilling Rs1,624.15 = Rs9,523.25/1000 cft.</t>
  </si>
  <si>
    <t xml:space="preserve">Plate compactor with fuel</t>
  </si>
  <si>
    <t xml:space="preserve">Punjab MRS 2nd BA-2026 (Layyah) Ch.3 item 25(i): compaction with power road roller to 95–100% MDD, Rs2,011.25/1000 cft (machinery incl.).</t>
  </si>
  <si>
    <t xml:space="preserve">Dumper / tractor-trolley haulage within 5-mile lead</t>
  </si>
  <si>
    <t xml:space="preserve">Sajjad benchmark BM-CV-009 disposal of surplus earth off site per cft (undated). Debris benchmark BM-CV-005 is Rs55/cft.</t>
  </si>
  <si>
    <t xml:space="preserve">Vibratory roller with operator</t>
  </si>
  <si>
    <t xml:space="preserve">As EQ-COMP (MRS item 25(i)).</t>
  </si>
  <si>
    <t xml:space="preserve">Steel scaffolding hire</t>
  </si>
  <si>
    <t xml:space="preserve">Sajjad benchmark BM-CV-066 scaffolding on elevation all-in per Sft (undated). Scaffolder labour in PRE-GEN-001 set to nil.</t>
  </si>
  <si>
    <t xml:space="preserve">Cradle / BMU access for façade</t>
  </si>
  <si>
    <t xml:space="preserve">ASSUMPTION — no dated source (2026-09-27, assumed on request): dashboard P-CRADLE assumption 2,500/day × 0.0015 day per Sft. Replace with a quotation in 16 RFQ col H.</t>
  </si>
  <si>
    <t xml:space="preserve">Excavation by excavator – hard soil (machine item rate)</t>
  </si>
  <si>
    <t xml:space="preserve">Punjab MRS 2nd BA-2026 (Layyah) Ch.3 item 21(1)(b)(iii): hard soil Rs12,788.20 less refill Rs1,624.15 per 1000 cft.</t>
  </si>
  <si>
    <t xml:space="preserve">08 · LOCATION RATE LIBRARY</t>
  </si>
  <si>
    <t xml:space="preserve">Lahore column links to the Lahore inputs. Other cities: labour from dated city bands; national/manufacturer lists copied; city-specific materials blank (blue) – enter dated local rates, never copy Lahore.</t>
  </si>
  <si>
    <t xml:space="preserve">Lahore</t>
  </si>
  <si>
    <t xml:space="preserve">Islamabad</t>
  </si>
  <si>
    <t xml:space="preserve">Rawalpindi</t>
  </si>
  <si>
    <t xml:space="preserve">Karachi</t>
  </si>
  <si>
    <t xml:space="preserve">Peshawar</t>
  </si>
  <si>
    <t xml:space="preserve">Multan</t>
  </si>
  <si>
    <t xml:space="preserve">Faisalabad</t>
  </si>
  <si>
    <t xml:space="preserve">Gujranwala</t>
  </si>
  <si>
    <t xml:space="preserve">Sialkot</t>
  </si>
  <si>
    <t xml:space="preserve">Abbottabad</t>
  </si>
  <si>
    <t xml:space="preserve">Quetta</t>
  </si>
  <si>
    <t xml:space="preserve">Basis for non-Lahore cities</t>
  </si>
  <si>
    <t xml:space="preserve">National / manufacturer list price applied to all cities – confirm local freight</t>
  </si>
  <si>
    <t xml:space="preserve">City-specific – enter dated local rate</t>
  </si>
  <si>
    <t xml:space="preserve">Hub price (SRC-09) for LHR/KHI/ISB/RWP; other cities +20–30% freight per source – enter</t>
  </si>
  <si>
    <t xml:space="preserve">Mason band per city (SRC-06, May-2026: KHI 2,200–2,800; ISB/RWP 2,400–3,000; FSD 1,800–2,200; PSH/KPK 1,700–2,100; others 1,600–2,000 – midpoints)</t>
  </si>
  <si>
    <t xml:space="preserve">Provincial minimum wage ÷ 26 (SRC-29): Rs40,000 Punjab/Sindh/KP; Rs37,000 ISB/Balochistan</t>
  </si>
  <si>
    <t xml:space="preserve">09 · SOURCE REGISTER</t>
  </si>
  <si>
    <t xml:space="preserve">Searched 2026-09-27 (Rev06) and reconciled with the dashboard 2026-09-27 (Rev07, SRC-39..48).</t>
  </si>
  <si>
    <t xml:space="preserve">URL / Reference</t>
  </si>
  <si>
    <t xml:space="preserve">What it states (paraphrased)</t>
  </si>
  <si>
    <t xml:space="preserve">SRC-01</t>
  </si>
  <si>
    <t xml:space="preserve">Daily Ausaf – Steel &amp; Cement Prices in Pakistan, 19-Sep-2026</t>
  </si>
  <si>
    <t xml:space="preserve">https://dailyausaf.com/en/business/steel-and-cement-prices-in-pakistan-19-september-2026/</t>
  </si>
  <si>
    <t xml:space="preserve">2026-09-19</t>
  </si>
  <si>
    <t xml:space="preserve">Pakistan (national)</t>
  </si>
  <si>
    <t xml:space="preserve">Cement 50 kg bag Rs1,350–1,550, average Rs1,390–1,450; steel Rs258–265/kg (article cites market update of 6-Aug-2026)</t>
  </si>
  <si>
    <t xml:space="preserve">SRC-02</t>
  </si>
  <si>
    <t xml:space="preserve">Mapia.pk – Building Material Rates, Lahore tab</t>
  </si>
  <si>
    <t xml:space="preserve">https://mapia.pk/material-rates</t>
  </si>
  <si>
    <t xml:space="preserve">2026-04-25</t>
  </si>
  <si>
    <t xml:space="preserve">OPC brands Rs1,490–1,595/bag; Lawrencepur sand Rs305/cft; Chenab Rs95/cft; Ravi Rs85/cft; Margalla crush Rs330/cft; Sargodha bajri Rs190/cft; G60 steel Rs278–285/kg; A-class brick Rs21.0 each. HIGH OUTLIER vs other 2026 sources – treated as upper bound only.</t>
  </si>
  <si>
    <t xml:space="preserve">SRC-03</t>
  </si>
  <si>
    <t xml:space="preserve">Elite Construction – Construction Material Rates in Pakistan 2026 (weekly)</t>
  </si>
  <si>
    <t xml:space="preserve">https://eliteconstruction.com.pk/current-rate-of-construction-materials-in-pakistan/</t>
  </si>
  <si>
    <t xml:space="preserve">2026-07-28</t>
  </si>
  <si>
    <t xml:space="preserve">Pakistan (north)</t>
  </si>
  <si>
    <t xml:space="preserve">Margalla crush Rs140–155/cft; Sargodha crush Rs125–135/cft; Ravi Rs45–55; Chenab Rs75–85; Lawrencepur Rs180–200/cft; premium cement ~Rs1,400/bag</t>
  </si>
  <si>
    <t xml:space="preserve">SRC-04</t>
  </si>
  <si>
    <t xml:space="preserve">Avenir Developments – House Construction in Lahore 2026</t>
  </si>
  <si>
    <t xml:space="preserve">https://avenirdevelopments.com/house-construction-in-lahore/</t>
  </si>
  <si>
    <t xml:space="preserve">2026-08-21</t>
  </si>
  <si>
    <t xml:space="preserve">Margalla crush Rs130–140/cft (premium to 170); Sargodha Rs120–130/cft; Chenab A Rs60–75/cft; cement Rs1,390–1,450/bag; steel Rs254,000–256,000/ton; bricks Rs14–18 each</t>
  </si>
  <si>
    <t xml:space="preserve">SRC-05</t>
  </si>
  <si>
    <t xml:space="preserve">PriceInfo.pk – Sand Price in Pakistan June 2026</t>
  </si>
  <si>
    <t xml:space="preserve">https://priceinfo.pk/sand-price-in-pakistan/</t>
  </si>
  <si>
    <t xml:space="preserve">2026-06-16</t>
  </si>
  <si>
    <t xml:space="preserve">Pakistan</t>
  </si>
  <si>
    <t xml:space="preserve">Chenab A-grade Rs95–100/cft</t>
  </si>
  <si>
    <t xml:space="preserve">ConcretesMath – Labour Cost Calculator Pakistan 2026</t>
  </si>
  <si>
    <t xml:space="preserve">https://concretesmath.com/labor-cost-calculator/</t>
  </si>
  <si>
    <t xml:space="preserve">2026-05-23</t>
  </si>
  <si>
    <t xml:space="preserve">Mason (raj mistri) Lahore Rs2,000–2,400/day; plastering labour piece rate Rs28–38/Sft incl. helper</t>
  </si>
  <si>
    <t xml:space="preserve">LegalPK – Minimum Wage in Punjab 2026-27</t>
  </si>
  <si>
    <t xml:space="preserve">https://legalpk.com/blog-post/minimum-wage-punjab-pakistan</t>
  </si>
  <si>
    <t xml:space="preserve">2026-08</t>
  </si>
  <si>
    <t xml:space="preserve">Punjab</t>
  </si>
  <si>
    <t xml:space="preserve">Unskilled adult minimum wage Rs40,000/month on 26 working days (statutory floor, not market rate)</t>
  </si>
  <si>
    <t xml:space="preserve">SRC-08</t>
  </si>
  <si>
    <t xml:space="preserve">Lab mix design sheets supplied by user (8 images) – see 15 MIX DESIGN LIBRARY</t>
  </si>
  <si>
    <t xml:space="preserve">User upload</t>
  </si>
  <si>
    <t xml:space="preserve">2024-03-08 / 2026-04-05 / undated</t>
  </si>
  <si>
    <t xml:space="preserve">Various (Lahore, DHA Multan, J7 B-17)</t>
  </si>
  <si>
    <t xml:space="preserve">Batch weights per lab batch; converted to per cft</t>
  </si>
  <si>
    <t xml:space="preserve">SRC-09</t>
  </si>
  <si>
    <t xml:space="preserve">PriceInfo.pk – Cement Block Price in Pakistan 2026</t>
  </si>
  <si>
    <t xml:space="preserve">https://priceinfo.pk/cement-block-price/</t>
  </si>
  <si>
    <t xml:space="preserve">2026-06-14</t>
  </si>
  <si>
    <t xml:space="preserve">Karachi/Lahore/Islamabad hubs</t>
  </si>
  <si>
    <t xml:space="preserve">16x8x8 Rs120–175; 16x6x8 Rs95–125; 12x4x8 Rs55–65 per block; notes most quotes are ex-factory, freight extra</t>
  </si>
  <si>
    <t xml:space="preserve">Icons.com.pk – Plywood Sheet Price Today (09-08-2026)</t>
  </si>
  <si>
    <t xml:space="preserve">https://icons.com.pk/plywood-sheet-price-today</t>
  </si>
  <si>
    <t xml:space="preserve">2026-08-09</t>
  </si>
  <si>
    <t xml:space="preserve">5/8"–3/4" 8x4 plywood Rs4,500–6,500 per sheet (general plywood, not specifically film-faced)</t>
  </si>
  <si>
    <t xml:space="preserve">SRC-11</t>
  </si>
  <si>
    <t xml:space="preserve">Mapia.pk – Lahore timber (Saadaat Wood Traders)</t>
  </si>
  <si>
    <t xml:space="preserve">2025-02-10</t>
  </si>
  <si>
    <t xml:space="preserve">Chir wood Rs2,700/cft – OLD (&gt;12 months)</t>
  </si>
  <si>
    <t xml:space="preserve">SRC-12</t>
  </si>
  <si>
    <t xml:space="preserve">Waterproofing.pk / Roof Power (membrane indications)</t>
  </si>
  <si>
    <t xml:space="preserve">https://waterproofing.pk/bitumen-membrane-waterproofing-pakistan/</t>
  </si>
  <si>
    <t xml:space="preserve">2024-04 to 2025-05</t>
  </si>
  <si>
    <t xml:space="preserve">Membrane indications conflict (Rs55–70 per ft vs Rs250–350/Sft for 4-thick membrane) and are &gt;12 months old – NOT used; listed for reference only</t>
  </si>
  <si>
    <t xml:space="preserve">SRC-13</t>
  </si>
  <si>
    <t xml:space="preserve">Nasir Tiles – Tiles Price in Pakistan 2026</t>
  </si>
  <si>
    <t xml:space="preserve">https://nasirtiles.com/tiles-price-in-pakistan/</t>
  </si>
  <si>
    <t xml:space="preserve">2026-09</t>
  </si>
  <si>
    <t xml:space="preserve">Local ceramic &amp; porcelain Rs90–350/Sft; imported Rs250–800/Sft (Sep-2026 indicative)</t>
  </si>
  <si>
    <t xml:space="preserve">SRC-14</t>
  </si>
  <si>
    <t xml:space="preserve">Future Designz – Tiles Price in Pakistan 2026</t>
  </si>
  <si>
    <t xml:space="preserve">https://futuredesignz.com/tiles-price-in-pakistan/</t>
  </si>
  <si>
    <t xml:space="preserve">2026-04-18</t>
  </si>
  <si>
    <t xml:space="preserve">Local ceramic and local porcelain quoted in metric units; converted here to ≈Rs125/Sft ceramic and ≈Rs209/Sft porcelain (÷10.764)</t>
  </si>
  <si>
    <t xml:space="preserve">PriceInfo.pk – Tile Bond Prices June 2026</t>
  </si>
  <si>
    <t xml:space="preserve">https://priceinfo.pk/tile-bond-prices-in-pakistan/</t>
  </si>
  <si>
    <t xml:space="preserve">2026-06-17</t>
  </si>
  <si>
    <t xml:space="preserve">Bestway 20 kg Rs600–650; Metro 20 kg Rs720–780</t>
  </si>
  <si>
    <t xml:space="preserve">SRC-16</t>
  </si>
  <si>
    <t xml:space="preserve">CheckPrice.pk – Tiles Price in Pakistan 2026</t>
  </si>
  <si>
    <t xml:space="preserve">https://checkprice.pk/tiles-price-in-pakistan/</t>
  </si>
  <si>
    <t xml:space="preserve">2026-02-26</t>
  </si>
  <si>
    <t xml:space="preserve">20 kg adhesive bag covers ~80–100 Sft</t>
  </si>
  <si>
    <t xml:space="preserve">SRC-17</t>
  </si>
  <si>
    <t xml:space="preserve">K2 Stones – Marble Prices</t>
  </si>
  <si>
    <t xml:space="preserve">https://k2stones.com/marble-prices/</t>
  </si>
  <si>
    <t xml:space="preserve">UNDATED</t>
  </si>
  <si>
    <t xml:space="preserve">Ziarat White floor Rs320–360/Sft; Tavera Rs90–110/Sft; Sunny/Badal Grey from Rs65–90/Sft – page undated</t>
  </si>
  <si>
    <t xml:space="preserve">SRC-18</t>
  </si>
  <si>
    <t xml:space="preserve">Elegant Design – False Ceiling Rates Rawalpindi &amp; Islamabad 2026</t>
  </si>
  <si>
    <t xml:space="preserve">https://elegantdesignpk.com/false-ceiling-design-rates-rawalpindi-islamabad/</t>
  </si>
  <si>
    <t xml:space="preserve">2026-09-22</t>
  </si>
  <si>
    <t xml:space="preserve">Rawalpindi/Islamabad</t>
  </si>
  <si>
    <t xml:space="preserve">Plain gypsum board ceiling Rs220–350/Sft supply+fix (benchmark only)</t>
  </si>
  <si>
    <t xml:space="preserve">SRC-19</t>
  </si>
  <si>
    <t xml:space="preserve">Sharif Sons – False Ceiling Cost Calculator</t>
  </si>
  <si>
    <t xml:space="preserve">https://sharifsons1983.com/false-ceiling-cost-calculator/</t>
  </si>
  <si>
    <t xml:space="preserve">2026-06-22</t>
  </si>
  <si>
    <t xml:space="preserve">False ceiling Rs250–400/Sft by type (benchmark only)</t>
  </si>
  <si>
    <t xml:space="preserve">SRC-20</t>
  </si>
  <si>
    <t xml:space="preserve">Avenir – False Ceiling Area &amp; Cost Calculator (consumption basis)</t>
  </si>
  <si>
    <t xml:space="preserve">https://avenirdevelopments.com/calculators/false-ceiling-area-and-cost-calculator/</t>
  </si>
  <si>
    <t xml:space="preserve">2025-11-27</t>
  </si>
  <si>
    <t xml:space="preserve">Main channel @4 ft, furring @2 ft, ~50 screws/board, jointing compound ≈0.042 kg/Sft (converted)</t>
  </si>
  <si>
    <t xml:space="preserve">Civil Construction Guide – Finishing Material Prices (search snippet)</t>
  </si>
  <si>
    <t xml:space="preserve">https://civilconstructionguide.com/finishing-material-rates-in-pakistan/</t>
  </si>
  <si>
    <t xml:space="preserve">2026-06-18</t>
  </si>
  <si>
    <t xml:space="preserve">Master Paints plastic emulsion Rs2,200–3,500/gallon (rates ±15%)</t>
  </si>
  <si>
    <t xml:space="preserve">SRC-22</t>
  </si>
  <si>
    <t xml:space="preserve">Icons.com.pk – Paint Prices Today</t>
  </si>
  <si>
    <t xml:space="preserve">https://icons.com.pk/paint-prices-today</t>
  </si>
  <si>
    <t xml:space="preserve">2026-07-19</t>
  </si>
  <si>
    <t xml:space="preserve">Basic interior emulsion from ~Rs850/litre; premium weather-shield/textured can exceed Rs6,000/litre (no pack price)</t>
  </si>
  <si>
    <t xml:space="preserve">Popular Pipes – PPR-100 Pipes &amp; Fittings price list (effective 08-Sep-2026)</t>
  </si>
  <si>
    <t xml:space="preserve">https://www.popularpipesgroup.com/wp-content/uploads/2026/09/ppr-100-pipes-and-fittings-updated-price-list-pprc-08-09-2026.pdf</t>
  </si>
  <si>
    <t xml:space="preserve">2026-09-08</t>
  </si>
  <si>
    <t xml:space="preserve">Lahore (manufacturer list)</t>
  </si>
  <si>
    <t xml:space="preserve">Suggested consumer prices incl. sales tax. Pipe list prices per standard length unit converted to per Rft (÷3.281). Fitting column mapping read from PDF text – verify.</t>
  </si>
  <si>
    <t xml:space="preserve">Popular Pipes – uPVC Soil, Waste &amp; Vent price list (effective 14-Sep-2026)</t>
  </si>
  <si>
    <t xml:space="preserve">https://www.popularpipesgroup.com/wp-content/uploads/2026/09/soil-waste-and-vent-system-updated-price-list-1329-std-14-09-2026.pdf</t>
  </si>
  <si>
    <t xml:space="preserve">2026-09-14</t>
  </si>
  <si>
    <t xml:space="preserve">Pipe price per ft and 4" fittings; PDF text extraction scrambled columns – pipe per-ft mapping to size must be verified</t>
  </si>
  <si>
    <t xml:space="preserve">Popular Pipes – uPVC Electric Conduit price list (effective 14-Sep-2026)</t>
  </si>
  <si>
    <t xml:space="preserve">https://www.popularpipesgroup.com/wp-content/uploads/2026/09/u-pvc-electric-conduits-updated-price-list-conduit-14-09-2026.pdf</t>
  </si>
  <si>
    <t xml:space="preserve">3/4" conduit Rs44.00/ft; 1" Rs60.40/ft; sockets, bends, boxes each</t>
  </si>
  <si>
    <t xml:space="preserve">Fast Cables – Retail price list (effective 10-Jan-2026)</t>
  </si>
  <si>
    <t xml:space="preserve">https://fast-cables.com/wp-content/uploads/2026/01/Fast-Cables-Price-List.pdf</t>
  </si>
  <si>
    <t xml:space="preserve">2026-01-10</t>
  </si>
  <si>
    <t xml:space="preserve">BS-2004 imperial wiring cables per coil (295.3 ft) incl. GST; size-to-price mapping from PDF text – verify</t>
  </si>
  <si>
    <t xml:space="preserve">PriceIt.pk – Tuff Tile Price in Pakistan</t>
  </si>
  <si>
    <t xml:space="preserve">https://priceit.pk/tuff-tile-price-in-pakistan/</t>
  </si>
  <si>
    <t xml:space="preserve">2026-03-18</t>
  </si>
  <si>
    <t xml:space="preserve">Average Rs120–180/Sft; coloured Rs150–190/Sft</t>
  </si>
  <si>
    <t xml:space="preserve">Avenir Developments – Flooring Costs in Pakistan (2026)</t>
  </si>
  <si>
    <t xml:space="preserve">https://avenirdevelopments.com/house-construction-cost/flooring-costs-in-pakistan/</t>
  </si>
  <si>
    <t xml:space="preserve">Vinyl material Rs100–350/Sft; laminate Rs200–500/Sft; epoxy quoted incl. application Rs250–600/Sft (benchmark)</t>
  </si>
  <si>
    <t xml:space="preserve">SRC-29</t>
  </si>
  <si>
    <t xml:space="preserve">LegalPK – Minimum Wage Pakistan 2026 by Province</t>
  </si>
  <si>
    <t xml:space="preserve">https://legalpk.com/blog-post/minimum-wage-pakistan-2026</t>
  </si>
  <si>
    <t xml:space="preserve">All provinces</t>
  </si>
  <si>
    <t xml:space="preserve">Unskilled Rs40,000/month Punjab, Sindh, KP; Rs37,000 Balochistan &amp; Islamabad; 26 working days</t>
  </si>
  <si>
    <t xml:space="preserve">SAJ QSCOST dashboard – GRN Price Register (Quadrangle 3,138 + Phoenix 770 receipts, merged 23-Sep-2026)</t>
  </si>
  <si>
    <t xml:space="preserve">https://sajjadsj44-max.github.io/zd-dashboards/zameen-developments/</t>
  </si>
  <si>
    <t xml:space="preserve">2021-03 to 2026-09</t>
  </si>
  <si>
    <t xml:space="preserve">Lahore sites (Quadrangle, Phoenix)</t>
  </si>
  <si>
    <t xml:space="preserve">Actual purchase rates as received (PO/GRN). GRN number, date and vendor in each note. Metric GRN units converted to cft/Rft/Sft.</t>
  </si>
  <si>
    <t xml:space="preserve">Punjab Finance Dept – MRS 2nd Bi-Annual 2026 (01-Jul to 31-Dec-2026), District Layyah</t>
  </si>
  <si>
    <t xml:space="preserve">Google Drive: Punjab September Rate.pdf</t>
  </si>
  <si>
    <t xml:space="preserve">Layyah (Punjab)</t>
  </si>
  <si>
    <t xml:space="preserve">Composite &amp; labour item rates – current period; district factor vs Lahore not applied</t>
  </si>
  <si>
    <t xml:space="preserve">Punjab Finance Dept – MRS 1st Bi-Annual 2026 (01-Jan to 30-Jun-2026), District Rawalpindi</t>
  </si>
  <si>
    <t xml:space="preserve">Google Drive: Punjab rates 385_20260110213957.pdf (also in dashboard)</t>
  </si>
  <si>
    <t xml:space="preserve">Rawalpindi (Punjab)</t>
  </si>
  <si>
    <t xml:space="preserve">Composite item rates – period expired 30-Jun-2026</t>
  </si>
  <si>
    <t xml:space="preserve">SAJ QSCOST dashboard – civil gap review rates &amp; Sajjad benchmark file (26-Sep-2026)</t>
  </si>
  <si>
    <t xml:space="preserve">2025-10-11 / 2026-09-26</t>
  </si>
  <si>
    <t xml:space="preserve">Web-researched dated rates (I) and Sajjad's own benchmark assumptions (A, undated)</t>
  </si>
  <si>
    <t xml:space="preserve">OGRA LPG notification September 2026 (ARY News / ProPakistani)</t>
  </si>
  <si>
    <t xml:space="preserve">https://arynews.tv/ogra-increases-lpg-price-for-september</t>
  </si>
  <si>
    <t xml:space="preserve">2026-08-31</t>
  </si>
  <si>
    <t xml:space="preserve">LPG Rs258.65 per kg effective 01-Sep-2026</t>
  </si>
  <si>
    <t xml:space="preserve">SRC-35</t>
  </si>
  <si>
    <t xml:space="preserve">KP Finance Dept – MRS-2025 1st Bi-Annual (Peshawar base)</t>
  </si>
  <si>
    <t xml:space="preserve">https://www.finance.gkp.pk/article/market-rate-system-mrs-2025-ist-bi-annual</t>
  </si>
  <si>
    <t xml:space="preserve">2025-10-07</t>
  </si>
  <si>
    <t xml:space="preserve">Khyber Pakhtunkhwa</t>
  </si>
  <si>
    <t xml:space="preserve">Reviewed; composite rates include 23.5% (tax, OH, profit) – not used for Lahore inputs</t>
  </si>
  <si>
    <t xml:space="preserve">Berger Paints official shop – Exterior (Punjab/KPK region) – VIP Weathercoat</t>
  </si>
  <si>
    <t xml:space="preserve">https://shop.berger.com.pk/products/weathercoat-acrylic-exterior-finish</t>
  </si>
  <si>
    <t xml:space="preserve">Rs1,645 per 1 L pack (also 4 L &amp; 16 L); coverage ≈130–150 Sft per L per coat (converted from product page)</t>
  </si>
  <si>
    <t xml:space="preserve">ICONS – Marble Price in Pakistan Today 10-09-2026</t>
  </si>
  <si>
    <t xml:space="preserve">https://icons.com.pk/marble-price-in-pakistan</t>
  </si>
  <si>
    <t xml:space="preserve">Floor marble: Tavera 85–100, Ziarat White 330–345 per Sft</t>
  </si>
  <si>
    <t xml:space="preserve">ProPakistani – KWSC water tanker tariffs (1-Jul-2026)</t>
  </si>
  <si>
    <t xml:space="preserve">https://propakistani.pk/2026/07/01/karachi-to-massively-increase-water-tanker-rates/amp/</t>
  </si>
  <si>
    <t xml:space="preserve">Commercial 1,000-gallon tanker Rs3,120 – Karachi proxy for Lahore</t>
  </si>
  <si>
    <t xml:space="preserve">SAJ QSCOST dashboard – CEM line: Lahore market price dashboard, 05-Sep-2026</t>
  </si>
  <si>
    <t xml:space="preserve">OPC supplier band 1,520–1,605 per bag (Flying 1,520 · Gharibwal/Lucky 1,575 · Maple 1,605); web summary 27-Sep-2026 (icons.com.pk / hamariweb.com 04-Sep-2026) gives 1,500–1,610 – consistent</t>
  </si>
  <si>
    <t xml:space="preserve">Market rates supplied by Sajjad (QS), 04-Sep-2026</t>
  </si>
  <si>
    <t xml:space="preserve">Dashboard lines SAND-LP / CRSH-SG</t>
  </si>
  <si>
    <t xml:space="preserve">Lawrencepur sand 240 per cft; Sargodha crush 1/2" &amp; 3/8" 185 per cft, delivered</t>
  </si>
  <si>
    <t xml:space="preserve">SAJ QSCOST dashboard – CRSH-MG line (web search 23-Sep-2026, July-2026 market pages)</t>
  </si>
  <si>
    <t xml:space="preserve">Dashboard line CRSH-MG</t>
  </si>
  <si>
    <t xml:space="preserve">Margalla crush about 180 per cft; Lahore delivery may add 30–80. Rev06 midpoint 145 was below the 04-Sep-2026 Sargodha quote (185) although Margalla hauls further – 180 adopted</t>
  </si>
  <si>
    <t xml:space="preserve">Wooden Box Trading brick rates via Claude chat research (Part 1), 26-Sep-2026</t>
  </si>
  <si>
    <t xml:space="preserve">Dashboard lines BRK-1 / BRK-2</t>
  </si>
  <si>
    <t xml:space="preserve">A-class bricks Rs 16,000–19,000 per 1,000 ('last updated Sep 2026'); cross-check The M Square 23-Jan-2026</t>
  </si>
  <si>
    <t xml:space="preserve">Zarea Lahore quotation, 05-Sep-2026</t>
  </si>
  <si>
    <t xml:space="preserve">Dashboard lines BLK-S4 / BLK-H6</t>
  </si>
  <si>
    <t xml:space="preserve">Solid 4"x8"x12" 140 · hollow 6"x8"x16" 165 per block, MOQ 500, 1200–1500 psi, delivery extra</t>
  </si>
  <si>
    <t xml:space="preserve">PropertyDealer.pk bajri rate, 24-Sep-2026</t>
  </si>
  <si>
    <t xml:space="preserve">Dashboard line GRAVEL-SB</t>
  </si>
  <si>
    <t xml:space="preserve">C-grade sub-base / road crush Rs 95–105 per cft</t>
  </si>
  <si>
    <t xml:space="preserve">Web search 23-Sep-2026 – Lahore painting cost guides</t>
  </si>
  <si>
    <t xml:space="preserve">Dashboard line L-PAINT</t>
  </si>
  <si>
    <t xml:space="preserve">Skilled painters 1,800–2,500 per day; mid 2,100</t>
  </si>
  <si>
    <t xml:space="preserve">Punjab MRS 1st Bi-Annual 2026 (Rawalpindi) – labour-only shares used as productivity benchmarks</t>
  </si>
  <si>
    <t xml:space="preserve">Dashboard Punjab MRS register (Punjab rates 385_20260110213957.pdf)</t>
  </si>
  <si>
    <t xml:space="preserve">Labour share per unit printed beside each composite rate; period 01-Jan to 30-Jun-2026 (lapsed – reconfirm against the Lahore 2nd Bi-Annual 2026 edition when loaded)</t>
  </si>
  <si>
    <t xml:space="preserve">SRC-47</t>
  </si>
  <si>
    <t xml:space="preserve">MAK Contractors &amp; Associates – Mall-35 MEP installation contract rates (final bill IPC-09)</t>
  </si>
  <si>
    <t xml:space="preserve">Dashboard MAK-* lines (MAK Final Bill Checking.xlsx)</t>
  </si>
  <si>
    <t xml:space="preserve">2023-09-25</t>
  </si>
  <si>
    <t xml:space="preserve">Lahore (Mall-35)</t>
  </si>
  <si>
    <t xml:space="preserve">Installation-only rates incl. MAK margin and 7.5% income tax; BOQ rates dated 25-Sep-2023, Non-BOQ 31-May-2025. Divided by 1.18 to compare with direct labour</t>
  </si>
  <si>
    <t xml:space="preserve">SAJ QSCOST dashboard – GRN Price Register (latest receipt per item)</t>
  </si>
  <si>
    <t xml:space="preserve">Lahore sites</t>
  </si>
  <si>
    <t xml:space="preserve">GRN number, date and vendor quoted in each resource note</t>
  </si>
  <si>
    <t xml:space="preserve">Rev07a assumptions register – blank rates assumed on request (Sajjad, 27-Sep-2026)</t>
  </si>
  <si>
    <t xml:space="preserve">tools/ra_master_config.py ASSUMED / DASH_ASSUMED</t>
  </si>
  <si>
    <t xml:space="preserve">No dated source: estimates or derivations stated per line. Replace each with a quotation (16 RFQ col H)</t>
  </si>
  <si>
    <t xml:space="preserve">10 · ASSUMPTIONS &amp; GLOBAL INPUTS</t>
  </si>
  <si>
    <t xml:space="preserve">Blue = editable input · Yellow = assumption · Red = no dated source. Change globals here – every analysis updates.</t>
  </si>
  <si>
    <t xml:space="preserve">Name</t>
  </si>
  <si>
    <t xml:space="preserve">Parameter</t>
  </si>
  <si>
    <t xml:space="preserve">OH_Site</t>
  </si>
  <si>
    <t xml:space="preserve">Site / general overheads</t>
  </si>
  <si>
    <t xml:space="preserve">%</t>
  </si>
  <si>
    <t xml:space="preserve">House default</t>
  </si>
  <si>
    <t xml:space="preserve">Part of house 8% OH split 3% site + 5% HO – confirm per project</t>
  </si>
  <si>
    <t xml:space="preserve">OH_HO</t>
  </si>
  <si>
    <t xml:space="preserve">Head-office / contractor overheads</t>
  </si>
  <si>
    <t xml:space="preserve">See above. Applied on direct cost – not compounded.</t>
  </si>
  <si>
    <t xml:space="preserve">Contractor profit</t>
  </si>
  <si>
    <t xml:space="preserve">House default 10% on direct cost</t>
  </si>
  <si>
    <t xml:space="preserve">Tax_On</t>
  </si>
  <si>
    <t xml:space="preserve">Apply sales tax on services? (Yes/No)</t>
  </si>
  <si>
    <t xml:space="preserve">No</t>
  </si>
  <si>
    <t xml:space="preserve">Toggle</t>
  </si>
  <si>
    <t xml:space="preserve">Taxes kept OUT of basic rates by default</t>
  </si>
  <si>
    <t xml:space="preserve">Tax_Rate</t>
  </si>
  <si>
    <t xml:space="preserve">Sales tax on construction services</t>
  </si>
  <si>
    <t xml:space="preserve">NO SOURCE</t>
  </si>
  <si>
    <t xml:space="preserve">Enter current PRA rate for Punjab services if Tax_On = Yes – not verified here</t>
  </si>
  <si>
    <t xml:space="preserve">Batch_cft</t>
  </si>
  <si>
    <t xml:space="preserve">cft per lab batch (lab sheets report per standard batch volume)</t>
  </si>
  <si>
    <t xml:space="preserve">Conversion</t>
  </si>
  <si>
    <t xml:space="preserve">Exact conversion constant used to bring lab batch weights to per-cft</t>
  </si>
  <si>
    <t xml:space="preserve">Bag_kg</t>
  </si>
  <si>
    <t xml:space="preserve">Cement bag weight</t>
  </si>
  <si>
    <t xml:space="preserve">Standard</t>
  </si>
  <si>
    <t xml:space="preserve">50 kg bag</t>
  </si>
  <si>
    <t xml:space="preserve">Bag_cft</t>
  </si>
  <si>
    <t xml:space="preserve">Cement bag volume</t>
  </si>
  <si>
    <t xml:space="preserve">House standard</t>
  </si>
  <si>
    <t xml:space="preserve">50 kg bag = 1.25 cft (house rule)</t>
  </si>
  <si>
    <t xml:space="preserve">Dens_Sand</t>
  </si>
  <si>
    <t xml:space="preserve">Loose bulk density of sand (as purchased by cft)</t>
  </si>
  <si>
    <t xml:space="preserve">kg/cft</t>
  </si>
  <si>
    <t xml:space="preserve">ASSUMPTION</t>
  </si>
  <si>
    <t xml:space="preserve">Converts lab kg to purchasable cft. Loose dry sand typically 41–47 kg/cft; bulking of moist sand lowers it – calibrate with site box test</t>
  </si>
  <si>
    <t xml:space="preserve">Dens_Crush</t>
  </si>
  <si>
    <t xml:space="preserve">Loose bulk density of crush (as purchased by cft)</t>
  </si>
  <si>
    <t xml:space="preserve">Typical 40–45 kg/cft – calibrate with site box test / weighbridge slip</t>
  </si>
  <si>
    <t xml:space="preserve">DryF_Conc</t>
  </si>
  <si>
    <t xml:space="preserve">Dry volume factor – concrete (nominal mixes)</t>
  </si>
  <si>
    <t xml:space="preserve">House rule</t>
  </si>
  <si>
    <t xml:space="preserve">DryF_Mortar</t>
  </si>
  <si>
    <t xml:space="preserve">Dry volume factor – mortar / plaster</t>
  </si>
  <si>
    <t xml:space="preserve">W_Cem</t>
  </si>
  <si>
    <t xml:space="preserve">Wastage – cement</t>
  </si>
  <si>
    <t xml:space="preserve">Editable default</t>
  </si>
  <si>
    <t xml:space="preserve">W_Agg</t>
  </si>
  <si>
    <t xml:space="preserve">Wastage – sand &amp; crush</t>
  </si>
  <si>
    <t xml:space="preserve">House 5% wet trades</t>
  </si>
  <si>
    <t xml:space="preserve">W_Adm</t>
  </si>
  <si>
    <t xml:space="preserve">Wastage – admixture</t>
  </si>
  <si>
    <t xml:space="preserve">W_Wtr</t>
  </si>
  <si>
    <t xml:space="preserve">Wastage – water</t>
  </si>
  <si>
    <t xml:space="preserve">W_Stl</t>
  </si>
  <si>
    <t xml:space="preserve">Wastage – steel</t>
  </si>
  <si>
    <t xml:space="preserve">House 3% steel</t>
  </si>
  <si>
    <t xml:space="preserve">W_Brk</t>
  </si>
  <si>
    <t xml:space="preserve">Wastage – bricks</t>
  </si>
  <si>
    <t xml:space="preserve">Breakage &amp; cutting</t>
  </si>
  <si>
    <t xml:space="preserve">W_Blk</t>
  </si>
  <si>
    <t xml:space="preserve">Wastage – blocks</t>
  </si>
  <si>
    <t xml:space="preserve">W_Ply</t>
  </si>
  <si>
    <t xml:space="preserve">Wastage – plywood (cutting)</t>
  </si>
  <si>
    <t xml:space="preserve">Reuse_Ply</t>
  </si>
  <si>
    <t xml:space="preserve">Plywood uses per sheet</t>
  </si>
  <si>
    <t xml:space="preserve">Number of pours per plywood face – rate sensitive; confirm per project</t>
  </si>
  <si>
    <t xml:space="preserve">Reuse_Tim</t>
  </si>
  <si>
    <t xml:space="preserve">Timber uses</t>
  </si>
  <si>
    <t xml:space="preserve">Number of pours per timber batten/bearer</t>
  </si>
  <si>
    <t xml:space="preserve">W_Tile</t>
  </si>
  <si>
    <t xml:space="preserve">Wastage – tiles (cutting &amp; breakage)</t>
  </si>
  <si>
    <t xml:space="preserve">W_Stone</t>
  </si>
  <si>
    <t xml:space="preserve">Wastage – marble/stone</t>
  </si>
  <si>
    <t xml:space="preserve">W_Gyp</t>
  </si>
  <si>
    <t xml:space="preserve">Wastage – gypsum board &amp; frame</t>
  </si>
  <si>
    <t xml:space="preserve">W_Pnt</t>
  </si>
  <si>
    <t xml:space="preserve">Wastage – paint &amp; putty</t>
  </si>
  <si>
    <t xml:space="preserve">W_Pipe</t>
  </si>
  <si>
    <t xml:space="preserve">Wastage – pipes &amp; conduits</t>
  </si>
  <si>
    <t xml:space="preserve">W_Cbl</t>
  </si>
  <si>
    <t xml:space="preserve">Wastage – cables</t>
  </si>
  <si>
    <t xml:space="preserve">W_RMC</t>
  </si>
  <si>
    <t xml:space="preserve">Wastage – ready-mix concrete</t>
  </si>
  <si>
    <t xml:space="preserve">W_Mem</t>
  </si>
  <si>
    <t xml:space="preserve">Membrane laps &amp; wastage</t>
  </si>
  <si>
    <t xml:space="preserve">10 cm (≈4") side/end laps + cutting</t>
  </si>
  <si>
    <t xml:space="preserve">City</t>
  </si>
  <si>
    <t xml:space="preserve">Rate location – select city (drives 05/06/07 Base Rate)</t>
  </si>
  <si>
    <t xml:space="preserve">Lahore fully populated; other cities use city-specific or national-list rates only – unpriced resources show blank and items go INCOMPLETE</t>
  </si>
  <si>
    <t xml:space="preserve">Other assumptions register</t>
  </si>
  <si>
    <t xml:space="preserve">A-01 Material rates are delivered-to-site Lahore rates (source listings are dealer/delivered prices); no separate transport line added. Confirm per quote.</t>
  </si>
  <si>
    <t xml:space="preserve">A-02 Coarse aggregate source for lab mixes offering Margalla/Sargodha/Sakhi Sarwar priced as Margalla (first listed &amp; house standard). Change material code in 04 to reprice.</t>
  </si>
  <si>
    <t xml:space="preserve">A-03 One rate per quarry used for all crush fractions (3/4", 1/2", 3/8", 1/4") – no fraction-wise dated price found.</t>
  </si>
  <si>
    <t xml:space="preserve">A-04 Sand source not stated on ACI-211 sheet (Image 4) and J7 sheet (Image 7) – priced as Lawrencepur.</t>
  </si>
  <si>
    <t xml:space="preserve">A-05 Lab kg converted to purchasable cft with loose bulk densities Dens_Sand / Dens_Crush – the largest single sensitivity in aggregate cost. Calibrate on site.</t>
  </si>
  <si>
    <t xml:space="preserve">A-06 Concrete analyses are SUPPLY + PLACE + COMPACT + CURE, ground-floor base, EXCLUDING reinforcement, formwork, pumping premium per floor and batching-plant cost (EQ-PUMP / EQ-BP rows are present with blank rates – fill if applicable).</t>
  </si>
  <si>
    <t xml:space="preserve">A-07 Labour productivities in 13 are checked against dated benchmarks (Punjab MRS 2026 labour share, MAK installation rate ÷ 1.18, SRC-06 piece rate). Rows with no benchmark (formwork, blockwork, cementitious WP) remain assumptions – see 13 col S.</t>
  </si>
  <si>
    <t xml:space="preserve">A-08 Overheads and profit applied once each on direct cost – not compounded; tax excluded unless Tax_On = Yes.</t>
  </si>
  <si>
    <t xml:space="preserve">A-09 Cells in RED have no dated source; the item's Rate Status shows INCOMPLETE until every red input is filled.</t>
  </si>
  <si>
    <t xml:space="preserve">A-10 Location: select City in this sheet. Lahore fully populated. Other cities: labour from dated city bands (SRC-06, SRC-29); manufacturer/national price lists applied to all cities; city-specific materials (sand, crush, bricks, blocks outside hubs) blank until entered in 08.</t>
  </si>
  <si>
    <t xml:space="preserve">11 · UNIT CONVERSION</t>
  </si>
  <si>
    <t xml:space="preserve">Imperial output only. Lab batch conversion used solely to read the lab sheets.</t>
  </si>
  <si>
    <t xml:space="preserve">From</t>
  </si>
  <si>
    <t xml:space="preserve">To</t>
  </si>
  <si>
    <t xml:space="preserve">Factor</t>
  </si>
  <si>
    <t xml:space="preserve">Note</t>
  </si>
  <si>
    <t xml:space="preserve">inch</t>
  </si>
  <si>
    <t xml:space="preserve">ft</t>
  </si>
  <si>
    <t xml:space="preserve">6" = 0.500 ft; 4.5" = 0.375 ft; 9" = 0.750 ft</t>
  </si>
  <si>
    <t xml:space="preserve">Sft (per 100)</t>
  </si>
  <si>
    <t xml:space="preserve">Rate per 100 Sft</t>
  </si>
  <si>
    <t xml:space="preserve">cft (per 100)</t>
  </si>
  <si>
    <t xml:space="preserve">lab batch</t>
  </si>
  <si>
    <t xml:space="preserve">Lab sheets report weights per standard lab batch volume</t>
  </si>
  <si>
    <t xml:space="preserve">kg per lab batch</t>
  </si>
  <si>
    <t xml:space="preserve">kg per cft</t>
  </si>
  <si>
    <t xml:space="preserve">Metric tonne</t>
  </si>
  <si>
    <t xml:space="preserve">bag cement</t>
  </si>
  <si>
    <t xml:space="preserve">gallon (imp)</t>
  </si>
  <si>
    <t xml:space="preserve">litre admixture</t>
  </si>
  <si>
    <t xml:space="preserve">SG per Image 1 (Sika 520BA); Imperial 540M SG 1.18 per Image 7</t>
  </si>
  <si>
    <t xml:space="preserve">sutar</t>
  </si>
  <si>
    <t xml:space="preserve">Rebar dia only (permitted exception)</t>
  </si>
  <si>
    <t xml:space="preserve">Running foot</t>
  </si>
  <si>
    <t xml:space="preserve">12 · TRADE LIST &amp; CODING HIERARCHY</t>
  </si>
  <si>
    <t xml:space="preserve">Status shows what is analysed in this issue vs. queued for next phases (needs dated sources/quotes first).</t>
  </si>
  <si>
    <t xml:space="preserve">Code prefix</t>
  </si>
  <si>
    <t xml:space="preserve">Sub-trades / items in scope</t>
  </si>
  <si>
    <t xml:space="preserve">Items built</t>
  </si>
  <si>
    <t xml:space="preserve">PRE-GEN</t>
  </si>
  <si>
    <t xml:space="preserve">Preliminaries / General</t>
  </si>
  <si>
    <t xml:space="preserve">Mobilization, site establishment, temp water/power, hoarding, site office, safety, scaffolding, testing, mockups, surveying, cleaning, debris removal</t>
  </si>
  <si>
    <t xml:space="preserve">CIV-EW</t>
  </si>
  <si>
    <t xml:space="preserve">Earthwork / Site clearance</t>
  </si>
  <si>
    <t xml:space="preserve">Clearance, excavation (ordinary/hard/rock, machine/manual), backfill, selected/granular fill, compaction, disposal, dewatering, anti-termite</t>
  </si>
  <si>
    <t xml:space="preserve">CIV-CON</t>
  </si>
  <si>
    <t xml:space="preserve">Concrete (PCC / RCC)</t>
  </si>
  <si>
    <t xml:space="preserve">Lab mix-design concretes, nominal mixes, footings, rafts, columns, beams, slabs, shear walls, stairs, tanks</t>
  </si>
  <si>
    <t xml:space="preserve">CIV-RFT</t>
  </si>
  <si>
    <t xml:space="preserve">Supply, cut, bend, fix per kg/ton</t>
  </si>
  <si>
    <t xml:space="preserve">CIV-FWK</t>
  </si>
  <si>
    <t xml:space="preserve">Slab, beam, column, wall, stair, core, foundation, edge, parapet – steel &amp; timber</t>
  </si>
  <si>
    <t xml:space="preserve">CIV-MAS</t>
  </si>
  <si>
    <t xml:space="preserve">Masonry / Blockwork</t>
  </si>
  <si>
    <t xml:space="preserve">Brick 4.5"/9", block 4"/6"/8" hollow/solid, AAC, partitions, shaft walls</t>
  </si>
  <si>
    <t xml:space="preserve">FIN-PLS</t>
  </si>
  <si>
    <t xml:space="preserve">Plaster / Render / Screed</t>
  </si>
  <si>
    <t xml:space="preserve">Internal/external plaster by thickness &amp; ratio, roughcast, gypsum plaster, screeds, SLC</t>
  </si>
  <si>
    <t xml:space="preserve">FIN-WPF</t>
  </si>
  <si>
    <t xml:space="preserve">Waterproofing / Insulation</t>
  </si>
  <si>
    <t xml:space="preserve">Bituminous, torch-on, liquid, cementitious, PU, basement, wet areas, XPS/EPS/rockwool</t>
  </si>
  <si>
    <t xml:space="preserve">FIN-FLR</t>
  </si>
  <si>
    <t xml:space="preserve">Ceramic, porcelain, granite, marble, terrazzo, vinyl/SPC/LVT, carpet, epoxy, pavers, kerbs</t>
  </si>
  <si>
    <t xml:space="preserve">FIN-WAL</t>
  </si>
  <si>
    <t xml:space="preserve">Tiles, stone, wallpaper, microcement, panels, HPL, acoustic</t>
  </si>
  <si>
    <t xml:space="preserve">FIN-CLG</t>
  </si>
  <si>
    <t xml:space="preserve">Gypsum (std/MR/FR) with full frame build-up, mineral fibre, metal, baffle, open-cell, bulkheads, access panels</t>
  </si>
  <si>
    <t xml:space="preserve">FIN-PNT</t>
  </si>
  <si>
    <t xml:space="preserve">Coat-by-coat: primer + putty + finish; emulsion, weather shield, texture, epoxy, PU, enamel</t>
  </si>
  <si>
    <t xml:space="preserve">FIN-DOR</t>
  </si>
  <si>
    <t xml:space="preserve">Flush, solid core, fire-rated, steel, aluminium, glass, veneer, laminated + ironmongery</t>
  </si>
  <si>
    <t xml:space="preserve">FIN-WIN</t>
  </si>
  <si>
    <t xml:space="preserve">Windows / Glazing</t>
  </si>
  <si>
    <t xml:space="preserve">Aluminium, uPVC, curtain wall, toughened/laminated/DGU/Low-E, louvres, partitions</t>
  </si>
  <si>
    <t xml:space="preserve">FIN-JNR</t>
  </si>
  <si>
    <t xml:space="preserve">Kitchens, wardrobes, vanities, counters, MDF/ply/HPL/veneer</t>
  </si>
  <si>
    <t xml:space="preserve">FAC</t>
  </si>
  <si>
    <t xml:space="preserve">Curtain wall, ACP, stone/granite cladding, GRC, EIFS, louvres, fins, canopies, skylights</t>
  </si>
  <si>
    <t xml:space="preserve">EXT</t>
  </si>
  <si>
    <t xml:space="preserve">External works</t>
  </si>
  <si>
    <t xml:space="preserve">Roads, paving, kerbs, boundary walls, gates, drainage, manholes, landscaping, irrigation</t>
  </si>
  <si>
    <t xml:space="preserve">PLB</t>
  </si>
  <si>
    <t xml:space="preserve">PPR/CPVC/HDPE/GI supply, uPVC/HDPE drainage, fixtures, tanks, pumps, valves</t>
  </si>
  <si>
    <t xml:space="preserve">FF</t>
  </si>
  <si>
    <t xml:space="preserve">Pipework by dia, sprinklers, hose reels, hydrants, landing valves, pumps</t>
  </si>
  <si>
    <t xml:space="preserve">MEP-HVAC</t>
  </si>
  <si>
    <t xml:space="preserve">HVAC / Mechanical</t>
  </si>
  <si>
    <t xml:space="preserve">Split/VRF, AHU/FCU, chillers, ductwork per kg/Sft, dampers, diffusers, refrigerant piping</t>
  </si>
  <si>
    <t xml:space="preserve">ELE</t>
  </si>
  <si>
    <t xml:space="preserve">Wiring, cables, conduits, accessories, DBs/MDB, breakers, lighting, earthing, gensets, trays</t>
  </si>
  <si>
    <t xml:space="preserve">ELV / ICT / Security</t>
  </si>
  <si>
    <t xml:space="preserve">Data, CCTV, access control, PA, SMATV, BMS, fibre</t>
  </si>
  <si>
    <t xml:space="preserve">LS</t>
  </si>
  <si>
    <t xml:space="preserve">Fire alarm devices &amp; panels, emergency lighting, extinguishers, fire stopping</t>
  </si>
  <si>
    <t xml:space="preserve">LFT</t>
  </si>
  <si>
    <t xml:space="preserve">Vendor-priced only – not fabricated</t>
  </si>
  <si>
    <t xml:space="preserve">MISC</t>
  </si>
  <si>
    <t xml:space="preserve">Specialist / Misc.</t>
  </si>
  <si>
    <t xml:space="preserve">Pools, signage, SS/MS/aluminium works, railings, balustrades, expansion joints</t>
  </si>
  <si>
    <t xml:space="preserve">13 · PRODUCTIVITY LIBRARY</t>
  </si>
  <si>
    <t xml:space="preserve">Output per crew-day (gang). Labour / unit = (skilled nos × skilled rate + helper nos × helper rate) ÷ crew output. Rev07: each output checked against a dated benchmark (Punjab MRS 2026 labour share, MAK installation rate ÷ 1.18, SRC-06 Lahore piece rate); kept within ±35%, otherwise reset.</t>
  </si>
  <si>
    <t xml:space="preserve">Prod Code</t>
  </si>
  <si>
    <t xml:space="preserve">Activity</t>
  </si>
  <si>
    <t xml:space="preserve">Crew Output / day</t>
  </si>
  <si>
    <t xml:space="preserve">Skilled Nos</t>
  </si>
  <si>
    <t xml:space="preserve">Helper Nos</t>
  </si>
  <si>
    <t xml:space="preserve">Skilled labour code</t>
  </si>
  <si>
    <t xml:space="preserve">Output per skilled worker / day</t>
  </si>
  <si>
    <t xml:space="preserve">Output per worker (whole crew) / day</t>
  </si>
  <si>
    <t xml:space="preserve">Crew cost / day PKR</t>
  </si>
  <si>
    <t xml:space="preserve">Labour cost / unit PKR</t>
  </si>
  <si>
    <t xml:space="preserve">Benchmark (dated source)</t>
  </si>
  <si>
    <t xml:space="preserve">Benchmark labour / unit PKR</t>
  </si>
  <si>
    <t xml:space="preserve">Crew output implied by benchmark</t>
  </si>
  <si>
    <t xml:space="preserve">Rev06 output</t>
  </si>
  <si>
    <t xml:space="preserve">Rev06 labour / unit at Rev07 wages</t>
  </si>
  <si>
    <t xml:space="preserve">Rev06 deviation vs benchmark</t>
  </si>
  <si>
    <t xml:space="preserve">Rev07 status</t>
  </si>
  <si>
    <t xml:space="preserve">PR-RCC</t>
  </si>
  <si>
    <t xml:space="preserve">RCC placing &amp; compacting – site-batched (mixer)</t>
  </si>
  <si>
    <t xml:space="preserve">Kept: 145.04/cft is within 3% of the MRS labour share. Crew: 1 skilled + 8 helper(s).</t>
  </si>
  <si>
    <t xml:space="preserve">Punjab MRS 1st BA-2026 (Rawalpindi), 01-Jan-2026 Ch.6 item 5 labour share 140.26/cft (plain concrete placed, compacted, cured, site-mixed)</t>
  </si>
  <si>
    <t xml:space="preserve">Kept – within ±35% of benchmark</t>
  </si>
  <si>
    <t xml:space="preserve">PR-PCC</t>
  </si>
  <si>
    <t xml:space="preserve">PCC / lean concrete placing – site-batched</t>
  </si>
  <si>
    <t xml:space="preserve">Corrected 150 -&gt; 80 cft/day: Rev06 labour 76.19/cft was 46% below MRS. Crew: 1 skilled + 6 helper(s).</t>
  </si>
  <si>
    <t xml:space="preserve">Punjab MRS 1st BA-2026 (Rawalpindi), 01-Jan-2026 Ch.6 item 5(i) 1:4:8 labour share 140.26/cft</t>
  </si>
  <si>
    <t xml:space="preserve">Corrected to benchmark</t>
  </si>
  <si>
    <t xml:space="preserve">PR-RFT</t>
  </si>
  <si>
    <t xml:space="preserve">Rebar cut, bend &amp; fix</t>
  </si>
  <si>
    <t xml:space="preserve">Corrected 250 -&gt; 360 kg/day: Rev06 labour 15.95/kg was 45% above MRS. Crew: 1 skilled + 1 helper(s).</t>
  </si>
  <si>
    <t xml:space="preserve">Punjab MRS 1st BA-2026 (Rawalpindi), 01-Jan-2026 Ch.6 item 12(b)(ii) Grade-60 labour share 11.03/kg (cut, bend, place, bind)</t>
  </si>
  <si>
    <t xml:space="preserve">PR-BRK</t>
  </si>
  <si>
    <t xml:space="preserve">Brick masonry 9" and above – ground floor</t>
  </si>
  <si>
    <t xml:space="preserve">Corrected 80 -&gt; 50 cft/day (≈675 bricks per mason-day): Rev06 labour 56.34/cft was 38% below MRS. Crew: 1 skilled + 1.5 helper(s).</t>
  </si>
  <si>
    <t xml:space="preserve">Punjab MRS 1st BA-2026 (Rawalpindi), 01-Jan-2026 Ch.7 item 5(i) labour share 90.57/cft (1:6, ground floor)</t>
  </si>
  <si>
    <t xml:space="preserve">PR-PLS</t>
  </si>
  <si>
    <t xml:space="preserve">Cement plaster ⅜"–½" – walls</t>
  </si>
  <si>
    <t xml:space="preserve">Kept: 36.88/Sft agrees with MRS and SRC-06. Crew: 1 skilled + 1 helper(s).</t>
  </si>
  <si>
    <t xml:space="preserve">Punjab MRS 1st BA-2026 (Rawalpindi), 01-Jan-2026 Ch.11 item 9(b) ½" 1:4 labour share 36.20/Sft; SRC-06 Lahore piece rate 28–38/Sft</t>
  </si>
  <si>
    <t xml:space="preserve">PR-FWS</t>
  </si>
  <si>
    <t xml:space="preserve">Formwork – slab soffit (fix + strip)</t>
  </si>
  <si>
    <t xml:space="preserve">ASSUMPTION — confirm by site time study. Dashboard FW-320 uses 55 Sft/day (also unsourced). Crew: 1 skilled + 1 helper(s).</t>
  </si>
  <si>
    <t xml:space="preserve">No dated benchmark</t>
  </si>
  <si>
    <t xml:space="preserve">ASSUMPTION – no dated benchmark, confirm by site time study</t>
  </si>
  <si>
    <t xml:space="preserve">PR-FWB</t>
  </si>
  <si>
    <t xml:space="preserve">Formwork – beam sides &amp; soffit</t>
  </si>
  <si>
    <t xml:space="preserve">ASSUMPTION — confirm by site time study. Crew: 1 skilled + 1 helper(s).</t>
  </si>
  <si>
    <t xml:space="preserve">PR-FWC</t>
  </si>
  <si>
    <t xml:space="preserve">Formwork – columns</t>
  </si>
  <si>
    <t xml:space="preserve">PR-FWW</t>
  </si>
  <si>
    <t xml:space="preserve">Formwork – walls / shear walls / lift core</t>
  </si>
  <si>
    <t xml:space="preserve">PR-BLK8</t>
  </si>
  <si>
    <t xml:space="preserve">Block masonry 8"</t>
  </si>
  <si>
    <t xml:space="preserve">ASSUMPTION — confirm. Dashboard BLK-* generator uses 50 Sft/day (also unsourced). Crew: 1 skilled + 1 helper(s).</t>
  </si>
  <si>
    <t xml:space="preserve">No dated benchmark (MRS has no block item)</t>
  </si>
  <si>
    <t xml:space="preserve">PR-BLK6</t>
  </si>
  <si>
    <t xml:space="preserve">Block masonry 6"</t>
  </si>
  <si>
    <t xml:space="preserve">ASSUMPTION — confirm. Crew: 1 skilled + 1 helper(s).</t>
  </si>
  <si>
    <t xml:space="preserve">PR-BLK4</t>
  </si>
  <si>
    <t xml:space="preserve">Block masonry 4"</t>
  </si>
  <si>
    <t xml:space="preserve">PR-BRK45</t>
  </si>
  <si>
    <t xml:space="preserve">Brick masonry 4½"</t>
  </si>
  <si>
    <t xml:space="preserve">Kept: 31.15/Sft within 8% of the MRS-derived rate. Crew: 1 skilled + 1 helper(s).</t>
  </si>
  <si>
    <t xml:space="preserve">Punjab MRS 1st BA-2026 (Rawalpindi), 01-Jan-2026 Ch.7 item 5 90.57/cft × 0.375 ft = 33.96/Sft</t>
  </si>
  <si>
    <t xml:space="preserve">PR-SCR</t>
  </si>
  <si>
    <t xml:space="preserve">Floor/roof screed 1½"</t>
  </si>
  <si>
    <t xml:space="preserve">Corrected 250 -&gt; 95 Sft/day: Rev06 21.10/Sft was 63% below MRS. MRS topping includes panel finishing; screed under tiles may be faster — confirm by time study. Crew: 1 skilled + 2 helper(s).</t>
  </si>
  <si>
    <t xml:space="preserve">Punjab MRS 1st BA-2026 (Rawalpindi), 01-Jan-2026 Ch.10 item 16(c) 1½" floor topping labour share 56.39/Sft</t>
  </si>
  <si>
    <t xml:space="preserve">PR-WPM</t>
  </si>
  <si>
    <t xml:space="preserve">Torch-on membrane incl. primer</t>
  </si>
  <si>
    <t xml:space="preserve">Corrected 400 -&gt; 180 Sft/day: Rev06 9.35/Sft was 54% below MRS. Crew: 1 skilled + 1 helper(s).</t>
  </si>
  <si>
    <t xml:space="preserve">Punjab MRS 1st BA-2026 (Rawalpindi), 01-Jan-2026 Ch.9 item 46(a)(ii) 4 mm torch-on labour share 20.45/Sft</t>
  </si>
  <si>
    <t xml:space="preserve">PR-WPC</t>
  </si>
  <si>
    <t xml:space="preserve">Cementitious waterproofing 2 coats</t>
  </si>
  <si>
    <t xml:space="preserve">ASSUMPTION — confirm. Dashboard CV-048 / WP-410 use 200 Sft/day (also unsourced). Crew: 1 skilled + 1 helper(s).</t>
  </si>
  <si>
    <t xml:space="preserve">PR-DPC</t>
  </si>
  <si>
    <t xml:space="preserve">DPC 1.5" concrete + bitumen coats</t>
  </si>
  <si>
    <t xml:space="preserve">Corrected 200 -&gt; 125 Sft/day: Rev06 26.38/Sft was 37% below MRS. Crew: 1 skilled + 2 helper(s).</t>
  </si>
  <si>
    <t xml:space="preserve">Punjab MRS 1st BA-2026 (Rawalpindi), 01-Jan-2026 Ch.6 item 37(b)(i) labour share 41.94/Sft</t>
  </si>
  <si>
    <t xml:space="preserve">PR-TLF</t>
  </si>
  <si>
    <t xml:space="preserve">Floor tiling on adhesive</t>
  </si>
  <si>
    <t xml:space="preserve">Kept: 33.65/Sft sits inside the Lahore market piece-rate band. Crew: 1 skilled + 1 helper(s).</t>
  </si>
  <si>
    <t xml:space="preserve">SRC-06 ConcretesMath Lahore tiling piece rate 30–55/Sft (23-May-2026); MRS Ch.10 item 23/36 prints 80.35/Sft (government schedule, on 1:2 mortar bed)</t>
  </si>
  <si>
    <t xml:space="preserve">PR-TLW</t>
  </si>
  <si>
    <t xml:space="preserve">Wall tiling on adhesive</t>
  </si>
  <si>
    <t xml:space="preserve">Kept: 40.38/Sft inside the band. Crew: 1 skilled + 1 helper(s).</t>
  </si>
  <si>
    <t xml:space="preserve">SRC-06 30–55/Sft (as PR-TLF)</t>
  </si>
  <si>
    <t xml:space="preserve">PR-MBL</t>
  </si>
  <si>
    <t xml:space="preserve">Marble flooring in mortar bed</t>
  </si>
  <si>
    <t xml:space="preserve">Kept: 50.48/Sft inside the band; grinding/polishing excluded. Crew: 1 skilled + 1 helper(s).</t>
  </si>
  <si>
    <t xml:space="preserve">SRC-06 30–55/Sft (tiling band)</t>
  </si>
  <si>
    <t xml:space="preserve">PR-CLG</t>
  </si>
  <si>
    <t xml:space="preserve">Gypsum ceiling – frame, board, tape &amp; joint</t>
  </si>
  <si>
    <t xml:space="preserve">Kept: 39.59/Sft within 12% of MRS. Crew: 2 skilled + 1 helper(s).</t>
  </si>
  <si>
    <t xml:space="preserve">Punjab MRS 1st BA-2026 (Rawalpindi), 01-Jan-2026 Ch.9 item 49(ii) labour share 45.20/Sft</t>
  </si>
  <si>
    <t xml:space="preserve">PR-PNT</t>
  </si>
  <si>
    <t xml:space="preserve">Internal paint system (primer + 2 putty + 2 finish)</t>
  </si>
  <si>
    <t xml:space="preserve">Kept: 19.13/Sft within 11% of MRS. Crew: 1 skilled + 0.5 helper(s).</t>
  </si>
  <si>
    <t xml:space="preserve">Punjab MRS 1st BA-2026 (Rawalpindi), 01-Jan-2026 Ch.13 items 31(a)+31(b) emulsion 7.94 + 6.09 + 2 × item 46 putty 3.74 = 21.51/Sft; SRC-06 painting 12–22/Sft</t>
  </si>
  <si>
    <t xml:space="preserve">PR-PNX</t>
  </si>
  <si>
    <t xml:space="preserve">External weather-shield system (primer + 2 finish)</t>
  </si>
  <si>
    <t xml:space="preserve">Corrected 200 -&gt; 70 Sft/day: Rev06 14.35/Sft was 65% below MRS. Access (cradle/scaffold) still measured separately. Crew: 1 skilled + 0.5 helper(s).</t>
  </si>
  <si>
    <t xml:space="preserve">Punjab MRS 1st BA-2026 (Rawalpindi), 01-Jan-2026 Ch.13 item 33(a) new surface 1st coat 26.80 + 2nd coat 14.72 = 41.52/Sft (incl. primer, prep)</t>
  </si>
  <si>
    <t xml:space="preserve">PR-RMC</t>
  </si>
  <si>
    <t xml:space="preserve">Ready-mix concrete – pumped placing, compacting &amp; curing</t>
  </si>
  <si>
    <t xml:space="preserve">New: CIV-CON-020..023 used the site-mix crew (145.04/cft, 55% above MRS). Dashboard RCC-RMC-* uses the same MRS basis. Crew: 1 skilled + 8 helper(s).</t>
  </si>
  <si>
    <t xml:space="preserve">Punjab MRS 1st BA-2026 (Rawalpindi), 01-Jan-2026 Ch.6 item 9(c) plant-batched RCC placing labour share 93.70/cft</t>
  </si>
  <si>
    <t xml:space="preserve">PR-BRKF</t>
  </si>
  <si>
    <t xml:space="preserve">Brick masonry in foundation &amp; plinth</t>
  </si>
  <si>
    <t xml:space="preserve">New for CIV-MAS-006. Crew: 1 skilled + 1.5 helper(s).</t>
  </si>
  <si>
    <t xml:space="preserve">Punjab MRS 1st BA-2026 (Rawalpindi), 01-Jan-2026 Ch.7 item 4(i) foundation 1:6 labour share 80.28/cft</t>
  </si>
  <si>
    <t xml:space="preserve">Aligned to benchmark (Rev06 was within ±35%)</t>
  </si>
  <si>
    <t xml:space="preserve">PR-PLS75</t>
  </si>
  <si>
    <t xml:space="preserve">Cement plaster ¾" – walls (int./ext.)</t>
  </si>
  <si>
    <t xml:space="preserve">New: ¾" plaster (FIN-PLS-002/003) used the ½" output; MRS prints 26% more labour. Crew: 1 skilled + 1 helper(s).</t>
  </si>
  <si>
    <t xml:space="preserve">Punjab MRS 1st BA-2026 (Rawalpindi), 01-Jan-2026 Ch.11 item 9(c) ¾" labour share 45.54/Sft</t>
  </si>
  <si>
    <t xml:space="preserve">PR-PLSC</t>
  </si>
  <si>
    <t xml:space="preserve">Cement plaster ⅜" – ceilings / soffits</t>
  </si>
  <si>
    <t xml:space="preserve">New for FIN-PLS-004. Crew: 1 skilled + 1 helper(s).</t>
  </si>
  <si>
    <t xml:space="preserve">Punjab MRS 1st BA-2026 (Rawalpindi), 01-Jan-2026 Ch.11 item 12 soffit ⅜" labour share 41.48/Sft</t>
  </si>
  <si>
    <t xml:space="preserve">PR-SCR1</t>
  </si>
  <si>
    <t xml:space="preserve">Floor screed 1"</t>
  </si>
  <si>
    <t xml:space="preserve">New for FIN-SCR-004. Crew: 1 skilled + 2 helper(s).</t>
  </si>
  <si>
    <t xml:space="preserve">Punjab MRS 1st BA-2026 (Rawalpindi), 01-Jan-2026 Ch.10 item 16(a) 1" topping 45.21/Sft</t>
  </si>
  <si>
    <t xml:space="preserve">PR-SCR2</t>
  </si>
  <si>
    <t xml:space="preserve">Floor screed 2"</t>
  </si>
  <si>
    <t xml:space="preserve">New for FIN-SCR-002. Crew: 1 skilled + 2 helper(s).</t>
  </si>
  <si>
    <t xml:space="preserve">Punjab MRS 1st BA-2026 (Rawalpindi), 01-Jan-2026 Ch.10 item 16(e) 2" topping 67.57/Sft</t>
  </si>
  <si>
    <t xml:space="preserve">PR-SCR3</t>
  </si>
  <si>
    <t xml:space="preserve">Floor screed 3"</t>
  </si>
  <si>
    <t xml:space="preserve">New for FIN-SCR-003. Crew: 1 skilled + 2 helper(s).</t>
  </si>
  <si>
    <t xml:space="preserve">Punjab MRS 1st BA-2026 (Rawalpindi), 01-Jan-2026 Ch.10 item 16(i) 3" topping 78.75/Sft</t>
  </si>
  <si>
    <t xml:space="preserve">PR-BKF</t>
  </si>
  <si>
    <t xml:space="preserve">Backfilling in 6" layers, watered (plate compactor separate)</t>
  </si>
  <si>
    <t xml:space="preserve">New: CIV-EW-004 used 2 helpers/200 cft (15.38/cft, 89% above MRS). Crew: 0 skilled + 2 helper(s).</t>
  </si>
  <si>
    <t xml:space="preserve">Punjab MRS 1st BA-2026 (Rawalpindi), 01-Jan-2026 Ch.3 item 15(i) filling, watering and ramming earth under floors 8.16/cft</t>
  </si>
  <si>
    <t xml:space="preserve">PR-SNF</t>
  </si>
  <si>
    <t xml:space="preserve">Sand filling under floors in 6" layers</t>
  </si>
  <si>
    <t xml:space="preserve">New: CIV-EW-005 used 2 helpers/200 cft (15.38/cft). Crew: 0 skilled + 2 helper(s).</t>
  </si>
  <si>
    <t xml:space="preserve">Punjab MRS 1st BA-2026 (Rawalpindi), 01-Jan-2026 Ch.10 item 3 supplying and filling sand under floor labour share 6.77/cft</t>
  </si>
  <si>
    <t xml:space="preserve">PR-PPR-S</t>
  </si>
  <si>
    <t xml:space="preserve">PPR pipe ½"–1" with fittings, clamps, testing</t>
  </si>
  <si>
    <t xml:space="preserve">New: Rev06 80 Rft/day was 42% below MAK. Crew: 1 skilled + 1 helper(s).</t>
  </si>
  <si>
    <t xml:space="preserve">MAK Mall-35 install rate, 25-Sep-2023 MP-201A PPR 25 mm 105.49/Rft ÷ 1.18</t>
  </si>
  <si>
    <t xml:space="preserve">PR-PPR-M</t>
  </si>
  <si>
    <t xml:space="preserve">PPR pipe 1¼"–2"</t>
  </si>
  <si>
    <t xml:space="preserve">New: Rev06 50 Rft/day was 31–42% below MAK. Crew: 1 skilled + 1 helper(s).</t>
  </si>
  <si>
    <t xml:space="preserve">MAK Mall-35 install rate, 25-Sep-2023 MP-201D PPR 50 mm 141.86/Rft ÷ 1.18</t>
  </si>
  <si>
    <t xml:space="preserve">PR-PPR-250</t>
  </si>
  <si>
    <t xml:space="preserve">PPR pipe 2½"</t>
  </si>
  <si>
    <t xml:space="preserve">New. Crew: 1 skilled + 1 helper(s).</t>
  </si>
  <si>
    <t xml:space="preserve">MAK Mall-35 install rate, 25-Sep-2023 MP-201F PPR 75 mm 189.15/Rft ÷ 1.18</t>
  </si>
  <si>
    <t xml:space="preserve">PR-PPR-300</t>
  </si>
  <si>
    <t xml:space="preserve">PPR pipe 3"</t>
  </si>
  <si>
    <t xml:space="preserve">MAK Mall-35 install rate, 25-Sep-2023 MP-201G PPR 90 mm 238.09/Rft ÷ 1.18</t>
  </si>
  <si>
    <t xml:space="preserve">PR-PPR-400</t>
  </si>
  <si>
    <t xml:space="preserve">PPR / HDPE pipe 4" (110 mm)</t>
  </si>
  <si>
    <t xml:space="preserve">MAK Mall-35 install rate, 25-Sep-2023 MP-201H PPR 110 mm 291.00/Rft ÷ 1.18</t>
  </si>
  <si>
    <t xml:space="preserve">PR-SWV2</t>
  </si>
  <si>
    <t xml:space="preserve">New: Rev06 60 Rft/day was 40% below MAK. Crew: 1 skilled + 1 helper(s).</t>
  </si>
  <si>
    <t xml:space="preserve">MAK Mall-35 install rate, 25-Sep-2023 MP-301A uPVC 2" 134.59/Rft ÷ 1.18</t>
  </si>
  <si>
    <t xml:space="preserve">PR-SWV3</t>
  </si>
  <si>
    <t xml:space="preserve">MAK Mall-35 install rate, 25-Sep-2023 MP-301B uPVC 3" 301.91/Rft ÷ 1.18</t>
  </si>
  <si>
    <t xml:space="preserve">PR-SWV4</t>
  </si>
  <si>
    <t xml:space="preserve">MAK Mall-35 install rate, 25-Sep-2023 MP-301C uPVC 4" 327.38/Rft ÷ 1.18</t>
  </si>
  <si>
    <t xml:space="preserve">PR-FFP1</t>
  </si>
  <si>
    <t xml:space="preserve">MS Sch-40 fire pipe 1"</t>
  </si>
  <si>
    <t xml:space="preserve">New: Rev06 40 Rft/day was 42% below MAK. Crew: 1 skilled + 1 helper(s).</t>
  </si>
  <si>
    <t xml:space="preserve">MAK Mall-35 install rate, 25-Sep-2023 MF-401A MS 1" 210.98/Rft ÷ 1.18</t>
  </si>
  <si>
    <t xml:space="preserve">PR-FFP2</t>
  </si>
  <si>
    <t xml:space="preserve">MS Sch-40 fire pipe 2"</t>
  </si>
  <si>
    <t xml:space="preserve">MAK Mall-35 install rate, 25-Sep-2023 MF-401D MS 2" 349.20/Rft ÷ 1.18</t>
  </si>
  <si>
    <t xml:space="preserve">PR-FFP4</t>
  </si>
  <si>
    <t xml:space="preserve">MS Sch-40 fire pipe 4" grooved</t>
  </si>
  <si>
    <t xml:space="preserve">MAK Mall-35 install rate, 25-Sep-2023 MF-401G MS 4" 647.48/Rft ÷ 1.18</t>
  </si>
  <si>
    <t xml:space="preserve">PR-SPK</t>
  </si>
  <si>
    <t xml:space="preserve">Sprinkler head with drop</t>
  </si>
  <si>
    <t xml:space="preserve">New: Rev06 10 heads/day was 42% below MAK. Crew: 1 skilled + 1 helper(s).</t>
  </si>
  <si>
    <t xml:space="preserve">MAK Mall-35 install rate, 25-Sep-2023 MF-404A sprinkler 836.63 ÷ 1.18</t>
  </si>
  <si>
    <t xml:space="preserve">PR-WC</t>
  </si>
  <si>
    <t xml:space="preserve">WC suite fixing &amp; connection</t>
  </si>
  <si>
    <t xml:space="preserve">New: Rev06 0.5 crew-day per WC was 58% below MAK. Crew: 1 skilled + 1 helper(s).</t>
  </si>
  <si>
    <t xml:space="preserve">MAK Mall-35 install rate, 25-Sep-2023 MP-101 European WC with fittings 5,856.38 ÷ 1.18</t>
  </si>
  <si>
    <t xml:space="preserve">PR-WB</t>
  </si>
  <si>
    <t xml:space="preserve">Wash basin fixing &amp; connection</t>
  </si>
  <si>
    <t xml:space="preserve">MAK Mall-35 install rate, 25-Sep-2023 MP-104 pedestal basin 5,438 ÷ 1.18</t>
  </si>
  <si>
    <t xml:space="preserve">PR-DINS</t>
  </si>
  <si>
    <t xml:space="preserve">New: Rev06 150 Sft/day was 51% below MAK. Crew: 1 skilled + 1 helper(s).</t>
  </si>
  <si>
    <t xml:space="preserve">MAK Mall-35 install rate, 25-Sep-2023 MN-H10 1" duct insulation 69.00/Sft ÷ 1.18</t>
  </si>
  <si>
    <t xml:space="preserve">PR-DUCT</t>
  </si>
  <si>
    <t xml:space="preserve">GI ductwork fabricate &amp; install</t>
  </si>
  <si>
    <t xml:space="preserve">Kept 50 Sft/day (within 7% of MAK). Crew: 1 skilled + 1 helper(s).</t>
  </si>
  <si>
    <t xml:space="preserve">MAK Mall-35 install rate, 25-Sep-2023 MH-301 GI ductwork 95.74/Sft ÷ 1.18</t>
  </si>
  <si>
    <t xml:space="preserve">14 · VALIDATION / QC</t>
  </si>
  <si>
    <t xml:space="preserve">Live checks – re-read after every input change.</t>
  </si>
  <si>
    <t xml:space="preserve">#</t>
  </si>
  <si>
    <t xml:space="preserve">Check</t>
  </si>
  <si>
    <t xml:space="preserve">Result</t>
  </si>
  <si>
    <t xml:space="preserve">Items in master library</t>
  </si>
  <si>
    <t xml:space="preserve">info</t>
  </si>
  <si>
    <t xml:space="preserve">Items with blank (red) inputs</t>
  </si>
  <si>
    <t xml:space="preserve">Complete items (no blank inputs) with zero/negative final rate</t>
  </si>
  <si>
    <t xml:space="preserve">Duplicate item codes</t>
  </si>
  <si>
    <t xml:space="preserve">Missing unit</t>
  </si>
  <si>
    <t xml:space="preserve">Materials without current rate (05, blank or old)</t>
  </si>
  <si>
    <t xml:space="preserve">Labour without rate (06)</t>
  </si>
  <si>
    <t xml:space="preserve">Equipment without rate (07)</t>
  </si>
  <si>
    <t xml:space="preserve">Mix designs where Σ ≠ lab density</t>
  </si>
  <si>
    <t xml:space="preserve">Overhead % present</t>
  </si>
  <si>
    <t xml:space="preserve">Profit % present</t>
  </si>
  <si>
    <t xml:space="preserve">Tax on but no tax rate</t>
  </si>
  <si>
    <t xml:space="preserve">Oldest source date in register</t>
  </si>
  <si>
    <t xml:space="preserve">2026-04-25 (SRC-02, &gt;5 months – used as upper bound only)</t>
  </si>
  <si>
    <t xml:space="preserve">Productivity rows with no dated benchmark (13 col S)</t>
  </si>
  <si>
    <t xml:space="preserve">Productivity rows corrected in Rev07</t>
  </si>
  <si>
    <t xml:space="preserve">Items reconciled with dashboard (18 col N = OK)</t>
  </si>
  <si>
    <t xml:space="preserve">Items NOT reconciled with dashboard</t>
  </si>
  <si>
    <t xml:space="preserve">Mix-design review findings (from lab sheets)</t>
  </si>
  <si>
    <t xml:space="preserve">4000 PSI is supplied from three sources with cement 350 kg (ACI-211) / 425 kg (J7) / 450 kg (lab) per batch – a 29% spread. Confirm which mix is approved for the project before pricing the BOQ.</t>
  </si>
  <si>
    <t xml:space="preserve">6000 PSI: ACI-211 sheet 520 kg cement vs DHA Multan lab 550 kg.</t>
  </si>
  <si>
    <t xml:space="preserve">Image 3 (6000 PSI) and Image 6 (4500 PSI): admixture entered under 'Admixture-2' with product row blank – product not identified.</t>
  </si>
  <si>
    <t xml:space="preserve">Images 2, 3, 5, 6, 8: identical aggregate grading tables – grading appears reused, not per-mix test data.</t>
  </si>
  <si>
    <t xml:space="preserve">Image 4 (ACI-211): undated, unsigned, sand/crush sources not stated; 1500 PSI gives crush as a combined 1220 kg.</t>
  </si>
  <si>
    <t xml:space="preserve">Image 7 (J7 B-17): dated 08-03-2024, Islamabad project; crush grading 105/738/211 kg (1/2"/3/8"/1/4") is fine-heavy. Handwritten note states applicable to all J7 projects.</t>
  </si>
  <si>
    <t xml:space="preserve">Image 2 (1000 PSI): W/C 1.05 with no admixture – check durability/bleeding if used below grade.</t>
  </si>
  <si>
    <t xml:space="preserve">Image 1 (5000 PSI): 'Required strength (20% extra)' value left blank on sheet.</t>
  </si>
  <si>
    <t xml:space="preserve">15 · MIX DESIGN LIBRARY (transcribed from user's lab sheets)</t>
  </si>
  <si>
    <t xml:space="preserve">Lab batch weights as reported ÷ Batch_cft (35.315) = kg per cft. Checks: W/C ratio, sum vs lab density.</t>
  </si>
  <si>
    <t xml:space="preserve">Mix Code</t>
  </si>
  <si>
    <t xml:space="preserve">Grade</t>
  </si>
  <si>
    <t xml:space="preserve">Source document</t>
  </si>
  <si>
    <t xml:space="preserve">Sheet date</t>
  </si>
  <si>
    <t xml:space="preserve">Constituent</t>
  </si>
  <si>
    <t xml:space="preserve">Priced as (Mat Code)</t>
  </si>
  <si>
    <t xml:space="preserve">Lab batch kg</t>
  </si>
  <si>
    <t xml:space="preserve">Purchase qty per cft</t>
  </si>
  <si>
    <t xml:space="preserve">Purchase unit</t>
  </si>
  <si>
    <t xml:space="preserve">Check / Note</t>
  </si>
  <si>
    <t xml:space="preserve">LAB-5000</t>
  </si>
  <si>
    <t xml:space="preserve">Image 1 – ACI 211.1 lab sheet</t>
  </si>
  <si>
    <t xml:space="preserve">2026-04-05</t>
  </si>
  <si>
    <t xml:space="preserve">Not stated (Sargodha/Lawrencepur)</t>
  </si>
  <si>
    <t xml:space="preserve">Σ batch weight / W-C ratio / density check</t>
  </si>
  <si>
    <t xml:space="preserve">LAB-1000</t>
  </si>
  <si>
    <t xml:space="preserve">Image 2 – lab mix sheet</t>
  </si>
  <si>
    <t xml:space="preserve">Not visible</t>
  </si>
  <si>
    <t xml:space="preserve">no density stated</t>
  </si>
  <si>
    <t xml:space="preserve">LAB-6000</t>
  </si>
  <si>
    <t xml:space="preserve">Image 3 – lab mix sheet</t>
  </si>
  <si>
    <t xml:space="preserve">DHA Multan</t>
  </si>
  <si>
    <t xml:space="preserve">LAB-136</t>
  </si>
  <si>
    <t xml:space="preserve">Image 5 – lab mix sheet</t>
  </si>
  <si>
    <t xml:space="preserve">LAB-4500</t>
  </si>
  <si>
    <t xml:space="preserve">Image 6 – lab mix sheet</t>
  </si>
  <si>
    <t xml:space="preserve">LAB-4000</t>
  </si>
  <si>
    <t xml:space="preserve">Image 8 – lab mix sheet</t>
  </si>
  <si>
    <t xml:space="preserve">ACI-1500</t>
  </si>
  <si>
    <t xml:space="preserve">Image 4 – ACI-211 summary (QA/QC)</t>
  </si>
  <si>
    <t xml:space="preserve">Not dated</t>
  </si>
  <si>
    <t xml:space="preserve">Not stated</t>
  </si>
  <si>
    <t xml:space="preserve">ACI-4000</t>
  </si>
  <si>
    <t xml:space="preserve">Image 4 – ACI-211 summary</t>
  </si>
  <si>
    <t xml:space="preserve">ACI-4500</t>
  </si>
  <si>
    <t xml:space="preserve">ACI-6000</t>
  </si>
  <si>
    <t xml:space="preserve">J7-3000</t>
  </si>
  <si>
    <t xml:space="preserve">Image 7 – J7 Group summary of batch weights</t>
  </si>
  <si>
    <t xml:space="preserve">2024-03-08 (trials Jan-2024)</t>
  </si>
  <si>
    <t xml:space="preserve">B-17 Islamabad</t>
  </si>
  <si>
    <t xml:space="preserve">J7-4000</t>
  </si>
  <si>
    <t xml:space="preserve">J7-4500</t>
  </si>
  <si>
    <t xml:space="preserve">J7-5000</t>
  </si>
  <si>
    <t xml:space="preserve">J7-5500</t>
  </si>
  <si>
    <t xml:space="preserve">16 · VENDOR ENQUIRY (RFQ) – every red input in one list</t>
  </si>
  <si>
    <t xml:space="preserve">Enter quoted rate (blue) → it flows automatically into 05/06/07 Lahore Rate → all analyses update. Record supplier, date and validity.</t>
  </si>
  <si>
    <t xml:space="preserve">Supplier category</t>
  </si>
  <si>
    <t xml:space="preserve">Current value (assumption/old)</t>
  </si>
  <si>
    <t xml:space="preserve">Current status</t>
  </si>
  <si>
    <t xml:space="preserve">Quoted Rate PKR</t>
  </si>
  <si>
    <t xml:space="preserve">Supplier</t>
  </si>
  <si>
    <t xml:space="preserve">Quote Date</t>
  </si>
  <si>
    <t xml:space="preserve">Validity (days)</t>
  </si>
  <si>
    <t xml:space="preserve">Remarks</t>
  </si>
  <si>
    <t xml:space="preserve">Ceiling systems</t>
  </si>
  <si>
    <t xml:space="preserve">ASSUMED</t>
  </si>
  <si>
    <t xml:space="preserve">calibrated so board + frame + accessories ≈ the Punjab MRS 2026 Ch.9 item 49(ii) gypsum-ceiling system material (176.10/Sft)</t>
  </si>
  <si>
    <t xml:space="preserve">web B2B listing 27-Sep-2026 (tradekey.com, undated): Pakistan gypsum board 3,550–3,600 per sheet; low end</t>
  </si>
  <si>
    <t xml:space="preserve">standard board 3,550 + ≈30% moisture-resistant premium (Claude estimate for Lahore, Sep-2026)</t>
  </si>
  <si>
    <t xml:space="preserve">MRS system material 176.10 + MR board premium (4,600 − 3,550) ÷ 32 × 1.10</t>
  </si>
  <si>
    <t xml:space="preserve">Chemicals, paints &amp; sealants</t>
  </si>
  <si>
    <t xml:space="preserve">same as the dashboard's MOULD assumption – set near diesel 392/Ltr (Phoenix GRN RCP-311, 28-Aug-2026)</t>
  </si>
  <si>
    <t xml:space="preserve">20 kg pail about 14,000 (Claude estimate for Lahore, Sep-2026)</t>
  </si>
  <si>
    <t xml:space="preserve">Civil materials &amp; external</t>
  </si>
  <si>
    <t xml:space="preserve">between Ravi 52 (Phoenix GRN RCP-310, 27-Aug-2026) and Chenab 80 (RCP-316, 07-Sep-2026)</t>
  </si>
  <si>
    <t xml:space="preserve">Doors, timber &amp; joinery</t>
  </si>
  <si>
    <t xml:space="preserve">18 mm laminated MDF 8×4 sheet (Claude estimate for Lahore, Sep-2026; plain sheet about 7,500–8,500)</t>
  </si>
  <si>
    <t xml:space="preserve">Electrical &amp; ELV</t>
  </si>
  <si>
    <t xml:space="preserve">Façade, glazing &amp; metalwork</t>
  </si>
  <si>
    <t xml:space="preserve">4 mm PVDF ACP supply only (Claude estimate for Lahore, Sep-2026); dashboard CV-099 installed benchmark 885/Sft</t>
  </si>
  <si>
    <t xml:space="preserve">aluminium extrusion sections per kg (Claude estimate for Lahore, Sep-2026)</t>
  </si>
  <si>
    <t xml:space="preserve">GI / aluminium bracket with anchor (Claude estimate for Lahore, Sep-2026)</t>
  </si>
  <si>
    <t xml:space="preserve">fire-stop sealant / smoke seal per Rft of joint (Claude estimate for Lahore, Sep-2026)</t>
  </si>
  <si>
    <t xml:space="preserve">SS 316 cladding anchor set (Claude estimate for Lahore, Sep-2026)</t>
  </si>
  <si>
    <t xml:space="preserve">Fire fighting &amp; life safety</t>
  </si>
  <si>
    <t xml:space="preserve">SUPERSEDED</t>
  </si>
  <si>
    <t xml:space="preserve">superseded in Rev07a by the size-specific lines MAT-FFFIT-100/200/400</t>
  </si>
  <si>
    <t xml:space="preserve">Labour contractors</t>
  </si>
  <si>
    <t xml:space="preserve">passenger lift 8-person, 1.0 m/s, about 5 stops, supplied &amp; installed (Claude estimate for Lahore, Sep-2026); vendor quote essential</t>
  </si>
  <si>
    <t xml:space="preserve">Plant hire</t>
  </si>
  <si>
    <t xml:space="preserve">batching plant + transit mixer per cft (Claude estimate for Lahore, Sep-2026)</t>
  </si>
  <si>
    <t xml:space="preserve">dashboard P-CRADLE assumption 2,500/day × 0.0015 day per Sft</t>
  </si>
  <si>
    <t xml:space="preserve">same as the dashboard P-MIXER assumption (1-bag mixer with fuel, per day)</t>
  </si>
  <si>
    <t xml:space="preserve">same as the dashboard PROPS assumption; web 2026 (civilconstructionguide.com, undated) gives 15–25 per Sft for complete steel shuttering hire</t>
  </si>
  <si>
    <t xml:space="preserve">gas torch &amp; burner set per day (Claude estimate for Lahore, Sep-2026)</t>
  </si>
  <si>
    <t xml:space="preserve">Plumbing &amp; sanitary</t>
  </si>
  <si>
    <t xml:space="preserve">≈70% of the ¾" elbow 54.50 (Popular PPR-100 list 08-Sep-2026)</t>
  </si>
  <si>
    <t xml:space="preserve">≈70% of the ¾" socket 38.50 (Popular PPR-100 list 08-Sep-2026)</t>
  </si>
  <si>
    <t xml:space="preserve">≈70% of the ¾" tee 71.50 (Popular PPR-100 list 08-Sep-2026)</t>
  </si>
  <si>
    <t xml:space="preserve">Vendor / sub-contract</t>
  </si>
  <si>
    <t xml:space="preserve">Rev07 new item</t>
  </si>
  <si>
    <t xml:space="preserve">mobilization + demobilization of a mid-size building contract (Claude estimate for Lahore, Sep-2026)</t>
  </si>
  <si>
    <t xml:space="preserve">porta-cabin site office, store, toilets and security cabin, established &amp; removed (Claude estimate for Lahore, Sep-2026)</t>
  </si>
  <si>
    <t xml:space="preserve">temporary water + electricity per month incl. running (Claude estimate for Lahore, Sep-2026)</t>
  </si>
  <si>
    <t xml:space="preserve">set of 3 cylinders sampled, cured and tested at 1,500 each (Claude estimate for Lahore, Sep-2026)</t>
  </si>
  <si>
    <t xml:space="preserve">final builder's clean per Sft of floor (Claude estimate for Lahore, Sep-2026)</t>
  </si>
  <si>
    <t xml:space="preserve">MRS system material 176.10 + fire-rated board premium 40% × 3,550 ÷ 32 × 1.10</t>
  </si>
  <si>
    <t xml:space="preserve">aluminium clip-in 2'×2' ceiling with grid, supplied &amp; installed (Claude estimate for Lahore, Sep-2026)</t>
  </si>
  <si>
    <t xml:space="preserve">2'×2' ceiling access panel supplied &amp; installed (Claude estimate for Lahore, Sep-2026)</t>
  </si>
  <si>
    <t xml:space="preserve">carpet tiles with adhesive, supplied &amp; installed (Claude estimate for Lahore, Sep-2026)</t>
  </si>
  <si>
    <t xml:space="preserve">vinyl wallpaper supplied &amp; installed (Claude estimate for Lahore, Sep-2026)</t>
  </si>
  <si>
    <t xml:space="preserve">acoustic wall panel system supplied &amp; installed (Claude estimate for Lahore, Sep-2026)</t>
  </si>
  <si>
    <t xml:space="preserve">12 mm toughened glass 21 Sft ≈ 21,000 (dashboard GLASS-12 1,000/Sft) + floor spring, patch fittings, handle and fixing (Claude estimate for Lahore, Sep-2026)</t>
  </si>
  <si>
    <t xml:space="preserve">GRC panel with stainless fixings, supplied &amp; installed (Claude estimate for Lahore, Sep-2026)</t>
  </si>
  <si>
    <t xml:space="preserve">EIFS system supplied &amp; applied (Claude estimate for Lahore, Sep-2026)</t>
  </si>
  <si>
    <t xml:space="preserve">steel-framed glass canopy per Sft of plan (Claude estimate for Lahore, Sep-2026)</t>
  </si>
  <si>
    <t xml:space="preserve">skylight glazing on aluminium frame per Sft (Claude estimate for Lahore, Sep-2026)</t>
  </si>
  <si>
    <t xml:space="preserve">wall-hung urinal with flush valve and trap, supply only (Claude estimate for Lahore, Sep-2026)</t>
  </si>
  <si>
    <t xml:space="preserve">¾" CPVC SDR-11 with fittings, supply only; PPR ¾" is 145.38 + fittings (Claude estimate for Lahore, Sep-2026)</t>
  </si>
  <si>
    <t xml:space="preserve">one-door access control set incl. controller share and cabling (Claude estimate for Lahore, Sep-2026)</t>
  </si>
  <si>
    <t xml:space="preserve">standard escalator, supplied &amp; installed (Claude estimate for Lahore, Sep-2026); vendor quote essential</t>
  </si>
  <si>
    <t xml:space="preserve">drip / sprinkler irrigation per Sft of landscaped area (Claude estimate for Lahore, Sep-2026)</t>
  </si>
  <si>
    <t xml:space="preserve">VRF system per TR, supplied &amp; installed with piping and controls (Claude estimate for Lahore, Sep-2026)</t>
  </si>
  <si>
    <t xml:space="preserve">main distribution board about 800 A with incomer, outgoing breakers and metering (Claude estimate for Lahore, Sep-2026)</t>
  </si>
  <si>
    <t xml:space="preserve">fittings share 0.483 × pipe value (MS fittings-to-pipe ratio of the Quadrangle receipts, see README MEP section) × MAT-BSP-100 309.60</t>
  </si>
  <si>
    <t xml:space="preserve">fittings share 0.483 × MAT-BSP-200 651.92 (Quadrangle receipts ratio)</t>
  </si>
  <si>
    <t xml:space="preserve">fittings share 0.483 × MAT-BSP-400 1,878.66 (Quadrangle receipts ratio)</t>
  </si>
  <si>
    <t xml:space="preserve">17 · MISSING ITEMS REGISTER (Rev07, 2026-09-27)</t>
  </si>
  <si>
    <t xml:space="preserve">Part A: every workbook analysis checked against the dashboard Item Library as it stood before Rev07 (787 items). Part B: trade-scope items found in neither library, each now developed as an analysis in 04 and added to the dashboard under the same code. Rates in C/D are read live from 03.</t>
  </si>
  <si>
    <t xml:space="preserve">Part</t>
  </si>
  <si>
    <t xml:space="preserve">Item code</t>
  </si>
  <si>
    <t xml:space="preserve">Status before Rev07</t>
  </si>
  <si>
    <t xml:space="preserve">Closest dashboard item (before Rev07)</t>
  </si>
  <si>
    <t xml:space="preserve">Action in Rev07</t>
  </si>
  <si>
    <t xml:space="preserve">Workbook final rate (03)</t>
  </si>
  <si>
    <t xml:space="preserve">Rate status (03)</t>
  </si>
  <si>
    <t xml:space="preserve">Closest item – dashboard rate (Rev07)</t>
  </si>
  <si>
    <t xml:space="preserve">Closest item unit</t>
  </si>
  <si>
    <t xml:space="preserve">Difference vs workbook</t>
  </si>
  <si>
    <t xml:space="preserve">Review note</t>
  </si>
  <si>
    <t xml:space="preserve">A</t>
  </si>
  <si>
    <t xml:space="preserve">Missing from dashboard (code not in Item Library)</t>
  </si>
  <si>
    <t xml:space="preserve">RCC-DM-AR-5000</t>
  </si>
  <si>
    <t xml:space="preserve">Added to dashboard Item Library with the same code, resources, adjusted quantities and OH/profit</t>
  </si>
  <si>
    <t xml:space="preserve">Cft</t>
  </si>
  <si>
    <t xml:space="preserve">Differs 15–30% – build-ups differ (spec / mix / crew); see 04 vs the dashboard item</t>
  </si>
  <si>
    <t xml:space="preserve">RCC-DM-AR-1000</t>
  </si>
  <si>
    <t xml:space="preserve">RCC-DM-AR-6000</t>
  </si>
  <si>
    <t xml:space="preserve">PCC-136-V</t>
  </si>
  <si>
    <t xml:space="preserve">Within ±15% – consistent</t>
  </si>
  <si>
    <t xml:space="preserve">RCC-DM-AR-4500</t>
  </si>
  <si>
    <t xml:space="preserve">RCC-DM-AR-4000</t>
  </si>
  <si>
    <t xml:space="preserve">RCC-DM-ACI-1500</t>
  </si>
  <si>
    <t xml:space="preserve">RCC-DM-ACI-4000</t>
  </si>
  <si>
    <t xml:space="preserve">RCC-DM-ACI-4500</t>
  </si>
  <si>
    <t xml:space="preserve">RCC-DM-ACI-6000</t>
  </si>
  <si>
    <t xml:space="preserve">RCC-DM-AR-3000</t>
  </si>
  <si>
    <t xml:space="preserve">RCC-DM-AR-5500</t>
  </si>
  <si>
    <t xml:space="preserve">PCC-148-V</t>
  </si>
  <si>
    <t xml:space="preserve">RCC-124</t>
  </si>
  <si>
    <t xml:space="preserve">RCC-1153</t>
  </si>
  <si>
    <t xml:space="preserve">ST-200</t>
  </si>
  <si>
    <t xml:space="preserve">Kg</t>
  </si>
  <si>
    <t xml:space="preserve">CV-034</t>
  </si>
  <si>
    <t xml:space="preserve">PLS-I05-14</t>
  </si>
  <si>
    <t xml:space="preserve">PLS-I075-16</t>
  </si>
  <si>
    <t xml:space="preserve">FW-320</t>
  </si>
  <si>
    <t xml:space="preserve">Differs &gt;30% – review both build-ups before pricing</t>
  </si>
  <si>
    <t xml:space="preserve">FW-310</t>
  </si>
  <si>
    <t xml:space="preserve">FW-300</t>
  </si>
  <si>
    <t xml:space="preserve">FW-330</t>
  </si>
  <si>
    <t xml:space="preserve">BLK-H8-16</t>
  </si>
  <si>
    <t xml:space="preserve">BLK-H6-16</t>
  </si>
  <si>
    <t xml:space="preserve">BLK-S4-16</t>
  </si>
  <si>
    <t xml:space="preserve">BRK-45-14</t>
  </si>
  <si>
    <t xml:space="preserve">CV-067</t>
  </si>
  <si>
    <t xml:space="preserve">QS-SCR-2</t>
  </si>
  <si>
    <t xml:space="preserve">CV-068</t>
  </si>
  <si>
    <t xml:space="preserve">WP-400</t>
  </si>
  <si>
    <t xml:space="preserve">CV-048</t>
  </si>
  <si>
    <t xml:space="preserve">CV-047</t>
  </si>
  <si>
    <t xml:space="preserve">FN-500</t>
  </si>
  <si>
    <t xml:space="preserve">— no equivalent (concept missing)</t>
  </si>
  <si>
    <t xml:space="preserve">FN-505</t>
  </si>
  <si>
    <t xml:space="preserve">QS-TIL-W2448</t>
  </si>
  <si>
    <t xml:space="preserve">FN-510</t>
  </si>
  <si>
    <t xml:space="preserve">FN-550</t>
  </si>
  <si>
    <t xml:space="preserve">FN-535</t>
  </si>
  <si>
    <t xml:space="preserve">FN-540</t>
  </si>
  <si>
    <t xml:space="preserve">CV-066</t>
  </si>
  <si>
    <t xml:space="preserve">CV-005</t>
  </si>
  <si>
    <t xml:space="preserve">CV-008</t>
  </si>
  <si>
    <t xml:space="preserve">EX-115</t>
  </si>
  <si>
    <t xml:space="preserve">EX-110</t>
  </si>
  <si>
    <t xml:space="preserve">EX-120</t>
  </si>
  <si>
    <t xml:space="preserve">CV-013</t>
  </si>
  <si>
    <t xml:space="preserve">CV-009</t>
  </si>
  <si>
    <t xml:space="preserve">EX-140</t>
  </si>
  <si>
    <t xml:space="preserve">CV-087</t>
  </si>
  <si>
    <t xml:space="preserve">Different unit of measurement – compare after conversion</t>
  </si>
  <si>
    <t xml:space="preserve">FN-570</t>
  </si>
  <si>
    <t xml:space="preserve">CV-089</t>
  </si>
  <si>
    <t xml:space="preserve">CV-095</t>
  </si>
  <si>
    <t xml:space="preserve">CV-098</t>
  </si>
  <si>
    <t xml:space="preserve">CV-099</t>
  </si>
  <si>
    <t xml:space="preserve">EW-950</t>
  </si>
  <si>
    <t xml:space="preserve">CV-119</t>
  </si>
  <si>
    <t xml:space="preserve">CV-120</t>
  </si>
  <si>
    <t xml:space="preserve">CV-122</t>
  </si>
  <si>
    <t xml:space="preserve">EW-960</t>
  </si>
  <si>
    <t xml:space="preserve">CV-128</t>
  </si>
  <si>
    <t xml:space="preserve">MP-201A</t>
  </si>
  <si>
    <t xml:space="preserve">MP-201B</t>
  </si>
  <si>
    <t xml:space="preserve">MP-201C</t>
  </si>
  <si>
    <t xml:space="preserve">MP-201D</t>
  </si>
  <si>
    <t xml:space="preserve">MP-201E</t>
  </si>
  <si>
    <t xml:space="preserve">MP-201F</t>
  </si>
  <si>
    <t xml:space="preserve">MP-201G</t>
  </si>
  <si>
    <t xml:space="preserve">MP-201H</t>
  </si>
  <si>
    <t xml:space="preserve">MP-301A</t>
  </si>
  <si>
    <t xml:space="preserve">MP-301B</t>
  </si>
  <si>
    <t xml:space="preserve">MP-301C</t>
  </si>
  <si>
    <t xml:space="preserve">PL-720</t>
  </si>
  <si>
    <t xml:space="preserve">Set</t>
  </si>
  <si>
    <t xml:space="preserve">PL-730</t>
  </si>
  <si>
    <t xml:space="preserve">MF-401A</t>
  </si>
  <si>
    <t xml:space="preserve">MF-401D</t>
  </si>
  <si>
    <t xml:space="preserve">MF-401G</t>
  </si>
  <si>
    <t xml:space="preserve">FF-810</t>
  </si>
  <si>
    <t xml:space="preserve">EL-600</t>
  </si>
  <si>
    <t xml:space="preserve">EL-610</t>
  </si>
  <si>
    <t xml:space="preserve">EL-615</t>
  </si>
  <si>
    <t xml:space="preserve">Point</t>
  </si>
  <si>
    <t xml:space="preserve">EL-620</t>
  </si>
  <si>
    <t xml:space="preserve">EL-660</t>
  </si>
  <si>
    <t xml:space="preserve">EL-640</t>
  </si>
  <si>
    <t xml:space="preserve">MX-1203</t>
  </si>
  <si>
    <t xml:space="preserve">MX-1104</t>
  </si>
  <si>
    <t xml:space="preserve">MH-301</t>
  </si>
  <si>
    <t xml:space="preserve">MN-H10</t>
  </si>
  <si>
    <t xml:space="preserve">MN-H18</t>
  </si>
  <si>
    <t xml:space="preserve">FN-580</t>
  </si>
  <si>
    <t xml:space="preserve">CV-097</t>
  </si>
  <si>
    <t xml:space="preserve">CV-081</t>
  </si>
  <si>
    <t xml:space="preserve">CV-082</t>
  </si>
  <si>
    <t xml:space="preserve">CV-080</t>
  </si>
  <si>
    <t xml:space="preserve">CV-083</t>
  </si>
  <si>
    <t xml:space="preserve">PLS-E075-14</t>
  </si>
  <si>
    <t xml:space="preserve">CV-057</t>
  </si>
  <si>
    <t xml:space="preserve">SC-420</t>
  </si>
  <si>
    <t xml:space="preserve">CV-035</t>
  </si>
  <si>
    <t xml:space="preserve">FW-340</t>
  </si>
  <si>
    <t xml:space="preserve">FW-350</t>
  </si>
  <si>
    <t xml:space="preserve">RCC-RMC-4000</t>
  </si>
  <si>
    <t xml:space="preserve">RCC-RMC-4500</t>
  </si>
  <si>
    <t xml:space="preserve">RCC-RMC-6000</t>
  </si>
  <si>
    <t xml:space="preserve">CV-016</t>
  </si>
  <si>
    <t xml:space="preserve">B</t>
  </si>
  <si>
    <t xml:space="preserve">Mobilization / demobilization</t>
  </si>
  <si>
    <t xml:space="preserve">Missing from both workbook and dashboard</t>
  </si>
  <si>
    <t xml:space="preserve">Developed in 04 (structure complete; vendor rate blank – listed in 16 RFQ) and added to the dashboard</t>
  </si>
  <si>
    <t xml:space="preserve">Site office &amp; establishment</t>
  </si>
  <si>
    <t xml:space="preserve">Temporary water &amp; power</t>
  </si>
  <si>
    <t xml:space="preserve">Concrete testing</t>
  </si>
  <si>
    <t xml:space="preserve">Final cleaning</t>
  </si>
  <si>
    <t xml:space="preserve">RCC extra labour above ground storey</t>
  </si>
  <si>
    <t xml:space="preserve">Developed in 04 (priced from dated MRS / GRN inputs) and added to the dashboard</t>
  </si>
  <si>
    <t xml:space="preserve">CIV-MAS-007..011</t>
  </si>
  <si>
    <t xml:space="preserve">Brickwork extra labour by floor (1st–4th and above)</t>
  </si>
  <si>
    <t xml:space="preserve">Plaster above 20 ft extra</t>
  </si>
  <si>
    <t xml:space="preserve">Flooring extra per storey</t>
  </si>
  <si>
    <t xml:space="preserve">Fire-rated gypsum ceiling</t>
  </si>
  <si>
    <t xml:space="preserve">Metal clip-in ceiling</t>
  </si>
  <si>
    <t xml:space="preserve">Ceiling access panel</t>
  </si>
  <si>
    <t xml:space="preserve">Carpet tiles</t>
  </si>
  <si>
    <t xml:space="preserve">Acoustic wall panels</t>
  </si>
  <si>
    <t xml:space="preserve">Frameless glass door</t>
  </si>
  <si>
    <t xml:space="preserve">GRC panels</t>
  </si>
  <si>
    <t xml:space="preserve">HDPE pipe</t>
  </si>
  <si>
    <t xml:space="preserve">CPVC pipe</t>
  </si>
  <si>
    <t xml:space="preserve">Main distribution board</t>
  </si>
  <si>
    <t xml:space="preserve">VRF system</t>
  </si>
  <si>
    <t xml:space="preserve">18 · DASHBOARD RECONCILIATION – workbook 03 vs dashboard Item Library (same code)</t>
  </si>
  <si>
    <t xml:space="preserve">Dashboard figures read from the built page on 2026-09-27 (raCalc, Lahore). Workbook rate = 03 col O direct cost + 8% OH + 10% profit, unrounded (col S rounds it). OK = same unit, same description, same resource rows and |difference| &lt; 0.05 PKR.</t>
  </si>
  <si>
    <t xml:space="preserve">Unit (workbook)</t>
  </si>
  <si>
    <t xml:space="preserve">Unit (dashboard)</t>
  </si>
  <si>
    <t xml:space="preserve">Description match</t>
  </si>
  <si>
    <t xml:space="preserve">Resource rows (workbook)</t>
  </si>
  <si>
    <t xml:space="preserve">Resource rows (dashboard)</t>
  </si>
  <si>
    <t xml:space="preserve">Rows match</t>
  </si>
  <si>
    <t xml:space="preserve">Direct cost (workbook)</t>
  </si>
  <si>
    <t xml:space="preserve">Rate excl. tax (workbook)</t>
  </si>
  <si>
    <t xml:space="preserve">Rate (dashboard)</t>
  </si>
  <si>
    <t xml:space="preserve">Difference PKR</t>
  </si>
  <si>
    <t xml:space="preserve">Final rate rounded (03 S)</t>
  </si>
  <si>
    <t xml:space="preserve">Dashboard rate lines used</t>
  </si>
  <si>
    <t xml:space="preserve">yes</t>
  </si>
  <si>
    <t xml:space="preserve">ADMIX-SP, CEM, CRSH-SG, EQ-MIX, EQ-VIB, L-HELPER, L-MASON, MAT-WTR, P-PUMP, SAND-LP</t>
  </si>
  <si>
    <t xml:space="preserve">OK</t>
  </si>
  <si>
    <t xml:space="preserve">CEM, CRSH-MG, EQ-MIX, EQ-VIB, L-HELPER, L-MASON, MAT-WTR, P-PUMP, SAND-LP</t>
  </si>
  <si>
    <t xml:space="preserve">ADMIX-SP, CEM, CRSH-MG, EQ-MIX, EQ-VIB, L-HELPER, L-MASON, MAT-WTR, P-PUMP, SAND-LP</t>
  </si>
  <si>
    <t xml:space="preserve">CEM, CRSH-MG, EQ-MIX, EQ-VIB, L-HELPER, L-MASON, MAT-SND-ZDP, MAT-WTR, P-PUMP</t>
  </si>
  <si>
    <t xml:space="preserve">CEM, CRSH-MG, EQ-MIX, EQ-VIB, L-HELPER, L-MASON, MAT-WTR, SAND-CH</t>
  </si>
  <si>
    <t xml:space="preserve">BWIRE, L-HELPER, L-STEEL, STL60</t>
  </si>
  <si>
    <t xml:space="preserve">BRK-1, CEM, L-HELPER, L-MASON, SAND-CH</t>
  </si>
  <si>
    <t xml:space="preserve">CEM, L-HELPER, L-PLMASON, SAND-CH</t>
  </si>
  <si>
    <t xml:space="preserve">EQ-PROP, L-CARP, L-HELPER, MAT-PLY-18, MAT-SHOIL, NAILS, QE-TIMB-CFT</t>
  </si>
  <si>
    <t xml:space="preserve">L-CARP, L-HELPER, MAT-PLY-18, MAT-SHOIL, NAILS, QE-TIMB-CFT</t>
  </si>
  <si>
    <t xml:space="preserve">BLK-H8, CEM, L-HELPER, L-MASON, SAND-CH</t>
  </si>
  <si>
    <t xml:space="preserve">BLK-H6, CEM, L-HELPER, L-MASON, SAND-CH</t>
  </si>
  <si>
    <t xml:space="preserve">BLK-S4, CEM, L-HELPER, L-MASON, SAND-CH</t>
  </si>
  <si>
    <t xml:space="preserve">CEM, L-HELPER, L-MASON, SAND-CH</t>
  </si>
  <si>
    <t xml:space="preserve">EQ-TORCH, L-HELPER, LAB-WPA, MAT-BIT-PRM, MAT-LPG, MAT-MEM-APP</t>
  </si>
  <si>
    <t xml:space="preserve">L-HELPER, LAB-WPA, MAT-CWP</t>
  </si>
  <si>
    <t xml:space="preserve">BITUMEN, CEM, CRSH-MG, L-HELPER, L-MASON, SAND-CH</t>
  </si>
  <si>
    <t xml:space="preserve">L-HELPER, L-TILE, MAT-GRT, MAT-TADH, MAT-TIL-POR</t>
  </si>
  <si>
    <t xml:space="preserve">L-HELPER, L-TILE, MAT-GRT, MAT-TADH, MAT-TIL-CER</t>
  </si>
  <si>
    <t xml:space="preserve">CEM, L-HELPER, L-TILE, MAT-MBL-ZW, SAND-CH</t>
  </si>
  <si>
    <t xml:space="preserve">CEM, L-HELPER, L-TILE, MAT-MBL-TV, SAND-CH</t>
  </si>
  <si>
    <t xml:space="preserve">L-HELPER, LAB-CLG, MAT-GYP-SYS12</t>
  </si>
  <si>
    <t xml:space="preserve">L-HELPER, LAB-CLG, MAT-GYP-SYSMR</t>
  </si>
  <si>
    <t xml:space="preserve">L-HELPER, L-PAINT, MAT-PNT-PE, MAT-PNT-PRM, MAT-PUTTY</t>
  </si>
  <si>
    <t xml:space="preserve">L-HELPER, L-PAINT, MAT-PNT-PRM, MAT-PNT-WS</t>
  </si>
  <si>
    <t xml:space="preserve">EQ-SCAF, L-HELPER, LAB-SCF</t>
  </si>
  <si>
    <t xml:space="preserve">EQ-TRUCK, L-HELPER</t>
  </si>
  <si>
    <t xml:space="preserve">EQ-EXC, L-HELPER</t>
  </si>
  <si>
    <t xml:space="preserve">EQ-EXC-H, L-HELPER</t>
  </si>
  <si>
    <t xml:space="preserve">L-HELPER</t>
  </si>
  <si>
    <t xml:space="preserve">EQ-COMP, L-HELPER, MAT-WTR</t>
  </si>
  <si>
    <t xml:space="preserve">EQ-COMP, L-HELPER, MAT-WTR, SAND-RV</t>
  </si>
  <si>
    <t xml:space="preserve">EQ-EXC, EQ-TRUCK</t>
  </si>
  <si>
    <t xml:space="preserve">L-HELPER, MAT-ATC</t>
  </si>
  <si>
    <t xml:space="preserve">L-CARP, L-HELPER, L-PAINT, MAT-DOR-FL, MAT-DSTP, MAT-HNG, MAT-LCK, MAT-POL, MAT-TIM-DEO</t>
  </si>
  <si>
    <t xml:space="preserve">FIRE-DOOR, L-CARP, L-HELPER</t>
  </si>
  <si>
    <t xml:space="preserve">L-HELPER, LAB-GLZ, MAT-ALW, MAT-SIL</t>
  </si>
  <si>
    <t xml:space="preserve">L-HELPER, LAB-GLZ, MAT-SIL, UPVC-WIN</t>
  </si>
  <si>
    <t xml:space="preserve">L-CARP, L-HELPER, MAT-CAB-HW, MAT-MDF-18</t>
  </si>
  <si>
    <t xml:space="preserve">EQ-CRADLE, MAT-CW, MAT-FSTOP</t>
  </si>
  <si>
    <t xml:space="preserve">EQ-CRADLE, L-HELPER, LAB-CLD, MAT-ACP, MAT-ALSF, MAT-BRKT, MAT-SIL</t>
  </si>
  <si>
    <t xml:space="preserve">EQ-CRADLE, L-HELPER, LAB-CLD, MAT-GRN, MAT-SIL, MAT-SSANC</t>
  </si>
  <si>
    <t xml:space="preserve">EQ-COMP, L-HELPER, L-MASON, MAT-TUFF, SAND-RV</t>
  </si>
  <si>
    <t xml:space="preserve">CEM, CRSH-MG, L-HELPER, L-MASON, MAT-KERB, SAND-CH</t>
  </si>
  <si>
    <t xml:space="preserve">EQ-ROL, GRAVEL-SB, L-HELPER, MAT-WTR</t>
  </si>
  <si>
    <t xml:space="preserve">BRK-1, CEM, CRSH-MG, L-HELPER, L-MASON, MAT-MHC, SAND-CH</t>
  </si>
  <si>
    <t xml:space="preserve">GRASS-DHAKA, L-HELPER</t>
  </si>
  <si>
    <t xml:space="preserve">L-HELPER, L-PLUMB, MAT-CLMP, MAT-PPR-075, MAT-PPR-075-EL, MAT-PPR-075-SO, MAT-PPR-075-TE</t>
  </si>
  <si>
    <t xml:space="preserve">L-HELPER, L-PLUMB, MAT-CLMP, MAT-PPR-100, MAT-PPR-100-EL, MAT-PPR-100-SO, MAT-PPR-100-TE</t>
  </si>
  <si>
    <t xml:space="preserve">L-HELPER, L-PLUMB, MAT-CLMP, MAT-PPR-125, MAT-PPR-125-EL, MAT-PPR-125-SO, MAT-PPR-125-TE</t>
  </si>
  <si>
    <t xml:space="preserve">L-HELPER, L-PLUMB, MAT-CLMP, MAT-PPR-150, MAT-PPR-150-EL, MAT-PPR-150-SO, MAT-PPR-150-TE</t>
  </si>
  <si>
    <t xml:space="preserve">L-HELPER, L-PLUMB, MAT-CLMP, MAT-PPR-175, MAT-PPR-175-EL, MAT-PPR-175-SO, MAT-PPR-175-TE</t>
  </si>
  <si>
    <t xml:space="preserve">L-HELPER, L-PLUMB, MAT-CLMP, MAT-PPR-200, MAT-PPR-200-EL, MAT-PPR-200-SO, MAT-PPR-200-TE</t>
  </si>
  <si>
    <t xml:space="preserve">L-HELPER, L-PLUMB, MAT-CLMP, MAT-PPR-250, MAT-PPR-250-EL, MAT-PPR-250-SO, MAT-PPR-250-TE</t>
  </si>
  <si>
    <t xml:space="preserve">L-HELPER, L-PLUMB, MAT-CLMP, MAT-PPR-300, MAT-PPR-300-EL, MAT-PPR-300-SO, MAT-PPR-300-TE</t>
  </si>
  <si>
    <t xml:space="preserve">L-HELPER, L-PLUMB, MAT-CLMP, MAT-PPR-400, MAT-PPR-400-EL, MAT-PPR-400-SO, MAT-PPR-400-TE</t>
  </si>
  <si>
    <t xml:space="preserve">L-HELPER, L-PLUMB, MAT-CLMP, MAT-SOLV, MAT-SWV-200, MAT-SWV-FIT</t>
  </si>
  <si>
    <t xml:space="preserve">L-HELPER, L-PLUMB, MAT-CLMP, MAT-SOLV, MAT-SWV-300, MAT-SWV-FIT</t>
  </si>
  <si>
    <t xml:space="preserve">L-HELPER, L-PLUMB, MAT-CLMP, MAT-SOLV, MAT-SWV-400, MAT-SWV-400-EL, MAT-SWV-400-TE</t>
  </si>
  <si>
    <t xml:space="preserve">L-HELPER, L-PLUMB, MAT-SANACC, MAT-WC</t>
  </si>
  <si>
    <t xml:space="preserve">L-HELPER, L-PLUMB, MAT-SANACC, MAT-WB</t>
  </si>
  <si>
    <t xml:space="preserve">L-HELPER, LAB-PFT, MAT-BSP-100, MAT-CLMP, MAT-FFFIT-100, MAT-RDPNT</t>
  </si>
  <si>
    <t xml:space="preserve">L-HELPER, LAB-PFT, MAT-BSP-200, MAT-CLMP, MAT-FFFIT-200, MAT-RDPNT</t>
  </si>
  <si>
    <t xml:space="preserve">L-HELPER, LAB-PFT, MAT-BSP-400, MAT-CLMP, MAT-FFFIT-400, MAT-RDPNT</t>
  </si>
  <si>
    <t xml:space="preserve">L-HELPER, LAB-PFT, MAT-BSP-100, MAT-SPK</t>
  </si>
  <si>
    <t xml:space="preserve">L-HELPER, LAB-PFT, MAT-HRC</t>
  </si>
  <si>
    <t xml:space="preserve">L-ELEC, L-HELPER, MAT-CND-075, MAT-CND-075-BN, MAT-CND-075-SO</t>
  </si>
  <si>
    <t xml:space="preserve">L-ELEC, L-HELPER, MAT-CND-100, MAT-CND-100-BN, MAT-CND-100-SO</t>
  </si>
  <si>
    <t xml:space="preserve">L-ELEC, L-HELPER, MAT-CBL-329</t>
  </si>
  <si>
    <t xml:space="preserve">L-ELEC, L-HELPER, MAT-CBL-729</t>
  </si>
  <si>
    <t xml:space="preserve">L-ELEC, L-HELPER, MAT-CBL-744</t>
  </si>
  <si>
    <t xml:space="preserve">L-ELEC, L-HELPER, MAT-BOX-LT, MAT-BOX-SW, MAT-CBL-329, MAT-CND-075, MAT-CND-075-BN, MAT-SW</t>
  </si>
  <si>
    <t xml:space="preserve">L-ELEC, L-HELPER, MAT-BOX-SK, MAT-CBL-729, MAT-CND-075, MAT-CND-075-BN, MAT-SKT</t>
  </si>
  <si>
    <t xml:space="preserve">L-ELEC, L-HELPER, MAT-EPIT</t>
  </si>
  <si>
    <t xml:space="preserve">L-ELEC, L-HELPER, MAT-DB</t>
  </si>
  <si>
    <t xml:space="preserve">L-ELEC, L-HELPER, MAT-CAT6, MAT-CND-075, MAT-IPC</t>
  </si>
  <si>
    <t xml:space="preserve">L-ELEC, L-HELPER, MAT-CND-075, MAT-FRC, MAT-SMD</t>
  </si>
  <si>
    <t xml:space="preserve">L-HELPER, LAB-HVT, MAT-DHNG, MAT-GIS</t>
  </si>
  <si>
    <t xml:space="preserve">L-HELPER, LAB-HVT, MAT-DINS</t>
  </si>
  <si>
    <t xml:space="preserve">L-HELPER, LAB-HVT, MAT-CUP, MAT-PPR-100, MAT-SAC</t>
  </si>
  <si>
    <t xml:space="preserve">L-HELPER, LAB-FAB, MAT-SSB, MAT-SSP</t>
  </si>
  <si>
    <t xml:space="preserve">L-HELPER, LAB-GLZ, MAT-SPIG, MAT-TGL</t>
  </si>
  <si>
    <t xml:space="preserve">L-ELEC, L-HELPER, MAT-CND-050, MAT-CND-050-BN, MAT-CND-050-SO</t>
  </si>
  <si>
    <t xml:space="preserve">L-ELEC, L-HELPER, MAT-CND-125, MAT-CND-125-BN, MAT-CND-125-SO</t>
  </si>
  <si>
    <t xml:space="preserve">L-ELEC, L-HELPER, MAT-CND-150, MAT-CND-150-BN, MAT-CND-150-SO</t>
  </si>
  <si>
    <t xml:space="preserve">L-ELEC, L-HELPER, MAT-CND-200, MAT-CND-200-BN, MAT-CND-200-SO</t>
  </si>
  <si>
    <t xml:space="preserve">L-HELPER, L-TILE, MAT-VADH, MAT-VNL</t>
  </si>
  <si>
    <t xml:space="preserve">L-HELPER, L-TILE, LAM-SUP, MAT-UNDL</t>
  </si>
  <si>
    <t xml:space="preserve">EPOXY-FLR, L-HELPER, LAB-WPA</t>
  </si>
  <si>
    <t xml:space="preserve">CEM, CRSH-MG, EQ-MIX, L-HELPER, L-MASON, MAT-WTR, SAND-CH</t>
  </si>
  <si>
    <t xml:space="preserve">Ton</t>
  </si>
  <si>
    <t xml:space="preserve">EQ-VIB, L-HELPER, L-MASON, P-PUMP, RMC-4000</t>
  </si>
  <si>
    <t xml:space="preserve">EQ-VIB, L-HELPER, L-MASON, P-PUMP, RMC-4500</t>
  </si>
  <si>
    <t xml:space="preserve">EQ-VIB, L-HELPER, L-MASON, P-PUMP, RMC-6500</t>
  </si>
  <si>
    <t xml:space="preserve">EQ-VIB, L-HELPER, L-MASON, P-PUMP, RMC-LEAN</t>
  </si>
  <si>
    <t xml:space="preserve">GRN-QUA-HDW-000614, GRN-QUA-MEP-001380, GRN-QUA-MEP-001381, L-HELPER, L-PLUMB, MAT-CLMP</t>
  </si>
  <si>
    <t xml:space="preserve">GRN-QUA-MEP-000939, L-HELPER, LAB-PFT</t>
  </si>
  <si>
    <t xml:space="preserve">L-HELPER, LAB-CLG, MAT-GYP-SYSFR</t>
  </si>
  <si>
    <t xml:space="preserve">L-HELPER, L-PLUMB, MAT-URN</t>
  </si>
  <si>
    <t xml:space="preserve">L-HELPER, L-PLUMB, MAT-CPVC-100</t>
  </si>
  <si>
    <t xml:space="preserve">Shared resources – workbook code → dashboard Rate Database line</t>
  </si>
  <si>
    <t xml:space="preserve">Workbook code</t>
  </si>
  <si>
    <t xml:space="preserve">Dashboard code</t>
  </si>
  <si>
    <t xml:space="preserve">Workbook Lahore rate</t>
  </si>
  <si>
    <t xml:space="preserve">Dashboard rate</t>
  </si>
  <si>
    <t xml:space="preserve">Match</t>
  </si>
  <si>
    <t xml:space="preserve">CEM</t>
  </si>
  <si>
    <t xml:space="preserve">SAND-LP</t>
  </si>
  <si>
    <t xml:space="preserve">SAND-CH</t>
  </si>
  <si>
    <t xml:space="preserve">SAND-RV</t>
  </si>
  <si>
    <t xml:space="preserve">CRSH-SG</t>
  </si>
  <si>
    <t xml:space="preserve">CRSH-MG</t>
  </si>
  <si>
    <t xml:space="preserve">STL60</t>
  </si>
  <si>
    <t xml:space="preserve">BWIRE</t>
  </si>
  <si>
    <t xml:space="preserve">BRK-1</t>
  </si>
  <si>
    <t xml:space="preserve">BLK-H8</t>
  </si>
  <si>
    <t xml:space="preserve">BLK-H6</t>
  </si>
  <si>
    <t xml:space="preserve">BLK-S4</t>
  </si>
  <si>
    <t xml:space="preserve">QE-TIMB-CFT</t>
  </si>
  <si>
    <t xml:space="preserve">NAILS</t>
  </si>
  <si>
    <t xml:space="preserve">ADMIX-SP</t>
  </si>
  <si>
    <t xml:space="preserve">BITUMEN</t>
  </si>
  <si>
    <t xml:space="preserve">GRAVEL-SB</t>
  </si>
  <si>
    <t xml:space="preserve">GRASS-DHAKA</t>
  </si>
  <si>
    <t xml:space="preserve">UPVC-WIN</t>
  </si>
  <si>
    <t xml:space="preserve">FIRE-DOOR</t>
  </si>
  <si>
    <t xml:space="preserve">EPOXY-FLR</t>
  </si>
  <si>
    <t xml:space="preserve">LAM-SUP</t>
  </si>
  <si>
    <t xml:space="preserve">RMC-4000</t>
  </si>
  <si>
    <t xml:space="preserve">RMC-4500</t>
  </si>
  <si>
    <t xml:space="preserve">RMC-6500</t>
  </si>
  <si>
    <t xml:space="preserve">RMC-LEAN</t>
  </si>
  <si>
    <t xml:space="preserve">L-MASON</t>
  </si>
  <si>
    <t xml:space="preserve">L-STEEL</t>
  </si>
  <si>
    <t xml:space="preserve">L-PLMASON</t>
  </si>
  <si>
    <t xml:space="preserve">L-CARP</t>
  </si>
  <si>
    <t xml:space="preserve">L-TILE</t>
  </si>
  <si>
    <t xml:space="preserve">L-PAINT</t>
  </si>
  <si>
    <t xml:space="preserve">L-PLUMB</t>
  </si>
  <si>
    <t xml:space="preserve">L-ELEC</t>
  </si>
  <si>
    <t xml:space="preserve">P-PUMP</t>
  </si>
  <si>
    <t xml:space="preserve">19 · REVISION LOG – Rev07 (2026-09-27)</t>
  </si>
  <si>
    <t xml:space="preserve">Type</t>
  </si>
  <si>
    <t xml:space="preserve">Code</t>
  </si>
  <si>
    <t xml:space="preserve">Rev06</t>
  </si>
  <si>
    <t xml:space="preserve">Rev07</t>
  </si>
  <si>
    <t xml:space="preserve">Basis / note</t>
  </si>
  <si>
    <t xml:space="preserve">New resource</t>
  </si>
  <si>
    <t xml:space="preserve">Assumption</t>
  </si>
  <si>
    <t xml:space="preserve">Relink</t>
  </si>
  <si>
    <t xml:space="preserve">size-specific fittings allowance</t>
  </si>
  <si>
    <t xml:space="preserve">Productivity</t>
  </si>
  <si>
    <t xml:space="preserve">Corrected 150 -&gt; 80 cft/day: Rev06 labour 76.19/cft was 46% below MRS.</t>
  </si>
  <si>
    <t xml:space="preserve">Corrected 250 -&gt; 360 kg/day: Rev06 labour 15.95/kg was 45% above MRS.</t>
  </si>
  <si>
    <t xml:space="preserve">Corrected 80 -&gt; 50 cft/day (≈675 bricks per mason-day): Rev06 labour 56.34/cft was 38% below MRS.</t>
  </si>
  <si>
    <t xml:space="preserve">Corrected 250 -&gt; 95 Sft/day: Rev06 21.10/Sft was 63% below MRS. MRS topping includes panel finishing; screed under tiles may be faster — confirm by time study.</t>
  </si>
  <si>
    <t xml:space="preserve">Corrected 400 -&gt; 180 Sft/day: Rev06 9.35/Sft was 54% below MRS.</t>
  </si>
  <si>
    <t xml:space="preserve">Corrected 200 -&gt; 125 Sft/day: Rev06 26.38/Sft was 37% below MRS.</t>
  </si>
  <si>
    <t xml:space="preserve">Corrected 200 -&gt; 70 Sft/day: Rev06 14.35/Sft was 65% below MRS. Access (cradle/scaffold) still measured separately.</t>
  </si>
  <si>
    <t xml:space="preserve">New: CIV-CON-020..023 used the site-mix crew (145.04/cft, 55% above MRS). Dashboard RCC-RMC-* uses the same MRS basis.</t>
  </si>
  <si>
    <t xml:space="preserve">New for CIV-MAS-006.</t>
  </si>
  <si>
    <t xml:space="preserve">New: ¾" plaster (FIN-PLS-002/003) used the ½" output; MRS prints 26% more labour.</t>
  </si>
  <si>
    <t xml:space="preserve">New for FIN-PLS-004.</t>
  </si>
  <si>
    <t xml:space="preserve">New for FIN-SCR-004.</t>
  </si>
  <si>
    <t xml:space="preserve">New for FIN-SCR-002.</t>
  </si>
  <si>
    <t xml:space="preserve">New for FIN-SCR-003.</t>
  </si>
  <si>
    <t xml:space="preserve">New: CIV-EW-004 used 2 helpers/200 cft (15.38/cft, 89% above MRS).</t>
  </si>
  <si>
    <t xml:space="preserve">New: CIV-EW-005 used 2 helpers/200 cft (15.38/cft).</t>
  </si>
  <si>
    <t xml:space="preserve">New: Rev06 80 Rft/day was 42% below MAK.</t>
  </si>
  <si>
    <t xml:space="preserve">New: Rev06 50 Rft/day was 31–42% below MAK.</t>
  </si>
  <si>
    <t xml:space="preserve">New.</t>
  </si>
  <si>
    <t xml:space="preserve">New: Rev06 60 Rft/day was 40% below MAK.</t>
  </si>
  <si>
    <t xml:space="preserve">New: Rev06 40 Rft/day was 42% below MAK.</t>
  </si>
  <si>
    <t xml:space="preserve">New: Rev06 10 heads/day was 42% below MAK.</t>
  </si>
  <si>
    <t xml:space="preserve">New: Rev06 0.5 crew-day per WC was 58% below MAK.</t>
  </si>
  <si>
    <t xml:space="preserve">New: Rev06 150 Sft/day was 51% below MAK.</t>
  </si>
  <si>
    <t xml:space="preserve">labour rows now read crew output from 13</t>
  </si>
  <si>
    <t xml:space="preserve">New item</t>
  </si>
  <si>
    <t xml:space="preserve">Extra labour over RCC items for placing concrete in 2nd and subsequent storeys, complete i</t>
  </si>
  <si>
    <t xml:space="preserve">Extra labour over brick masonry for each floor above the 4th floor (add per floor), comple</t>
  </si>
  <si>
    <t xml:space="preserve">Extra labour over cement plaster for work above 20 ft height, for each additional 10 ft or</t>
  </si>
  <si>
    <t xml:space="preserve">Extra labour over tile / stone / mosaic flooring for each storey above ground, complete in</t>
  </si>
  <si>
    <t xml:space="preserve">Providing and fixing HDPE PN-10 pipe 110 mm with butt-fusion elbows and tees and clamps, t</t>
  </si>
  <si>
    <t xml:space="preserve">Supplying and installing 2½" flanged landing valve with blank cap, connected and tested, c</t>
  </si>
  <si>
    <t xml:space="preserve">Supplying and fixing 3D acrylic-letter signage board, measured on board face area, complet</t>
  </si>
  <si>
    <t xml:space="preserve">Mobilization and demobilization of plant, equipment, staff and temporary facilities, compl</t>
  </si>
  <si>
    <t xml:space="preserve">Providing, maintaining and removing site office, stores, labour welfare and security cabin</t>
  </si>
  <si>
    <t xml:space="preserve">Providing and running temporary water and electricity supply for construction, per month, </t>
  </si>
  <si>
    <t xml:space="preserve">Sampling, curing and testing concrete cylinders / cubes (set of 3) at an approved laborato</t>
  </si>
  <si>
    <t xml:space="preserve">Final builder's cleaning of floors, walls, glazing and fixtures before handover, complete </t>
  </si>
  <si>
    <t xml:space="preserve">Providing and fixing concealed-grid suspended ceiling of ½" fire-rated gypsum board on GI </t>
  </si>
  <si>
    <t xml:space="preserve">Providing and fixing aluminium clip-in / lay-in metal ceiling tiles 2'×2' on suspended gri</t>
  </si>
  <si>
    <t xml:space="preserve">Providing and fixing 2'×2' access panel in gypsum ceiling with frame and push-latch, compl</t>
  </si>
  <si>
    <t xml:space="preserve">Providing and laying carpet tiles on adhesive over levelled screed, complete in all respec</t>
  </si>
  <si>
    <t xml:space="preserve">Providing and fixing vinyl wallpaper on prepared plastered walls, complete in all respects</t>
  </si>
  <si>
    <t xml:space="preserve">Supplying and installing 12 mm toughened glass door 3'×7' with patch fittings, floor sprin</t>
  </si>
  <si>
    <t xml:space="preserve">Providing and applying EIFS insulated render system on external walls, complete in all res</t>
  </si>
  <si>
    <t xml:space="preserve">Supplying and installing steel-framed glass entrance canopy, measured on plan area, comple</t>
  </si>
  <si>
    <t xml:space="preserve">Supplying and installing skylight glazing on aluminium frame with flashings, complete in a</t>
  </si>
  <si>
    <t xml:space="preserve">Supplying and fixing wall-hung urinal with flush valve, trap and connections, complete in </t>
  </si>
  <si>
    <t xml:space="preserve">Providing and fixing CPVC SDR-11 pipe ¾" with solvent-welded fittings and clamps, tested, </t>
  </si>
  <si>
    <t xml:space="preserve">Supplying, installing and commissioning access control on one door (reader, maglock, exit </t>
  </si>
  <si>
    <t xml:space="preserve">Providing and applying fire-stop sealant / smoke seal at slab edges and service penetratio</t>
  </si>
  <si>
    <t xml:space="preserve">Supplying, installing, testing and commissioning escalator per specification, complete in </t>
  </si>
  <si>
    <t xml:space="preserve">Providing and installing drip / sprinkler irrigation system for landscaped areas, complete</t>
  </si>
  <si>
    <t xml:space="preserve">Supplying and installing VRF air-conditioning system (outdoor and indoor units, refrigeran</t>
  </si>
  <si>
    <t xml:space="preserve">Supplying and installing main distribution board with incomer, outgoing breakers, metering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</si>
</sst>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"/>
    <numFmt numFmtId="167" formatCode="#,##0.00"/>
    <numFmt numFmtId="168" formatCode="0.0000"/>
    <numFmt numFmtId="169" formatCode="0.0%"/>
    <numFmt numFmtId="170" formatCode="0.000"/>
    <numFmt numFmtId="171" formatCode="0%"/>
    <numFmt numFmtId="172" formatCode="#,##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6DCE4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/>
      <right/>
      <top style="thin">
        <color rgb="FFA6A6A6"/>
      </top>
      <bottom style="thin">
        <color rgb="FFA6A6A6"/>
      </bottom>
      <diagonal/>
    </border>
    <border diagonalUp="false" diagonalDown="false"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6DCE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5" t="s">
        <v>3</v>
      </c>
    </row>
    <row r="5" customFormat="false" ht="42" hidden="false" customHeight="true" outlineLevel="0" collapsed="false">
      <c r="A5" s="4" t="s">
        <v>4</v>
      </c>
      <c r="B5" s="5" t="s">
        <v>5</v>
      </c>
    </row>
    <row r="6" customFormat="false" ht="42" hidden="false" customHeight="true" outlineLevel="0" collapsed="false">
      <c r="A6" s="4" t="s">
        <v>6</v>
      </c>
      <c r="B6" s="5" t="s">
        <v>7</v>
      </c>
    </row>
    <row r="7" customFormat="false" ht="42" hidden="false" customHeight="true" outlineLevel="0" collapsed="false">
      <c r="A7" s="4" t="s">
        <v>8</v>
      </c>
      <c r="B7" s="5" t="s">
        <v>9</v>
      </c>
    </row>
    <row r="8" customFormat="false" ht="42" hidden="false" customHeight="true" outlineLevel="0" collapsed="false">
      <c r="A8" s="4" t="s">
        <v>10</v>
      </c>
      <c r="B8" s="5" t="s">
        <v>11</v>
      </c>
    </row>
    <row r="9" customFormat="false" ht="42" hidden="false" customHeight="true" outlineLevel="0" collapsed="false">
      <c r="A9" s="4" t="s">
        <v>12</v>
      </c>
      <c r="B9" s="5" t="s">
        <v>13</v>
      </c>
    </row>
    <row r="10" customFormat="false" ht="42" hidden="false" customHeight="true" outlineLevel="0" collapsed="false">
      <c r="A10" s="4" t="s">
        <v>14</v>
      </c>
      <c r="B10" s="5" t="s">
        <v>15</v>
      </c>
    </row>
    <row r="11" customFormat="false" ht="42" hidden="false" customHeight="true" outlineLevel="0" collapsed="false">
      <c r="A11" s="4" t="s">
        <v>16</v>
      </c>
      <c r="B11" s="5" t="s">
        <v>17</v>
      </c>
    </row>
    <row r="12" customFormat="false" ht="42" hidden="false" customHeight="true" outlineLevel="0" collapsed="false">
      <c r="A12" s="4" t="s">
        <v>18</v>
      </c>
      <c r="B12" s="5" t="s">
        <v>19</v>
      </c>
    </row>
    <row r="13" customFormat="false" ht="42" hidden="false" customHeight="true" outlineLevel="0" collapsed="false">
      <c r="A13" s="4" t="s">
        <v>20</v>
      </c>
      <c r="B13" s="5" t="s">
        <v>21</v>
      </c>
    </row>
    <row r="14" customFormat="false" ht="54.75" hidden="false" customHeight="true" outlineLevel="0" collapsed="false">
      <c r="A14" s="6" t="s">
        <v>22</v>
      </c>
      <c r="B14" s="7" t="s">
        <v>23</v>
      </c>
    </row>
    <row r="15" customFormat="false" ht="27.75" hidden="false" customHeight="true" outlineLevel="0" collapsed="false">
      <c r="A15" s="6" t="s">
        <v>24</v>
      </c>
      <c r="B15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34"/>
  </cols>
  <sheetData>
    <row r="1" customFormat="false" ht="15.75" hidden="false" customHeight="true" outlineLevel="0" collapsed="false">
      <c r="A1" s="2" t="s">
        <v>26</v>
      </c>
    </row>
    <row r="2" customFormat="false" ht="15" hidden="false" customHeight="true" outlineLevel="0" collapsed="false">
      <c r="A2" s="3" t="s">
        <v>27</v>
      </c>
    </row>
    <row r="4" customFormat="false" ht="15" hidden="false" customHeight="true" outlineLevel="0" collapsed="false">
      <c r="A4" s="8" t="s">
        <v>28</v>
      </c>
      <c r="B4" s="8" t="s">
        <v>29</v>
      </c>
    </row>
    <row r="5" customFormat="false" ht="15" hidden="false" customHeight="true" outlineLevel="0" collapsed="false">
      <c r="A5" s="9" t="s">
        <v>30</v>
      </c>
      <c r="B5" s="10" t="n">
        <f aca="false">COUNTA('03 MASTER RATE LIBRARY'!A5:A400)</f>
        <v>160</v>
      </c>
    </row>
    <row r="6" customFormat="false" ht="15" hidden="false" customHeight="true" outlineLevel="0" collapsed="false">
      <c r="A6" s="9" t="s">
        <v>31</v>
      </c>
      <c r="B6" s="10" t="n">
        <f aca="false">COUNTIF('03 MASTER RATE LIBRARY'!W5:W400,0)</f>
        <v>126</v>
      </c>
    </row>
    <row r="7" customFormat="false" ht="15" hidden="false" customHeight="true" outlineLevel="0" collapsed="false">
      <c r="A7" s="9" t="s">
        <v>32</v>
      </c>
      <c r="B7" s="10" t="n">
        <f aca="false">COUNTIF('03 MASTER RATE LIBRARY'!W5:W400,"&gt;0")</f>
        <v>34</v>
      </c>
    </row>
    <row r="8" customFormat="false" ht="15" hidden="false" customHeight="true" outlineLevel="0" collapsed="false">
      <c r="A8" s="9" t="s">
        <v>33</v>
      </c>
      <c r="B8" s="10" t="n">
        <f aca="false">COUNTIF('03 MASTER RATE LIBRARY'!G5:G400,"cft")</f>
        <v>39</v>
      </c>
    </row>
    <row r="9" customFormat="false" ht="15" hidden="false" customHeight="true" outlineLevel="0" collapsed="false">
      <c r="A9" s="9" t="s">
        <v>34</v>
      </c>
      <c r="B9" s="10" t="n">
        <f aca="false">COUNTIF('03 MASTER RATE LIBRARY'!G5:G400,"Sft")</f>
        <v>60</v>
      </c>
    </row>
    <row r="10" customFormat="false" ht="15" hidden="false" customHeight="true" outlineLevel="0" collapsed="false">
      <c r="A10" s="9" t="s">
        <v>35</v>
      </c>
      <c r="B10" s="10" t="n">
        <f aca="false">COUNTIF('03 MASTER RATE LIBRARY'!G5:G400,"kg")</f>
        <v>1</v>
      </c>
    </row>
    <row r="11" customFormat="false" ht="15" hidden="false" customHeight="true" outlineLevel="0" collapsed="false">
      <c r="A11" s="9" t="s">
        <v>36</v>
      </c>
      <c r="B11" s="10" t="str">
        <f aca="false">City</f>
        <v>Lahore</v>
      </c>
    </row>
    <row r="12" customFormat="false" ht="15" hidden="false" customHeight="true" outlineLevel="0" collapsed="false">
      <c r="A12" s="9" t="s">
        <v>37</v>
      </c>
      <c r="B12" s="10" t="n">
        <f aca="false">COUNTIF('03 MASTER RATE LIBRARY'!W5:W400,0)</f>
        <v>126</v>
      </c>
    </row>
    <row r="13" customFormat="false" ht="15" hidden="false" customHeight="true" outlineLevel="0" collapsed="false">
      <c r="A13" s="9" t="s">
        <v>38</v>
      </c>
      <c r="B13" s="10" t="n">
        <f aca="false">COUNTA('16 VENDOR ENQUIRY (RFQ)'!B5:B500)</f>
        <v>79</v>
      </c>
    </row>
    <row r="14" customFormat="false" ht="15" hidden="false" customHeight="true" outlineLevel="0" collapsed="false">
      <c r="A14" s="9" t="s">
        <v>39</v>
      </c>
      <c r="B14" s="10" t="n">
        <f aca="false">COUNT('16 VENDOR ENQUIRY (RFQ)'!H5:H500)</f>
        <v>0</v>
      </c>
    </row>
    <row r="15" customFormat="false" ht="15" hidden="false" customHeight="true" outlineLevel="0" collapsed="false">
      <c r="A15" s="9" t="s">
        <v>40</v>
      </c>
      <c r="B15" s="10" t="n">
        <f aca="false">COUNTA('09 SOURCE REGISTER'!A5:A50)</f>
        <v>46</v>
      </c>
    </row>
    <row r="16" customFormat="false" ht="15" hidden="false" customHeight="true" outlineLevel="0" collapsed="false">
      <c r="A16" s="8" t="s">
        <v>41</v>
      </c>
      <c r="B16" s="8" t="s">
        <v>42</v>
      </c>
    </row>
    <row r="17" customFormat="false" ht="15" hidden="false" customHeight="true" outlineLevel="0" collapsed="false">
      <c r="A17" s="9" t="s">
        <v>43</v>
      </c>
      <c r="B17" s="10" t="n">
        <f aca="false">COUNTIF('03 MASTER RATE LIBRARY'!A5:A400,"CIV-CON-*")</f>
        <v>24</v>
      </c>
    </row>
    <row r="18" customFormat="false" ht="15" hidden="false" customHeight="true" outlineLevel="0" collapsed="false">
      <c r="A18" s="9" t="s">
        <v>44</v>
      </c>
      <c r="B18" s="10" t="n">
        <f aca="false">COUNTIF('03 MASTER RATE LIBRARY'!A5:A400,"CIV-RFT-*")</f>
        <v>2</v>
      </c>
    </row>
    <row r="19" customFormat="false" ht="15" hidden="false" customHeight="true" outlineLevel="0" collapsed="false">
      <c r="A19" s="9" t="s">
        <v>45</v>
      </c>
      <c r="B19" s="10" t="n">
        <f aca="false">COUNTIF('03 MASTER RATE LIBRARY'!A5:A400,"CIV-FWK-*")</f>
        <v>6</v>
      </c>
    </row>
    <row r="20" customFormat="false" ht="15" hidden="false" customHeight="true" outlineLevel="0" collapsed="false">
      <c r="A20" s="9" t="s">
        <v>46</v>
      </c>
      <c r="B20" s="10" t="n">
        <f aca="false">COUNTIF('03 MASTER RATE LIBRARY'!A5:A400,"CIV-MAS-*")</f>
        <v>11</v>
      </c>
    </row>
    <row r="21" customFormat="false" ht="15" hidden="false" customHeight="true" outlineLevel="0" collapsed="false">
      <c r="A21" s="9" t="s">
        <v>47</v>
      </c>
      <c r="B21" s="10" t="n">
        <f aca="false">COUNTIF('03 MASTER RATE LIBRARY'!A5:A400,"FIN-PLS-*")</f>
        <v>5</v>
      </c>
    </row>
    <row r="22" customFormat="false" ht="15" hidden="false" customHeight="true" outlineLevel="0" collapsed="false">
      <c r="A22" s="9" t="s">
        <v>48</v>
      </c>
      <c r="B22" s="10" t="n">
        <f aca="false">COUNTIF('03 MASTER RATE LIBRARY'!A5:A400,"FIN-SCR-*")</f>
        <v>4</v>
      </c>
    </row>
    <row r="23" customFormat="false" ht="15" hidden="false" customHeight="true" outlineLevel="0" collapsed="false">
      <c r="A23" s="9" t="s">
        <v>49</v>
      </c>
      <c r="B23" s="10" t="n">
        <f aca="false">COUNTIF('03 MASTER RATE LIBRARY'!A5:A400,"FIN-SKT-*")</f>
        <v>1</v>
      </c>
    </row>
    <row r="24" customFormat="false" ht="15" hidden="false" customHeight="true" outlineLevel="0" collapsed="false">
      <c r="A24" s="9" t="s">
        <v>50</v>
      </c>
      <c r="B24" s="10" t="n">
        <f aca="false">COUNTIF('03 MASTER RATE LIBRARY'!A5:A400,"FIN-WPF-*")</f>
        <v>3</v>
      </c>
    </row>
    <row r="25" customFormat="false" ht="15" hidden="false" customHeight="true" outlineLevel="0" collapsed="false">
      <c r="A25" s="9" t="s">
        <v>51</v>
      </c>
      <c r="B25" s="10" t="n">
        <f aca="false">COUNTIF('03 MASTER RATE LIBRARY'!A5:A400,"FIN-FLR-*")</f>
        <v>9</v>
      </c>
    </row>
    <row r="26" customFormat="false" ht="15" hidden="false" customHeight="true" outlineLevel="0" collapsed="false">
      <c r="A26" s="9" t="s">
        <v>52</v>
      </c>
      <c r="B26" s="10" t="n">
        <f aca="false">COUNTIF('03 MASTER RATE LIBRARY'!A5:A400,"FIN-WAL-*")</f>
        <v>4</v>
      </c>
    </row>
    <row r="27" customFormat="false" ht="15" hidden="false" customHeight="true" outlineLevel="0" collapsed="false">
      <c r="A27" s="9" t="s">
        <v>53</v>
      </c>
      <c r="B27" s="10" t="n">
        <f aca="false">COUNTIF('03 MASTER RATE LIBRARY'!A5:A400,"FIN-CLG-*")</f>
        <v>5</v>
      </c>
    </row>
    <row r="28" customFormat="false" ht="15" hidden="false" customHeight="true" outlineLevel="0" collapsed="false">
      <c r="A28" s="9" t="s">
        <v>54</v>
      </c>
      <c r="B28" s="10" t="n">
        <f aca="false">COUNTIF('03 MASTER RATE LIBRARY'!A5:A400,"FIN-PNT-*")</f>
        <v>2</v>
      </c>
    </row>
    <row r="29" customFormat="false" ht="15" hidden="false" customHeight="true" outlineLevel="0" collapsed="false">
      <c r="A29" s="9" t="s">
        <v>55</v>
      </c>
      <c r="B29" s="10" t="n">
        <f aca="false">COUNTIF('03 MASTER RATE LIBRARY'!A5:A400,"PRE-*")</f>
        <v>7</v>
      </c>
    </row>
    <row r="30" customFormat="false" ht="15" hidden="false" customHeight="true" outlineLevel="0" collapsed="false">
      <c r="A30" s="9" t="s">
        <v>56</v>
      </c>
      <c r="B30" s="10" t="n">
        <f aca="false">COUNTIF('03 MASTER RATE LIBRARY'!A5:A400,"CIV-EW-*")</f>
        <v>7</v>
      </c>
    </row>
    <row r="31" customFormat="false" ht="15" hidden="false" customHeight="true" outlineLevel="0" collapsed="false">
      <c r="A31" s="9" t="s">
        <v>57</v>
      </c>
      <c r="B31" s="10" t="n">
        <f aca="false">COUNTIF('03 MASTER RATE LIBRARY'!A5:A400,"FIN-DOR-*")</f>
        <v>3</v>
      </c>
    </row>
    <row r="32" customFormat="false" ht="15" hidden="false" customHeight="true" outlineLevel="0" collapsed="false">
      <c r="A32" s="9" t="s">
        <v>58</v>
      </c>
      <c r="B32" s="10" t="n">
        <f aca="false">COUNTIF('03 MASTER RATE LIBRARY'!A5:A400,"FIN-WIN-*")</f>
        <v>2</v>
      </c>
    </row>
    <row r="33" customFormat="false" ht="15" hidden="false" customHeight="true" outlineLevel="0" collapsed="false">
      <c r="A33" s="9" t="s">
        <v>59</v>
      </c>
      <c r="B33" s="10" t="n">
        <f aca="false">COUNTIF('03 MASTER RATE LIBRARY'!A5:A400,"FIN-JNR-*")</f>
        <v>1</v>
      </c>
    </row>
    <row r="34" customFormat="false" ht="15" hidden="false" customHeight="true" outlineLevel="0" collapsed="false">
      <c r="A34" s="9" t="s">
        <v>60</v>
      </c>
      <c r="B34" s="10" t="n">
        <f aca="false">COUNTIF('03 MASTER RATE LIBRARY'!A5:A400,"FAC-*")</f>
        <v>7</v>
      </c>
    </row>
    <row r="35" customFormat="false" ht="15" hidden="false" customHeight="true" outlineLevel="0" collapsed="false">
      <c r="A35" s="9" t="s">
        <v>61</v>
      </c>
      <c r="B35" s="10" t="n">
        <f aca="false">COUNTIF('03 MASTER RATE LIBRARY'!A5:A400,"EXT-*")</f>
        <v>7</v>
      </c>
    </row>
    <row r="36" customFormat="false" ht="15" hidden="false" customHeight="true" outlineLevel="0" collapsed="false">
      <c r="A36" s="9" t="s">
        <v>62</v>
      </c>
      <c r="B36" s="10" t="n">
        <f aca="false">COUNTIF('03 MASTER RATE LIBRARY'!A5:A400,"PLB-*")</f>
        <v>17</v>
      </c>
    </row>
    <row r="37" customFormat="false" ht="15" hidden="false" customHeight="true" outlineLevel="0" collapsed="false">
      <c r="A37" s="9" t="s">
        <v>63</v>
      </c>
      <c r="B37" s="10" t="n">
        <f aca="false">COUNTIF('03 MASTER RATE LIBRARY'!A5:A400,"FF-*")</f>
        <v>6</v>
      </c>
    </row>
    <row r="38" customFormat="false" ht="15" hidden="false" customHeight="true" outlineLevel="0" collapsed="false">
      <c r="A38" s="9" t="s">
        <v>64</v>
      </c>
      <c r="B38" s="10" t="n">
        <f aca="false">COUNTIF('03 MASTER RATE LIBRARY'!A5:A400,"ELE-*")</f>
        <v>14</v>
      </c>
    </row>
    <row r="39" customFormat="false" ht="15" hidden="false" customHeight="true" outlineLevel="0" collapsed="false">
      <c r="A39" s="9" t="s">
        <v>65</v>
      </c>
      <c r="B39" s="10" t="n">
        <f aca="false">COUNTIF('03 MASTER RATE LIBRARY'!A5:A400,"ELV-*")</f>
        <v>2</v>
      </c>
    </row>
    <row r="40" customFormat="false" ht="15" hidden="false" customHeight="true" outlineLevel="0" collapsed="false">
      <c r="A40" s="9" t="s">
        <v>66</v>
      </c>
      <c r="B40" s="10" t="n">
        <f aca="false">COUNTIF('03 MASTER RATE LIBRARY'!A5:A400,"LS-*")</f>
        <v>2</v>
      </c>
    </row>
    <row r="41" customFormat="false" ht="15" hidden="false" customHeight="true" outlineLevel="0" collapsed="false">
      <c r="A41" s="9" t="s">
        <v>67</v>
      </c>
      <c r="B41" s="10" t="n">
        <f aca="false">COUNTIF('03 MASTER RATE LIBRARY'!A5:A400,"MEP-HVAC-*")</f>
        <v>4</v>
      </c>
    </row>
    <row r="42" customFormat="false" ht="15" hidden="false" customHeight="true" outlineLevel="0" collapsed="false">
      <c r="A42" s="9" t="s">
        <v>68</v>
      </c>
      <c r="B42" s="10" t="n">
        <f aca="false">COUNTIF('03 MASTER RATE LIBRARY'!A5:A400,"LFT-*")</f>
        <v>2</v>
      </c>
    </row>
    <row r="43" customFormat="false" ht="15" hidden="false" customHeight="true" outlineLevel="0" collapsed="false">
      <c r="A43" s="9" t="s">
        <v>69</v>
      </c>
      <c r="B43" s="10" t="n">
        <f aca="false">COUNTIF('03 MASTER RATE LIBRARY'!A5:A400,"MISC-*")</f>
        <v>3</v>
      </c>
    </row>
    <row r="52" customFormat="false" ht="15" hidden="false" customHeight="true" outlineLevel="0" collapsed="false">
      <c r="A52" s="8" t="s">
        <v>70</v>
      </c>
      <c r="B52" s="8" t="s">
        <v>71</v>
      </c>
      <c r="C52" s="8" t="s">
        <v>72</v>
      </c>
    </row>
    <row r="53" customFormat="false" ht="15" hidden="false" customHeight="true" outlineLevel="0" collapsed="false">
      <c r="A53" s="9" t="str">
        <f aca="false">'03 MASTER RATE LIBRARY'!A5&amp;"  "&amp;'03 MASTER RATE LIBRARY'!D5</f>
        <v>CIV-CON-001  5000 PSI</v>
      </c>
      <c r="B53" s="11" t="n">
        <f aca="false">'03 MASTER RATE LIBRARY'!S5</f>
        <v>1173</v>
      </c>
      <c r="C53" s="10" t="str">
        <f aca="false">'03 MASTER RATE LIBRARY'!U5</f>
        <v>INCOMPLETE – 1 blank/old input(s)</v>
      </c>
    </row>
    <row r="54" customFormat="false" ht="15" hidden="false" customHeight="true" outlineLevel="0" collapsed="false">
      <c r="A54" s="9" t="str">
        <f aca="false">'03 MASTER RATE LIBRARY'!A6&amp;"  "&amp;'03 MASTER RATE LIBRARY'!D6</f>
        <v>CIV-CON-002  1000 PSI</v>
      </c>
      <c r="B54" s="11" t="n">
        <f aca="false">'03 MASTER RATE LIBRARY'!S6</f>
        <v>795</v>
      </c>
      <c r="C54" s="10" t="str">
        <f aca="false">'03 MASTER RATE LIBRARY'!U6</f>
        <v>Market-derived + assumptions</v>
      </c>
    </row>
    <row r="55" customFormat="false" ht="15" hidden="false" customHeight="true" outlineLevel="0" collapsed="false">
      <c r="A55" s="9" t="str">
        <f aca="false">'03 MASTER RATE LIBRARY'!A7&amp;"  "&amp;'03 MASTER RATE LIBRARY'!D7</f>
        <v>CIV-CON-003  6000 PSI</v>
      </c>
      <c r="B55" s="11" t="n">
        <f aca="false">'03 MASTER RATE LIBRARY'!S7</f>
        <v>1141</v>
      </c>
      <c r="C55" s="10" t="str">
        <f aca="false">'03 MASTER RATE LIBRARY'!U7</f>
        <v>INCOMPLETE – 1 blank/old input(s)</v>
      </c>
    </row>
    <row r="56" customFormat="false" ht="15" hidden="false" customHeight="true" outlineLevel="0" collapsed="false">
      <c r="A56" s="9" t="str">
        <f aca="false">'03 MASTER RATE LIBRARY'!A8&amp;"  "&amp;'03 MASTER RATE LIBRARY'!D8</f>
        <v>CIV-CON-004  1:3:6</v>
      </c>
      <c r="B56" s="11" t="n">
        <f aca="false">'03 MASTER RATE LIBRARY'!S8</f>
        <v>732</v>
      </c>
      <c r="C56" s="10" t="str">
        <f aca="false">'03 MASTER RATE LIBRARY'!U8</f>
        <v>Market-derived + assumptions</v>
      </c>
    </row>
    <row r="57" customFormat="false" ht="15" hidden="false" customHeight="true" outlineLevel="0" collapsed="false">
      <c r="A57" s="9" t="str">
        <f aca="false">'03 MASTER RATE LIBRARY'!A9&amp;"  "&amp;'03 MASTER RATE LIBRARY'!D9</f>
        <v>CIV-CON-005  4500 PSI</v>
      </c>
      <c r="B57" s="11" t="n">
        <f aca="false">'03 MASTER RATE LIBRARY'!S9</f>
        <v>1073</v>
      </c>
      <c r="C57" s="10" t="str">
        <f aca="false">'03 MASTER RATE LIBRARY'!U9</f>
        <v>INCOMPLETE – 1 blank/old input(s)</v>
      </c>
    </row>
    <row r="58" customFormat="false" ht="15" hidden="false" customHeight="true" outlineLevel="0" collapsed="false">
      <c r="A58" s="9" t="str">
        <f aca="false">'03 MASTER RATE LIBRARY'!A10&amp;"  "&amp;'03 MASTER RATE LIBRARY'!D10</f>
        <v>CIV-CON-006  4000 PSI</v>
      </c>
      <c r="B58" s="11" t="n">
        <f aca="false">'03 MASTER RATE LIBRARY'!S10</f>
        <v>1049</v>
      </c>
      <c r="C58" s="10" t="str">
        <f aca="false">'03 MASTER RATE LIBRARY'!U10</f>
        <v>INCOMPLETE – 1 blank/old input(s)</v>
      </c>
    </row>
    <row r="59" customFormat="false" ht="15" hidden="false" customHeight="true" outlineLevel="0" collapsed="false">
      <c r="A59" s="9" t="str">
        <f aca="false">'03 MASTER RATE LIBRARY'!A11&amp;"  "&amp;'03 MASTER RATE LIBRARY'!D11</f>
        <v>CIV-CON-007  1500 PSI</v>
      </c>
      <c r="B59" s="11" t="n">
        <f aca="false">'03 MASTER RATE LIBRARY'!S11</f>
        <v>787</v>
      </c>
      <c r="C59" s="10" t="str">
        <f aca="false">'03 MASTER RATE LIBRARY'!U11</f>
        <v>Market-derived + assumptions</v>
      </c>
    </row>
    <row r="60" customFormat="false" ht="15" hidden="false" customHeight="true" outlineLevel="0" collapsed="false">
      <c r="A60" s="9" t="str">
        <f aca="false">'03 MASTER RATE LIBRARY'!A12&amp;"  "&amp;'03 MASTER RATE LIBRARY'!D12</f>
        <v>CIV-CON-008  4000 PSI</v>
      </c>
      <c r="B60" s="11" t="n">
        <f aca="false">'03 MASTER RATE LIBRARY'!S12</f>
        <v>967</v>
      </c>
      <c r="C60" s="10" t="str">
        <f aca="false">'03 MASTER RATE LIBRARY'!U12</f>
        <v>INCOMPLETE – 1 blank/old input(s)</v>
      </c>
    </row>
    <row r="61" customFormat="false" ht="15" hidden="false" customHeight="true" outlineLevel="0" collapsed="false">
      <c r="A61" s="9" t="str">
        <f aca="false">'03 MASTER RATE LIBRARY'!A13&amp;"  "&amp;'03 MASTER RATE LIBRARY'!D13</f>
        <v>CIV-CON-009  4500 PSI</v>
      </c>
      <c r="B61" s="11" t="n">
        <f aca="false">'03 MASTER RATE LIBRARY'!S13</f>
        <v>1014</v>
      </c>
      <c r="C61" s="10" t="str">
        <f aca="false">'03 MASTER RATE LIBRARY'!U13</f>
        <v>INCOMPLETE – 1 blank/old input(s)</v>
      </c>
    </row>
    <row r="62" customFormat="false" ht="15" hidden="false" customHeight="true" outlineLevel="0" collapsed="false">
      <c r="A62" s="9" t="str">
        <f aca="false">'03 MASTER RATE LIBRARY'!A14&amp;"  "&amp;'03 MASTER RATE LIBRARY'!D14</f>
        <v>CIV-CON-010  6000 PSI</v>
      </c>
      <c r="B62" s="11" t="n">
        <f aca="false">'03 MASTER RATE LIBRARY'!S14</f>
        <v>1132</v>
      </c>
      <c r="C62" s="10" t="str">
        <f aca="false">'03 MASTER RATE LIBRARY'!U14</f>
        <v>INCOMPLETE – 1 blank/old input(s)</v>
      </c>
    </row>
    <row r="63" customFormat="false" ht="15" hidden="false" customHeight="true" outlineLevel="0" collapsed="false">
      <c r="A63" s="9" t="str">
        <f aca="false">'03 MASTER RATE LIBRARY'!A15&amp;"  "&amp;'03 MASTER RATE LIBRARY'!D15</f>
        <v>CIV-CON-011  3000 PSI</v>
      </c>
      <c r="B63" s="11" t="n">
        <f aca="false">'03 MASTER RATE LIBRARY'!S15</f>
        <v>921</v>
      </c>
      <c r="C63" s="10" t="str">
        <f aca="false">'03 MASTER RATE LIBRARY'!U15</f>
        <v>INCOMPLETE – 1 blank/old input(s)</v>
      </c>
    </row>
    <row r="64" customFormat="false" ht="15" hidden="false" customHeight="true" outlineLevel="0" collapsed="false">
      <c r="A64" s="9" t="str">
        <f aca="false">'03 MASTER RATE LIBRARY'!A16&amp;"  "&amp;'03 MASTER RATE LIBRARY'!D16</f>
        <v>CIV-CON-012  4000 PSI</v>
      </c>
      <c r="B64" s="11" t="n">
        <f aca="false">'03 MASTER RATE LIBRARY'!S16</f>
        <v>1027</v>
      </c>
      <c r="C64" s="10" t="str">
        <f aca="false">'03 MASTER RATE LIBRARY'!U16</f>
        <v>INCOMPLETE – 1 blank/old input(s)</v>
      </c>
    </row>
    <row r="65" customFormat="false" ht="15" hidden="false" customHeight="true" outlineLevel="0" collapsed="false">
      <c r="A65" s="9" t="str">
        <f aca="false">'03 MASTER RATE LIBRARY'!A17&amp;"  "&amp;'03 MASTER RATE LIBRARY'!D17</f>
        <v>CIV-CON-013  4500 PSI</v>
      </c>
      <c r="B65" s="11" t="n">
        <f aca="false">'03 MASTER RATE LIBRARY'!S17</f>
        <v>1071</v>
      </c>
      <c r="C65" s="10" t="str">
        <f aca="false">'03 MASTER RATE LIBRARY'!U17</f>
        <v>INCOMPLETE – 1 blank/old input(s)</v>
      </c>
    </row>
    <row r="66" customFormat="false" ht="15" hidden="false" customHeight="true" outlineLevel="0" collapsed="false">
      <c r="A66" s="9" t="str">
        <f aca="false">'03 MASTER RATE LIBRARY'!A18&amp;"  "&amp;'03 MASTER RATE LIBRARY'!D18</f>
        <v>CIV-CON-014  5000 PSI</v>
      </c>
      <c r="B66" s="11" t="n">
        <f aca="false">'03 MASTER RATE LIBRARY'!S18</f>
        <v>1119</v>
      </c>
      <c r="C66" s="10" t="str">
        <f aca="false">'03 MASTER RATE LIBRARY'!U18</f>
        <v>INCOMPLETE – 1 blank/old input(s)</v>
      </c>
    </row>
    <row r="67" customFormat="false" ht="15" hidden="false" customHeight="true" outlineLevel="0" collapsed="false">
      <c r="A67" s="9" t="str">
        <f aca="false">'03 MASTER RATE LIBRARY'!A19&amp;"  "&amp;'03 MASTER RATE LIBRARY'!D19</f>
        <v>CIV-CON-015  5500 PSI</v>
      </c>
      <c r="B67" s="11" t="n">
        <f aca="false">'03 MASTER RATE LIBRARY'!S19</f>
        <v>1134</v>
      </c>
      <c r="C67" s="10" t="str">
        <f aca="false">'03 MASTER RATE LIBRARY'!U19</f>
        <v>INCOMPLETE – 1 blank/old input(s)</v>
      </c>
    </row>
    <row r="68" customFormat="false" ht="15" hidden="false" customHeight="true" outlineLevel="0" collapsed="false">
      <c r="A68" s="9" t="str">
        <f aca="false">'03 MASTER RATE LIBRARY'!A20&amp;"  "&amp;'03 MASTER RATE LIBRARY'!D20</f>
        <v>CIV-CON-016  Nominal 1:4:8</v>
      </c>
      <c r="B68" s="11" t="n">
        <f aca="false">'03 MASTER RATE LIBRARY'!S20</f>
        <v>663</v>
      </c>
      <c r="C68" s="10" t="str">
        <f aca="false">'03 MASTER RATE LIBRARY'!U20</f>
        <v>Market-derived + assumptions</v>
      </c>
    </row>
    <row r="69" customFormat="false" ht="15" hidden="false" customHeight="true" outlineLevel="0" collapsed="false">
      <c r="A69" s="9" t="str">
        <f aca="false">'03 MASTER RATE LIBRARY'!A21&amp;"  "&amp;'03 MASTER RATE LIBRARY'!D21</f>
        <v>CIV-CON-017  Nominal 1:2:4</v>
      </c>
      <c r="B69" s="11" t="n">
        <f aca="false">'03 MASTER RATE LIBRARY'!S21</f>
        <v>792</v>
      </c>
      <c r="C69" s="10" t="str">
        <f aca="false">'03 MASTER RATE LIBRARY'!U21</f>
        <v>Market-derived + assumptions</v>
      </c>
    </row>
    <row r="70" customFormat="false" ht="15" hidden="false" customHeight="true" outlineLevel="0" collapsed="false">
      <c r="A70" s="9" t="str">
        <f aca="false">'03 MASTER RATE LIBRARY'!A22&amp;"  "&amp;'03 MASTER RATE LIBRARY'!D22</f>
        <v>CIV-CON-018  Nominal 1:1.5:3</v>
      </c>
      <c r="B70" s="11" t="n">
        <f aca="false">'03 MASTER RATE LIBRARY'!S22</f>
        <v>873</v>
      </c>
      <c r="C70" s="10" t="str">
        <f aca="false">'03 MASTER RATE LIBRARY'!U22</f>
        <v>Market-derived + assumptions</v>
      </c>
    </row>
    <row r="71" customFormat="false" ht="15" hidden="false" customHeight="true" outlineLevel="0" collapsed="false">
      <c r="A71" s="9" t="str">
        <f aca="false">'03 MASTER RATE LIBRARY'!A122&amp;"  "&amp;'03 MASTER RATE LIBRARY'!D122</f>
        <v>CIV-CON-019  Nominal 1:3:6</v>
      </c>
      <c r="B71" s="11" t="n">
        <f aca="false">'03 MASTER RATE LIBRARY'!S122</f>
        <v>684</v>
      </c>
      <c r="C71" s="10" t="str">
        <f aca="false">'03 MASTER RATE LIBRARY'!U122</f>
        <v>Market-derived + assumptions</v>
      </c>
    </row>
    <row r="72" customFormat="false" ht="15" hidden="false" customHeight="true" outlineLevel="0" collapsed="false">
      <c r="A72" s="9" t="str">
        <f aca="false">'03 MASTER RATE LIBRARY'!A126&amp;"  "&amp;'03 MASTER RATE LIBRARY'!D126</f>
        <v>CIV-CON-020  RMC 4000 PSI (GRN)</v>
      </c>
      <c r="B72" s="11" t="n">
        <f aca="false">'03 MASTER RATE LIBRARY'!S126</f>
        <v>551</v>
      </c>
      <c r="C72" s="10" t="str">
        <f aca="false">'03 MASTER RATE LIBRARY'!U126</f>
        <v>Market-derived + assumptions</v>
      </c>
    </row>
    <row r="73" customFormat="false" ht="15" hidden="false" customHeight="true" outlineLevel="0" collapsed="false">
      <c r="A73" s="9" t="str">
        <f aca="false">'03 MASTER RATE LIBRARY'!A127&amp;"  "&amp;'03 MASTER RATE LIBRARY'!D127</f>
        <v>CIV-CON-021  RMC 4500 PSI (GRN)</v>
      </c>
      <c r="B73" s="11" t="n">
        <f aca="false">'03 MASTER RATE LIBRARY'!S127</f>
        <v>544</v>
      </c>
      <c r="C73" s="10" t="str">
        <f aca="false">'03 MASTER RATE LIBRARY'!U127</f>
        <v>Market-derived + assumptions</v>
      </c>
    </row>
    <row r="74" customFormat="false" ht="15" hidden="false" customHeight="true" outlineLevel="0" collapsed="false">
      <c r="A74" s="9" t="str">
        <f aca="false">'03 MASTER RATE LIBRARY'!A128&amp;"  "&amp;'03 MASTER RATE LIBRARY'!D128</f>
        <v>CIV-CON-022  RMC 6500 PSI (GRN)</v>
      </c>
      <c r="B74" s="11" t="n">
        <f aca="false">'03 MASTER RATE LIBRARY'!S128</f>
        <v>660</v>
      </c>
      <c r="C74" s="10" t="str">
        <f aca="false">'03 MASTER RATE LIBRARY'!U128</f>
        <v>Market-derived + assumptions</v>
      </c>
    </row>
    <row r="75" customFormat="false" ht="15" hidden="false" customHeight="true" outlineLevel="0" collapsed="false">
      <c r="A75" s="9" t="str">
        <f aca="false">'03 MASTER RATE LIBRARY'!A129&amp;"  "&amp;'03 MASTER RATE LIBRARY'!D129</f>
        <v>CIV-CON-023  RMC Lean (GRN)</v>
      </c>
      <c r="B75" s="11" t="n">
        <f aca="false">'03 MASTER RATE LIBRARY'!S129</f>
        <v>471</v>
      </c>
      <c r="C75" s="10" t="str">
        <f aca="false">'03 MASTER RATE LIBRARY'!U129</f>
        <v>Market-derived + assumptions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4" min="3" style="1" width="16"/>
    <col collapsed="false" customWidth="true" hidden="false" outlineLevel="0" max="5" min="5" style="1" width="55"/>
    <col collapsed="false" customWidth="true" hidden="false" outlineLevel="0" max="6" min="6" style="1" width="36"/>
    <col collapsed="false" customWidth="true" hidden="false" outlineLevel="0" max="7" min="7" style="1" width="6"/>
    <col collapsed="false" customWidth="true" hidden="false" outlineLevel="0" max="8" min="8" style="1" width="8"/>
    <col collapsed="false" customWidth="true" hidden="false" outlineLevel="0" max="12" min="9" style="1" width="11"/>
    <col collapsed="false" customWidth="true" hidden="false" outlineLevel="0" max="14" min="13" style="1" width="10"/>
    <col collapsed="false" customWidth="true" hidden="false" outlineLevel="0" max="16" min="15" style="1" width="11"/>
    <col collapsed="false" customWidth="true" hidden="false" outlineLevel="0" max="17" min="17" style="1" width="10"/>
    <col collapsed="false" customWidth="true" hidden="false" outlineLevel="0" max="18" min="18" style="1" width="8"/>
    <col collapsed="false" customWidth="true" hidden="false" outlineLevel="0" max="19" min="19" style="1" width="12"/>
    <col collapsed="false" customWidth="true" hidden="false" outlineLevel="0" max="20" min="20" style="1" width="13"/>
    <col collapsed="false" customWidth="true" hidden="false" outlineLevel="0" max="21" min="21" style="1" width="28"/>
    <col collapsed="false" customWidth="true" hidden="false" outlineLevel="0" max="22" min="22" style="1" width="10"/>
    <col collapsed="false" customWidth="true" hidden="false" outlineLevel="0" max="23" min="23" style="1" width="8"/>
    <col collapsed="false" customWidth="true" hidden="false" outlineLevel="0" max="24" min="24" style="1" width="22"/>
    <col collapsed="false" customWidth="true" hidden="false" outlineLevel="0" max="25" min="25" style="1" width="16"/>
    <col collapsed="false" customWidth="true" hidden="false" outlineLevel="0" max="26" min="26" style="1" width="8"/>
    <col collapsed="false" customWidth="true" hidden="false" outlineLevel="0" max="27" min="27" style="1" width="36"/>
    <col collapsed="false" customWidth="true" hidden="false" outlineLevel="0" max="28" min="28" style="1" width="10"/>
  </cols>
  <sheetData>
    <row r="1" customFormat="false" ht="15.75" hidden="false" customHeight="true" outlineLevel="0" collapsed="false">
      <c r="A1" s="2" t="s">
        <v>73</v>
      </c>
    </row>
    <row r="2" customFormat="false" ht="15" hidden="false" customHeight="true" outlineLevel="0" collapsed="false">
      <c r="A2" s="3" t="s">
        <v>74</v>
      </c>
    </row>
    <row r="4" customFormat="false" ht="32.25" hidden="false" customHeight="true" outlineLevel="0" collapsed="false">
      <c r="A4" s="12" t="s">
        <v>75</v>
      </c>
      <c r="B4" s="12" t="s">
        <v>76</v>
      </c>
      <c r="C4" s="12" t="s">
        <v>77</v>
      </c>
      <c r="D4" s="12" t="s">
        <v>78</v>
      </c>
      <c r="E4" s="12" t="s">
        <v>79</v>
      </c>
      <c r="F4" s="12" t="s">
        <v>80</v>
      </c>
      <c r="G4" s="12" t="s">
        <v>81</v>
      </c>
      <c r="H4" s="12" t="s">
        <v>82</v>
      </c>
      <c r="I4" s="12" t="s">
        <v>83</v>
      </c>
      <c r="J4" s="12" t="s">
        <v>84</v>
      </c>
      <c r="K4" s="12" t="s">
        <v>85</v>
      </c>
      <c r="L4" s="12" t="s">
        <v>86</v>
      </c>
      <c r="M4" s="12" t="s">
        <v>87</v>
      </c>
      <c r="N4" s="12" t="s">
        <v>88</v>
      </c>
      <c r="O4" s="12" t="s">
        <v>89</v>
      </c>
      <c r="P4" s="12" t="s">
        <v>90</v>
      </c>
      <c r="Q4" s="12" t="s">
        <v>91</v>
      </c>
      <c r="R4" s="12" t="s">
        <v>92</v>
      </c>
      <c r="S4" s="12" t="s">
        <v>93</v>
      </c>
      <c r="T4" s="12" t="s">
        <v>94</v>
      </c>
      <c r="U4" s="12" t="s">
        <v>95</v>
      </c>
      <c r="V4" s="12" t="s">
        <v>96</v>
      </c>
      <c r="W4" s="12" t="s">
        <v>97</v>
      </c>
      <c r="X4" s="12" t="s">
        <v>98</v>
      </c>
      <c r="Y4" s="12" t="s">
        <v>99</v>
      </c>
      <c r="Z4" s="12" t="s">
        <v>100</v>
      </c>
      <c r="AA4" s="12" t="s">
        <v>101</v>
      </c>
      <c r="AB4" s="12" t="s">
        <v>102</v>
      </c>
    </row>
    <row r="5" customFormat="false" ht="60" hidden="false" customHeight="true" outlineLevel="0" collapsed="false">
      <c r="A5" s="9" t="s">
        <v>103</v>
      </c>
      <c r="B5" s="9" t="s">
        <v>104</v>
      </c>
      <c r="C5" s="9" t="s">
        <v>105</v>
      </c>
      <c r="D5" s="9" t="s">
        <v>106</v>
      </c>
      <c r="E5" s="5" t="s">
        <v>107</v>
      </c>
      <c r="F5" s="5" t="s">
        <v>108</v>
      </c>
      <c r="G5" s="9" t="s">
        <v>109</v>
      </c>
      <c r="H5" s="9" t="str">
        <f aca="false">City</f>
        <v>Lahore</v>
      </c>
      <c r="I5" s="9" t="s">
        <v>110</v>
      </c>
      <c r="J5" s="13" t="n">
        <f aca="false">'04 DETAILED RATE ANALYSIS'!J17</f>
        <v>761.310631209868</v>
      </c>
      <c r="K5" s="13" t="n">
        <f aca="false">'04 DETAILED RATE ANALYSIS'!J20</f>
        <v>145.04</v>
      </c>
      <c r="L5" s="13" t="n">
        <f aca="false">'04 DETAILED RATE ANALYSIS'!J21</f>
        <v>65.59</v>
      </c>
      <c r="M5" s="13" t="n">
        <f aca="false">'04 DETAILED RATE ANALYSIS'!J22</f>
        <v>0</v>
      </c>
      <c r="N5" s="13" t="n">
        <f aca="false">'04 DETAILED RATE ANALYSIS'!J18</f>
        <v>21.9578266192503</v>
      </c>
      <c r="O5" s="13" t="n">
        <f aca="false">'04 DETAILED RATE ANALYSIS'!J23</f>
        <v>993.898457829118</v>
      </c>
      <c r="P5" s="13" t="n">
        <f aca="false">'04 DETAILED RATE ANALYSIS'!J24+'04 DETAILED RATE ANALYSIS'!J25</f>
        <v>79.5118766263294</v>
      </c>
      <c r="Q5" s="13" t="n">
        <f aca="false">'04 DETAILED RATE ANALYSIS'!J26</f>
        <v>99.3898457829118</v>
      </c>
      <c r="R5" s="13" t="n">
        <f aca="false">'04 DETAILED RATE ANALYSIS'!J28</f>
        <v>0</v>
      </c>
      <c r="S5" s="14" t="n">
        <f aca="false">'04 DETAILED RATE ANALYSIS'!J29</f>
        <v>1173</v>
      </c>
      <c r="T5" s="13" t="n">
        <f aca="false">S5*100</f>
        <v>117300</v>
      </c>
      <c r="U5" s="15" t="str">
        <f aca="false">IF(W5&gt;0,"INCOMPLETE – "&amp;W5&amp;" blank/old input(s)","Market-derived + assumptions")</f>
        <v>INCOMPLETE – 1 blank/old input(s)</v>
      </c>
      <c r="V5" s="9" t="s">
        <v>111</v>
      </c>
      <c r="W5" s="13" t="n">
        <f aca="false">'04 DETAILED RATE ANALYSIS'!J30</f>
        <v>1</v>
      </c>
      <c r="X5" s="9" t="s">
        <v>112</v>
      </c>
      <c r="Y5" s="9" t="s">
        <v>113</v>
      </c>
      <c r="Z5" s="9" t="s">
        <v>114</v>
      </c>
      <c r="AA5" s="5" t="s">
        <v>115</v>
      </c>
      <c r="AB5" s="15" t="str">
        <f aca="false">IF(COUNTIF($A$5:$A$999,A5)&gt;1,"DUPLICATE","")</f>
        <v/>
      </c>
    </row>
    <row r="6" customFormat="false" ht="60" hidden="false" customHeight="true" outlineLevel="0" collapsed="false">
      <c r="A6" s="9" t="s">
        <v>116</v>
      </c>
      <c r="B6" s="9" t="s">
        <v>104</v>
      </c>
      <c r="C6" s="9" t="s">
        <v>117</v>
      </c>
      <c r="D6" s="9" t="s">
        <v>118</v>
      </c>
      <c r="E6" s="5" t="s">
        <v>119</v>
      </c>
      <c r="F6" s="5" t="s">
        <v>120</v>
      </c>
      <c r="G6" s="9" t="s">
        <v>109</v>
      </c>
      <c r="H6" s="9" t="str">
        <f aca="false">City</f>
        <v>Lahore</v>
      </c>
      <c r="I6" s="9" t="s">
        <v>110</v>
      </c>
      <c r="J6" s="13" t="n">
        <f aca="false">'04 DETAILED RATE ANALYSIS'!J44</f>
        <v>439.166304381019</v>
      </c>
      <c r="K6" s="13" t="n">
        <f aca="false">'04 DETAILED RATE ANALYSIS'!J47</f>
        <v>142.85</v>
      </c>
      <c r="L6" s="13" t="n">
        <f aca="false">'04 DETAILED RATE ANALYSIS'!J48</f>
        <v>74.9075</v>
      </c>
      <c r="M6" s="13" t="n">
        <f aca="false">'04 DETAILED RATE ANALYSIS'!J49</f>
        <v>0</v>
      </c>
      <c r="N6" s="13" t="n">
        <f aca="false">'04 DETAILED RATE ANALYSIS'!J45</f>
        <v>16.4025173994276</v>
      </c>
      <c r="O6" s="13" t="n">
        <f aca="false">'04 DETAILED RATE ANALYSIS'!J50</f>
        <v>673.326321780447</v>
      </c>
      <c r="P6" s="13" t="n">
        <f aca="false">'04 DETAILED RATE ANALYSIS'!J51+'04 DETAILED RATE ANALYSIS'!J52</f>
        <v>53.8661057424357</v>
      </c>
      <c r="Q6" s="13" t="n">
        <f aca="false">'04 DETAILED RATE ANALYSIS'!J53</f>
        <v>67.3326321780447</v>
      </c>
      <c r="R6" s="13" t="n">
        <f aca="false">'04 DETAILED RATE ANALYSIS'!J55</f>
        <v>0</v>
      </c>
      <c r="S6" s="14" t="n">
        <f aca="false">'04 DETAILED RATE ANALYSIS'!J56</f>
        <v>795</v>
      </c>
      <c r="T6" s="13" t="n">
        <f aca="false">S6*100</f>
        <v>79500</v>
      </c>
      <c r="U6" s="15" t="str">
        <f aca="false">IF(W6&gt;0,"INCOMPLETE – "&amp;W6&amp;" blank/old input(s)","Market-derived + assumptions")</f>
        <v>Market-derived + assumptions</v>
      </c>
      <c r="V6" s="9" t="s">
        <v>111</v>
      </c>
      <c r="W6" s="13" t="n">
        <f aca="false">'04 DETAILED RATE ANALYSIS'!J57</f>
        <v>0</v>
      </c>
      <c r="X6" s="9" t="s">
        <v>112</v>
      </c>
      <c r="Y6" s="9" t="s">
        <v>113</v>
      </c>
      <c r="Z6" s="9" t="s">
        <v>114</v>
      </c>
      <c r="AA6" s="5" t="s">
        <v>121</v>
      </c>
      <c r="AB6" s="15" t="str">
        <f aca="false">IF(COUNTIF($A$5:$A$999,A6)&gt;1,"DUPLICATE","")</f>
        <v/>
      </c>
    </row>
    <row r="7" customFormat="false" ht="60" hidden="false" customHeight="true" outlineLevel="0" collapsed="false">
      <c r="A7" s="9" t="s">
        <v>122</v>
      </c>
      <c r="B7" s="9" t="s">
        <v>104</v>
      </c>
      <c r="C7" s="9" t="s">
        <v>105</v>
      </c>
      <c r="D7" s="9" t="s">
        <v>123</v>
      </c>
      <c r="E7" s="5" t="s">
        <v>124</v>
      </c>
      <c r="F7" s="5" t="s">
        <v>125</v>
      </c>
      <c r="G7" s="9" t="s">
        <v>109</v>
      </c>
      <c r="H7" s="9" t="str">
        <f aca="false">City</f>
        <v>Lahore</v>
      </c>
      <c r="I7" s="9" t="s">
        <v>110</v>
      </c>
      <c r="J7" s="13" t="n">
        <f aca="false">'04 DETAILED RATE ANALYSIS'!J72</f>
        <v>735.20446624636</v>
      </c>
      <c r="K7" s="13" t="n">
        <f aca="false">'04 DETAILED RATE ANALYSIS'!J75</f>
        <v>145.04</v>
      </c>
      <c r="L7" s="13" t="n">
        <f aca="false">'04 DETAILED RATE ANALYSIS'!J76</f>
        <v>65.59</v>
      </c>
      <c r="M7" s="13" t="n">
        <f aca="false">'04 DETAILED RATE ANALYSIS'!J77</f>
        <v>0</v>
      </c>
      <c r="N7" s="13" t="n">
        <f aca="false">'04 DETAILED RATE ANALYSIS'!J73</f>
        <v>21.0509892757896</v>
      </c>
      <c r="O7" s="13" t="n">
        <f aca="false">'04 DETAILED RATE ANALYSIS'!J78</f>
        <v>966.88545552215</v>
      </c>
      <c r="P7" s="13" t="n">
        <f aca="false">'04 DETAILED RATE ANALYSIS'!J79+'04 DETAILED RATE ANALYSIS'!J80</f>
        <v>77.350836441772</v>
      </c>
      <c r="Q7" s="13" t="n">
        <f aca="false">'04 DETAILED RATE ANALYSIS'!J81</f>
        <v>96.688545552215</v>
      </c>
      <c r="R7" s="13" t="n">
        <f aca="false">'04 DETAILED RATE ANALYSIS'!J83</f>
        <v>0</v>
      </c>
      <c r="S7" s="14" t="n">
        <f aca="false">'04 DETAILED RATE ANALYSIS'!J84</f>
        <v>1141</v>
      </c>
      <c r="T7" s="13" t="n">
        <f aca="false">S7*100</f>
        <v>114100</v>
      </c>
      <c r="U7" s="15" t="str">
        <f aca="false">IF(W7&gt;0,"INCOMPLETE – "&amp;W7&amp;" blank/old input(s)","Market-derived + assumptions")</f>
        <v>INCOMPLETE – 1 blank/old input(s)</v>
      </c>
      <c r="V7" s="9" t="s">
        <v>111</v>
      </c>
      <c r="W7" s="13" t="n">
        <f aca="false">'04 DETAILED RATE ANALYSIS'!J85</f>
        <v>1</v>
      </c>
      <c r="X7" s="9" t="s">
        <v>112</v>
      </c>
      <c r="Y7" s="9" t="s">
        <v>113</v>
      </c>
      <c r="Z7" s="9" t="s">
        <v>114</v>
      </c>
      <c r="AA7" s="5" t="s">
        <v>126</v>
      </c>
      <c r="AB7" s="15" t="str">
        <f aca="false">IF(COUNTIF($A$5:$A$999,A7)&gt;1,"DUPLICATE","")</f>
        <v/>
      </c>
    </row>
    <row r="8" customFormat="false" ht="60" hidden="false" customHeight="true" outlineLevel="0" collapsed="false">
      <c r="A8" s="9" t="s">
        <v>127</v>
      </c>
      <c r="B8" s="9" t="s">
        <v>104</v>
      </c>
      <c r="C8" s="9" t="s">
        <v>117</v>
      </c>
      <c r="D8" s="9" t="s">
        <v>128</v>
      </c>
      <c r="E8" s="5" t="s">
        <v>129</v>
      </c>
      <c r="F8" s="5" t="s">
        <v>130</v>
      </c>
      <c r="G8" s="9" t="s">
        <v>109</v>
      </c>
      <c r="H8" s="9" t="str">
        <f aca="false">City</f>
        <v>Lahore</v>
      </c>
      <c r="I8" s="9" t="s">
        <v>110</v>
      </c>
      <c r="J8" s="13" t="n">
        <f aca="false">'04 DETAILED RATE ANALYSIS'!J99</f>
        <v>390.174156957134</v>
      </c>
      <c r="K8" s="13" t="n">
        <f aca="false">'04 DETAILED RATE ANALYSIS'!J102</f>
        <v>142.85</v>
      </c>
      <c r="L8" s="13" t="n">
        <f aca="false">'04 DETAILED RATE ANALYSIS'!J103</f>
        <v>74.9075</v>
      </c>
      <c r="M8" s="13" t="n">
        <f aca="false">'04 DETAILED RATE ANALYSIS'!J104</f>
        <v>0</v>
      </c>
      <c r="N8" s="13" t="n">
        <f aca="false">'04 DETAILED RATE ANALYSIS'!J100</f>
        <v>12.6120378775891</v>
      </c>
      <c r="O8" s="13" t="n">
        <f aca="false">'04 DETAILED RATE ANALYSIS'!J105</f>
        <v>620.543694834723</v>
      </c>
      <c r="P8" s="13" t="n">
        <f aca="false">'04 DETAILED RATE ANALYSIS'!J106+'04 DETAILED RATE ANALYSIS'!J107</f>
        <v>49.6434955867778</v>
      </c>
      <c r="Q8" s="13" t="n">
        <f aca="false">'04 DETAILED RATE ANALYSIS'!J108</f>
        <v>62.0543694834723</v>
      </c>
      <c r="R8" s="13" t="n">
        <f aca="false">'04 DETAILED RATE ANALYSIS'!J110</f>
        <v>0</v>
      </c>
      <c r="S8" s="14" t="n">
        <f aca="false">'04 DETAILED RATE ANALYSIS'!J111</f>
        <v>732</v>
      </c>
      <c r="T8" s="13" t="n">
        <f aca="false">S8*100</f>
        <v>73200</v>
      </c>
      <c r="U8" s="15" t="str">
        <f aca="false">IF(W8&gt;0,"INCOMPLETE – "&amp;W8&amp;" blank/old input(s)","Market-derived + assumptions")</f>
        <v>Market-derived + assumptions</v>
      </c>
      <c r="V8" s="9" t="s">
        <v>111</v>
      </c>
      <c r="W8" s="13" t="n">
        <f aca="false">'04 DETAILED RATE ANALYSIS'!J112</f>
        <v>0</v>
      </c>
      <c r="X8" s="9" t="s">
        <v>112</v>
      </c>
      <c r="Y8" s="9" t="s">
        <v>113</v>
      </c>
      <c r="Z8" s="9" t="s">
        <v>114</v>
      </c>
      <c r="AA8" s="5" t="s">
        <v>131</v>
      </c>
      <c r="AB8" s="15" t="str">
        <f aca="false">IF(COUNTIF($A$5:$A$999,A8)&gt;1,"DUPLICATE","")</f>
        <v/>
      </c>
    </row>
    <row r="9" customFormat="false" ht="60" hidden="false" customHeight="true" outlineLevel="0" collapsed="false">
      <c r="A9" s="9" t="s">
        <v>132</v>
      </c>
      <c r="B9" s="9" t="s">
        <v>104</v>
      </c>
      <c r="C9" s="9" t="s">
        <v>105</v>
      </c>
      <c r="D9" s="9" t="s">
        <v>133</v>
      </c>
      <c r="E9" s="5" t="s">
        <v>134</v>
      </c>
      <c r="F9" s="5" t="s">
        <v>135</v>
      </c>
      <c r="G9" s="9" t="s">
        <v>109</v>
      </c>
      <c r="H9" s="9" t="str">
        <f aca="false">City</f>
        <v>Lahore</v>
      </c>
      <c r="I9" s="9" t="s">
        <v>110</v>
      </c>
      <c r="J9" s="13" t="n">
        <f aca="false">'04 DETAILED RATE ANALYSIS'!J127</f>
        <v>678.250417391932</v>
      </c>
      <c r="K9" s="13" t="n">
        <f aca="false">'04 DETAILED RATE ANALYSIS'!J130</f>
        <v>145.04</v>
      </c>
      <c r="L9" s="13" t="n">
        <f aca="false">'04 DETAILED RATE ANALYSIS'!J131</f>
        <v>65.59</v>
      </c>
      <c r="M9" s="13" t="n">
        <f aca="false">'04 DETAILED RATE ANALYSIS'!J132</f>
        <v>0</v>
      </c>
      <c r="N9" s="13" t="n">
        <f aca="false">'04 DETAILED RATE ANALYSIS'!J128</f>
        <v>20.2612565343283</v>
      </c>
      <c r="O9" s="13" t="n">
        <f aca="false">'04 DETAILED RATE ANALYSIS'!J133</f>
        <v>909.14167392626</v>
      </c>
      <c r="P9" s="13" t="n">
        <f aca="false">'04 DETAILED RATE ANALYSIS'!J134+'04 DETAILED RATE ANALYSIS'!J135</f>
        <v>72.7313339141008</v>
      </c>
      <c r="Q9" s="13" t="n">
        <f aca="false">'04 DETAILED RATE ANALYSIS'!J136</f>
        <v>90.914167392626</v>
      </c>
      <c r="R9" s="13" t="n">
        <f aca="false">'04 DETAILED RATE ANALYSIS'!J138</f>
        <v>0</v>
      </c>
      <c r="S9" s="14" t="n">
        <f aca="false">'04 DETAILED RATE ANALYSIS'!J139</f>
        <v>1073</v>
      </c>
      <c r="T9" s="13" t="n">
        <f aca="false">S9*100</f>
        <v>107300</v>
      </c>
      <c r="U9" s="15" t="str">
        <f aca="false">IF(W9&gt;0,"INCOMPLETE – "&amp;W9&amp;" blank/old input(s)","Market-derived + assumptions")</f>
        <v>INCOMPLETE – 1 blank/old input(s)</v>
      </c>
      <c r="V9" s="9" t="s">
        <v>111</v>
      </c>
      <c r="W9" s="13" t="n">
        <f aca="false">'04 DETAILED RATE ANALYSIS'!J140</f>
        <v>1</v>
      </c>
      <c r="X9" s="9" t="s">
        <v>112</v>
      </c>
      <c r="Y9" s="9" t="s">
        <v>113</v>
      </c>
      <c r="Z9" s="9" t="s">
        <v>114</v>
      </c>
      <c r="AA9" s="5" t="s">
        <v>136</v>
      </c>
      <c r="AB9" s="15" t="str">
        <f aca="false">IF(COUNTIF($A$5:$A$999,A9)&gt;1,"DUPLICATE","")</f>
        <v/>
      </c>
    </row>
    <row r="10" customFormat="false" ht="60" hidden="false" customHeight="true" outlineLevel="0" collapsed="false">
      <c r="A10" s="9" t="s">
        <v>137</v>
      </c>
      <c r="B10" s="9" t="s">
        <v>104</v>
      </c>
      <c r="C10" s="9" t="s">
        <v>105</v>
      </c>
      <c r="D10" s="9" t="s">
        <v>138</v>
      </c>
      <c r="E10" s="5" t="s">
        <v>139</v>
      </c>
      <c r="F10" s="5" t="s">
        <v>140</v>
      </c>
      <c r="G10" s="9" t="s">
        <v>109</v>
      </c>
      <c r="H10" s="9" t="str">
        <f aca="false">City</f>
        <v>Lahore</v>
      </c>
      <c r="I10" s="9" t="s">
        <v>110</v>
      </c>
      <c r="J10" s="13" t="n">
        <f aca="false">'04 DETAILED RATE ANALYSIS'!J155</f>
        <v>658.045443112825</v>
      </c>
      <c r="K10" s="13" t="n">
        <f aca="false">'04 DETAILED RATE ANALYSIS'!J158</f>
        <v>145.04</v>
      </c>
      <c r="L10" s="13" t="n">
        <f aca="false">'04 DETAILED RATE ANALYSIS'!J159</f>
        <v>65.59</v>
      </c>
      <c r="M10" s="13" t="n">
        <f aca="false">'04 DETAILED RATE ANALYSIS'!J160</f>
        <v>0</v>
      </c>
      <c r="N10" s="13" t="n">
        <f aca="false">'04 DETAILED RATE ANALYSIS'!J156</f>
        <v>19.9847923312041</v>
      </c>
      <c r="O10" s="13" t="n">
        <f aca="false">'04 DETAILED RATE ANALYSIS'!J161</f>
        <v>888.660235444029</v>
      </c>
      <c r="P10" s="13" t="n">
        <f aca="false">'04 DETAILED RATE ANALYSIS'!J162+'04 DETAILED RATE ANALYSIS'!J163</f>
        <v>71.0928188355223</v>
      </c>
      <c r="Q10" s="13" t="n">
        <f aca="false">'04 DETAILED RATE ANALYSIS'!J164</f>
        <v>88.8660235444029</v>
      </c>
      <c r="R10" s="13" t="n">
        <f aca="false">'04 DETAILED RATE ANALYSIS'!J166</f>
        <v>0</v>
      </c>
      <c r="S10" s="14" t="n">
        <f aca="false">'04 DETAILED RATE ANALYSIS'!J167</f>
        <v>1049</v>
      </c>
      <c r="T10" s="13" t="n">
        <f aca="false">S10*100</f>
        <v>104900</v>
      </c>
      <c r="U10" s="15" t="str">
        <f aca="false">IF(W10&gt;0,"INCOMPLETE – "&amp;W10&amp;" blank/old input(s)","Market-derived + assumptions")</f>
        <v>INCOMPLETE – 1 blank/old input(s)</v>
      </c>
      <c r="V10" s="9" t="s">
        <v>111</v>
      </c>
      <c r="W10" s="13" t="n">
        <f aca="false">'04 DETAILED RATE ANALYSIS'!J168</f>
        <v>1</v>
      </c>
      <c r="X10" s="9" t="s">
        <v>112</v>
      </c>
      <c r="Y10" s="9" t="s">
        <v>113</v>
      </c>
      <c r="Z10" s="9" t="s">
        <v>114</v>
      </c>
      <c r="AA10" s="5" t="s">
        <v>141</v>
      </c>
      <c r="AB10" s="15" t="str">
        <f aca="false">IF(COUNTIF($A$5:$A$999,A10)&gt;1,"DUPLICATE","")</f>
        <v/>
      </c>
    </row>
    <row r="11" customFormat="false" ht="60" hidden="false" customHeight="true" outlineLevel="0" collapsed="false">
      <c r="A11" s="9" t="s">
        <v>142</v>
      </c>
      <c r="B11" s="9" t="s">
        <v>104</v>
      </c>
      <c r="C11" s="9" t="s">
        <v>117</v>
      </c>
      <c r="D11" s="9" t="s">
        <v>143</v>
      </c>
      <c r="E11" s="5" t="s">
        <v>144</v>
      </c>
      <c r="F11" s="5" t="s">
        <v>145</v>
      </c>
      <c r="G11" s="9" t="s">
        <v>109</v>
      </c>
      <c r="H11" s="9" t="str">
        <f aca="false">City</f>
        <v>Lahore</v>
      </c>
      <c r="I11" s="9" t="s">
        <v>110</v>
      </c>
      <c r="J11" s="13" t="n">
        <f aca="false">'04 DETAILED RATE ANALYSIS'!J181</f>
        <v>432.692590217455</v>
      </c>
      <c r="K11" s="13" t="n">
        <f aca="false">'04 DETAILED RATE ANALYSIS'!J184</f>
        <v>142.85</v>
      </c>
      <c r="L11" s="13" t="n">
        <f aca="false">'04 DETAILED RATE ANALYSIS'!J185</f>
        <v>74.9075</v>
      </c>
      <c r="M11" s="13" t="n">
        <f aca="false">'04 DETAILED RATE ANALYSIS'!J186</f>
        <v>0</v>
      </c>
      <c r="N11" s="13" t="n">
        <f aca="false">'04 DETAILED RATE ANALYSIS'!J182</f>
        <v>16.6431528012592</v>
      </c>
      <c r="O11" s="13" t="n">
        <f aca="false">'04 DETAILED RATE ANALYSIS'!J187</f>
        <v>667.093243018714</v>
      </c>
      <c r="P11" s="13" t="n">
        <f aca="false">'04 DETAILED RATE ANALYSIS'!J188+'04 DETAILED RATE ANALYSIS'!J189</f>
        <v>53.3674594414971</v>
      </c>
      <c r="Q11" s="13" t="n">
        <f aca="false">'04 DETAILED RATE ANALYSIS'!J190</f>
        <v>66.7093243018714</v>
      </c>
      <c r="R11" s="13" t="n">
        <f aca="false">'04 DETAILED RATE ANALYSIS'!J192</f>
        <v>0</v>
      </c>
      <c r="S11" s="14" t="n">
        <f aca="false">'04 DETAILED RATE ANALYSIS'!J193</f>
        <v>787</v>
      </c>
      <c r="T11" s="13" t="n">
        <f aca="false">S11*100</f>
        <v>78700</v>
      </c>
      <c r="U11" s="15" t="str">
        <f aca="false">IF(W11&gt;0,"INCOMPLETE – "&amp;W11&amp;" blank/old input(s)","Market-derived + assumptions")</f>
        <v>Market-derived + assumptions</v>
      </c>
      <c r="V11" s="9" t="s">
        <v>111</v>
      </c>
      <c r="W11" s="13" t="n">
        <f aca="false">'04 DETAILED RATE ANALYSIS'!J194</f>
        <v>0</v>
      </c>
      <c r="X11" s="9" t="s">
        <v>112</v>
      </c>
      <c r="Y11" s="9" t="s">
        <v>113</v>
      </c>
      <c r="Z11" s="9" t="s">
        <v>114</v>
      </c>
      <c r="AA11" s="5" t="s">
        <v>146</v>
      </c>
      <c r="AB11" s="15" t="str">
        <f aca="false">IF(COUNTIF($A$5:$A$999,A11)&gt;1,"DUPLICATE","")</f>
        <v/>
      </c>
    </row>
    <row r="12" customFormat="false" ht="60" hidden="false" customHeight="true" outlineLevel="0" collapsed="false">
      <c r="A12" s="9" t="s">
        <v>147</v>
      </c>
      <c r="B12" s="9" t="s">
        <v>104</v>
      </c>
      <c r="C12" s="9" t="s">
        <v>105</v>
      </c>
      <c r="D12" s="9" t="s">
        <v>138</v>
      </c>
      <c r="E12" s="5" t="s">
        <v>148</v>
      </c>
      <c r="F12" s="5" t="s">
        <v>149</v>
      </c>
      <c r="G12" s="9" t="s">
        <v>109</v>
      </c>
      <c r="H12" s="9" t="str">
        <f aca="false">City</f>
        <v>Lahore</v>
      </c>
      <c r="I12" s="9" t="s">
        <v>110</v>
      </c>
      <c r="J12" s="13" t="n">
        <f aca="false">'04 DETAILED RATE ANALYSIS'!J210</f>
        <v>589.954143798253</v>
      </c>
      <c r="K12" s="13" t="n">
        <f aca="false">'04 DETAILED RATE ANALYSIS'!J213</f>
        <v>145.04</v>
      </c>
      <c r="L12" s="13" t="n">
        <f aca="false">'04 DETAILED RATE ANALYSIS'!J214</f>
        <v>65.59</v>
      </c>
      <c r="M12" s="13" t="n">
        <f aca="false">'04 DETAILED RATE ANALYSIS'!J215</f>
        <v>0</v>
      </c>
      <c r="N12" s="13" t="n">
        <f aca="false">'04 DETAILED RATE ANALYSIS'!J211</f>
        <v>19.2536749090121</v>
      </c>
      <c r="O12" s="13" t="n">
        <f aca="false">'04 DETAILED RATE ANALYSIS'!J216</f>
        <v>819.837818707265</v>
      </c>
      <c r="P12" s="13" t="n">
        <f aca="false">'04 DETAILED RATE ANALYSIS'!J217+'04 DETAILED RATE ANALYSIS'!J218</f>
        <v>65.5870254965812</v>
      </c>
      <c r="Q12" s="13" t="n">
        <f aca="false">'04 DETAILED RATE ANALYSIS'!J219</f>
        <v>81.9837818707265</v>
      </c>
      <c r="R12" s="13" t="n">
        <f aca="false">'04 DETAILED RATE ANALYSIS'!J221</f>
        <v>0</v>
      </c>
      <c r="S12" s="14" t="n">
        <f aca="false">'04 DETAILED RATE ANALYSIS'!J222</f>
        <v>967</v>
      </c>
      <c r="T12" s="13" t="n">
        <f aca="false">S12*100</f>
        <v>96700</v>
      </c>
      <c r="U12" s="15" t="str">
        <f aca="false">IF(W12&gt;0,"INCOMPLETE – "&amp;W12&amp;" blank/old input(s)","Market-derived + assumptions")</f>
        <v>INCOMPLETE – 1 blank/old input(s)</v>
      </c>
      <c r="V12" s="9" t="s">
        <v>111</v>
      </c>
      <c r="W12" s="13" t="n">
        <f aca="false">'04 DETAILED RATE ANALYSIS'!J223</f>
        <v>1</v>
      </c>
      <c r="X12" s="9" t="s">
        <v>112</v>
      </c>
      <c r="Y12" s="9" t="s">
        <v>113</v>
      </c>
      <c r="Z12" s="9" t="s">
        <v>114</v>
      </c>
      <c r="AA12" s="5" t="s">
        <v>150</v>
      </c>
      <c r="AB12" s="15" t="str">
        <f aca="false">IF(COUNTIF($A$5:$A$999,A12)&gt;1,"DUPLICATE","")</f>
        <v/>
      </c>
    </row>
    <row r="13" customFormat="false" ht="60" hidden="false" customHeight="true" outlineLevel="0" collapsed="false">
      <c r="A13" s="9" t="s">
        <v>151</v>
      </c>
      <c r="B13" s="9" t="s">
        <v>104</v>
      </c>
      <c r="C13" s="9" t="s">
        <v>105</v>
      </c>
      <c r="D13" s="9" t="s">
        <v>133</v>
      </c>
      <c r="E13" s="5" t="s">
        <v>152</v>
      </c>
      <c r="F13" s="5" t="s">
        <v>153</v>
      </c>
      <c r="G13" s="9" t="s">
        <v>109</v>
      </c>
      <c r="H13" s="9" t="str">
        <f aca="false">City</f>
        <v>Lahore</v>
      </c>
      <c r="I13" s="9" t="s">
        <v>110</v>
      </c>
      <c r="J13" s="13" t="n">
        <f aca="false">'04 DETAILED RATE ANALYSIS'!J239</f>
        <v>628.875497552837</v>
      </c>
      <c r="K13" s="13" t="n">
        <f aca="false">'04 DETAILED RATE ANALYSIS'!J242</f>
        <v>145.04</v>
      </c>
      <c r="L13" s="13" t="n">
        <f aca="false">'04 DETAILED RATE ANALYSIS'!J243</f>
        <v>65.59</v>
      </c>
      <c r="M13" s="13" t="n">
        <f aca="false">'04 DETAILED RATE ANALYSIS'!J244</f>
        <v>0</v>
      </c>
      <c r="N13" s="13" t="n">
        <f aca="false">'04 DETAILED RATE ANALYSIS'!J240</f>
        <v>19.8225827496509</v>
      </c>
      <c r="O13" s="13" t="n">
        <f aca="false">'04 DETAILED RATE ANALYSIS'!J245</f>
        <v>859.328080302488</v>
      </c>
      <c r="P13" s="13" t="n">
        <f aca="false">'04 DETAILED RATE ANALYSIS'!J246+'04 DETAILED RATE ANALYSIS'!J247</f>
        <v>68.746246424199</v>
      </c>
      <c r="Q13" s="13" t="n">
        <f aca="false">'04 DETAILED RATE ANALYSIS'!J248</f>
        <v>85.9328080302488</v>
      </c>
      <c r="R13" s="13" t="n">
        <f aca="false">'04 DETAILED RATE ANALYSIS'!J250</f>
        <v>0</v>
      </c>
      <c r="S13" s="14" t="n">
        <f aca="false">'04 DETAILED RATE ANALYSIS'!J251</f>
        <v>1014</v>
      </c>
      <c r="T13" s="13" t="n">
        <f aca="false">S13*100</f>
        <v>101400</v>
      </c>
      <c r="U13" s="15" t="str">
        <f aca="false">IF(W13&gt;0,"INCOMPLETE – "&amp;W13&amp;" blank/old input(s)","Market-derived + assumptions")</f>
        <v>INCOMPLETE – 1 blank/old input(s)</v>
      </c>
      <c r="V13" s="9" t="s">
        <v>111</v>
      </c>
      <c r="W13" s="13" t="n">
        <f aca="false">'04 DETAILED RATE ANALYSIS'!J252</f>
        <v>1</v>
      </c>
      <c r="X13" s="9" t="s">
        <v>112</v>
      </c>
      <c r="Y13" s="9" t="s">
        <v>113</v>
      </c>
      <c r="Z13" s="9" t="s">
        <v>114</v>
      </c>
      <c r="AA13" s="5"/>
      <c r="AB13" s="15" t="str">
        <f aca="false">IF(COUNTIF($A$5:$A$999,A13)&gt;1,"DUPLICATE","")</f>
        <v/>
      </c>
    </row>
    <row r="14" customFormat="false" ht="60" hidden="false" customHeight="true" outlineLevel="0" collapsed="false">
      <c r="A14" s="9" t="s">
        <v>154</v>
      </c>
      <c r="B14" s="9" t="s">
        <v>104</v>
      </c>
      <c r="C14" s="9" t="s">
        <v>105</v>
      </c>
      <c r="D14" s="9" t="s">
        <v>123</v>
      </c>
      <c r="E14" s="5" t="s">
        <v>155</v>
      </c>
      <c r="F14" s="5" t="s">
        <v>156</v>
      </c>
      <c r="G14" s="9" t="s">
        <v>109</v>
      </c>
      <c r="H14" s="9" t="str">
        <f aca="false">City</f>
        <v>Lahore</v>
      </c>
      <c r="I14" s="9" t="s">
        <v>110</v>
      </c>
      <c r="J14" s="13" t="n">
        <f aca="false">'04 DETAILED RATE ANALYSIS'!J268</f>
        <v>727.64087248378</v>
      </c>
      <c r="K14" s="13" t="n">
        <f aca="false">'04 DETAILED RATE ANALYSIS'!J271</f>
        <v>145.04</v>
      </c>
      <c r="L14" s="13" t="n">
        <f aca="false">'04 DETAILED RATE ANALYSIS'!J272</f>
        <v>65.59</v>
      </c>
      <c r="M14" s="13" t="n">
        <f aca="false">'04 DETAILED RATE ANALYSIS'!J273</f>
        <v>0</v>
      </c>
      <c r="N14" s="13" t="n">
        <f aca="false">'04 DETAILED RATE ANALYSIS'!J269</f>
        <v>21.320018988765</v>
      </c>
      <c r="O14" s="13" t="n">
        <f aca="false">'04 DETAILED RATE ANALYSIS'!J274</f>
        <v>959.590891472545</v>
      </c>
      <c r="P14" s="13" t="n">
        <f aca="false">'04 DETAILED RATE ANALYSIS'!J275+'04 DETAILED RATE ANALYSIS'!J276</f>
        <v>76.7672713178036</v>
      </c>
      <c r="Q14" s="13" t="n">
        <f aca="false">'04 DETAILED RATE ANALYSIS'!J277</f>
        <v>95.9590891472546</v>
      </c>
      <c r="R14" s="13" t="n">
        <f aca="false">'04 DETAILED RATE ANALYSIS'!J279</f>
        <v>0</v>
      </c>
      <c r="S14" s="14" t="n">
        <f aca="false">'04 DETAILED RATE ANALYSIS'!J280</f>
        <v>1132</v>
      </c>
      <c r="T14" s="13" t="n">
        <f aca="false">S14*100</f>
        <v>113200</v>
      </c>
      <c r="U14" s="15" t="str">
        <f aca="false">IF(W14&gt;0,"INCOMPLETE – "&amp;W14&amp;" blank/old input(s)","Market-derived + assumptions")</f>
        <v>INCOMPLETE – 1 blank/old input(s)</v>
      </c>
      <c r="V14" s="9" t="s">
        <v>111</v>
      </c>
      <c r="W14" s="13" t="n">
        <f aca="false">'04 DETAILED RATE ANALYSIS'!J281</f>
        <v>1</v>
      </c>
      <c r="X14" s="9" t="s">
        <v>112</v>
      </c>
      <c r="Y14" s="9" t="s">
        <v>113</v>
      </c>
      <c r="Z14" s="9" t="s">
        <v>114</v>
      </c>
      <c r="AA14" s="5"/>
      <c r="AB14" s="15" t="str">
        <f aca="false">IF(COUNTIF($A$5:$A$999,A14)&gt;1,"DUPLICATE","")</f>
        <v/>
      </c>
    </row>
    <row r="15" customFormat="false" ht="60" hidden="false" customHeight="true" outlineLevel="0" collapsed="false">
      <c r="A15" s="9" t="s">
        <v>157</v>
      </c>
      <c r="B15" s="9" t="s">
        <v>104</v>
      </c>
      <c r="C15" s="9" t="s">
        <v>105</v>
      </c>
      <c r="D15" s="9" t="s">
        <v>158</v>
      </c>
      <c r="E15" s="5" t="s">
        <v>159</v>
      </c>
      <c r="F15" s="5" t="s">
        <v>160</v>
      </c>
      <c r="G15" s="9" t="s">
        <v>109</v>
      </c>
      <c r="H15" s="9" t="str">
        <f aca="false">City</f>
        <v>Lahore</v>
      </c>
      <c r="I15" s="9" t="s">
        <v>110</v>
      </c>
      <c r="J15" s="13" t="n">
        <f aca="false">'04 DETAILED RATE ANALYSIS'!J297</f>
        <v>551.827703053471</v>
      </c>
      <c r="K15" s="13" t="n">
        <f aca="false">'04 DETAILED RATE ANALYSIS'!J300</f>
        <v>145.04</v>
      </c>
      <c r="L15" s="13" t="n">
        <f aca="false">'04 DETAILED RATE ANALYSIS'!J301</f>
        <v>65.59</v>
      </c>
      <c r="M15" s="13" t="n">
        <f aca="false">'04 DETAILED RATE ANALYSIS'!J302</f>
        <v>0</v>
      </c>
      <c r="N15" s="13" t="n">
        <f aca="false">'04 DETAILED RATE ANALYSIS'!J298</f>
        <v>18.1974137524187</v>
      </c>
      <c r="O15" s="13" t="n">
        <f aca="false">'04 DETAILED RATE ANALYSIS'!J303</f>
        <v>780.65511680589</v>
      </c>
      <c r="P15" s="13" t="n">
        <f aca="false">'04 DETAILED RATE ANALYSIS'!J304+'04 DETAILED RATE ANALYSIS'!J305</f>
        <v>62.4524093444712</v>
      </c>
      <c r="Q15" s="13" t="n">
        <f aca="false">'04 DETAILED RATE ANALYSIS'!J306</f>
        <v>78.065511680589</v>
      </c>
      <c r="R15" s="13" t="n">
        <f aca="false">'04 DETAILED RATE ANALYSIS'!J308</f>
        <v>0</v>
      </c>
      <c r="S15" s="14" t="n">
        <f aca="false">'04 DETAILED RATE ANALYSIS'!J309</f>
        <v>921</v>
      </c>
      <c r="T15" s="13" t="n">
        <f aca="false">S15*100</f>
        <v>92100</v>
      </c>
      <c r="U15" s="15" t="str">
        <f aca="false">IF(W15&gt;0,"INCOMPLETE – "&amp;W15&amp;" blank/old input(s)","Market-derived + assumptions")</f>
        <v>INCOMPLETE – 1 blank/old input(s)</v>
      </c>
      <c r="V15" s="9" t="s">
        <v>111</v>
      </c>
      <c r="W15" s="13" t="n">
        <f aca="false">'04 DETAILED RATE ANALYSIS'!J310</f>
        <v>1</v>
      </c>
      <c r="X15" s="9" t="s">
        <v>112</v>
      </c>
      <c r="Y15" s="9" t="s">
        <v>113</v>
      </c>
      <c r="Z15" s="9" t="s">
        <v>114</v>
      </c>
      <c r="AA15" s="5" t="s">
        <v>161</v>
      </c>
      <c r="AB15" s="15" t="str">
        <f aca="false">IF(COUNTIF($A$5:$A$999,A15)&gt;1,"DUPLICATE","")</f>
        <v/>
      </c>
    </row>
    <row r="16" customFormat="false" ht="60" hidden="false" customHeight="true" outlineLevel="0" collapsed="false">
      <c r="A16" s="9" t="s">
        <v>162</v>
      </c>
      <c r="B16" s="9" t="s">
        <v>104</v>
      </c>
      <c r="C16" s="9" t="s">
        <v>105</v>
      </c>
      <c r="D16" s="9" t="s">
        <v>138</v>
      </c>
      <c r="E16" s="5" t="s">
        <v>163</v>
      </c>
      <c r="F16" s="5" t="s">
        <v>164</v>
      </c>
      <c r="G16" s="9" t="s">
        <v>109</v>
      </c>
      <c r="H16" s="9" t="str">
        <f aca="false">City</f>
        <v>Lahore</v>
      </c>
      <c r="I16" s="9" t="s">
        <v>110</v>
      </c>
      <c r="J16" s="13" t="n">
        <f aca="false">'04 DETAILED RATE ANALYSIS'!J326</f>
        <v>639.947010241163</v>
      </c>
      <c r="K16" s="13" t="n">
        <f aca="false">'04 DETAILED RATE ANALYSIS'!J329</f>
        <v>145.04</v>
      </c>
      <c r="L16" s="13" t="n">
        <f aca="false">'04 DETAILED RATE ANALYSIS'!J330</f>
        <v>65.59</v>
      </c>
      <c r="M16" s="13" t="n">
        <f aca="false">'04 DETAILED RATE ANALYSIS'!J331</f>
        <v>0</v>
      </c>
      <c r="N16" s="13" t="n">
        <f aca="false">'04 DETAILED RATE ANALYSIS'!J327</f>
        <v>19.5565718061259</v>
      </c>
      <c r="O16" s="13" t="n">
        <f aca="false">'04 DETAILED RATE ANALYSIS'!J332</f>
        <v>870.133582047289</v>
      </c>
      <c r="P16" s="13" t="n">
        <f aca="false">'04 DETAILED RATE ANALYSIS'!J333+'04 DETAILED RATE ANALYSIS'!J334</f>
        <v>69.6106865637831</v>
      </c>
      <c r="Q16" s="13" t="n">
        <f aca="false">'04 DETAILED RATE ANALYSIS'!J335</f>
        <v>87.0133582047289</v>
      </c>
      <c r="R16" s="13" t="n">
        <f aca="false">'04 DETAILED RATE ANALYSIS'!J337</f>
        <v>0</v>
      </c>
      <c r="S16" s="14" t="n">
        <f aca="false">'04 DETAILED RATE ANALYSIS'!J338</f>
        <v>1027</v>
      </c>
      <c r="T16" s="13" t="n">
        <f aca="false">S16*100</f>
        <v>102700</v>
      </c>
      <c r="U16" s="15" t="str">
        <f aca="false">IF(W16&gt;0,"INCOMPLETE – "&amp;W16&amp;" blank/old input(s)","Market-derived + assumptions")</f>
        <v>INCOMPLETE – 1 blank/old input(s)</v>
      </c>
      <c r="V16" s="9" t="s">
        <v>111</v>
      </c>
      <c r="W16" s="13" t="n">
        <f aca="false">'04 DETAILED RATE ANALYSIS'!J339</f>
        <v>1</v>
      </c>
      <c r="X16" s="9" t="s">
        <v>112</v>
      </c>
      <c r="Y16" s="9" t="s">
        <v>113</v>
      </c>
      <c r="Z16" s="9" t="s">
        <v>114</v>
      </c>
      <c r="AA16" s="5" t="s">
        <v>165</v>
      </c>
      <c r="AB16" s="15" t="str">
        <f aca="false">IF(COUNTIF($A$5:$A$999,A16)&gt;1,"DUPLICATE","")</f>
        <v/>
      </c>
    </row>
    <row r="17" customFormat="false" ht="60" hidden="false" customHeight="true" outlineLevel="0" collapsed="false">
      <c r="A17" s="9" t="s">
        <v>166</v>
      </c>
      <c r="B17" s="9" t="s">
        <v>104</v>
      </c>
      <c r="C17" s="9" t="s">
        <v>105</v>
      </c>
      <c r="D17" s="9" t="s">
        <v>133</v>
      </c>
      <c r="E17" s="5" t="s">
        <v>167</v>
      </c>
      <c r="F17" s="5" t="s">
        <v>168</v>
      </c>
      <c r="G17" s="9" t="s">
        <v>109</v>
      </c>
      <c r="H17" s="9" t="str">
        <f aca="false">City</f>
        <v>Lahore</v>
      </c>
      <c r="I17" s="9" t="s">
        <v>110</v>
      </c>
      <c r="J17" s="13" t="n">
        <f aca="false">'04 DETAILED RATE ANALYSIS'!J355</f>
        <v>676.901581009014</v>
      </c>
      <c r="K17" s="13" t="n">
        <f aca="false">'04 DETAILED RATE ANALYSIS'!J358</f>
        <v>145.04</v>
      </c>
      <c r="L17" s="13" t="n">
        <f aca="false">'04 DETAILED RATE ANALYSIS'!J359</f>
        <v>65.59</v>
      </c>
      <c r="M17" s="13" t="n">
        <f aca="false">'04 DETAILED RATE ANALYSIS'!J360</f>
        <v>0</v>
      </c>
      <c r="N17" s="13" t="n">
        <f aca="false">'04 DETAILED RATE ANALYSIS'!J356</f>
        <v>20.1983198829582</v>
      </c>
      <c r="O17" s="13" t="n">
        <f aca="false">'04 DETAILED RATE ANALYSIS'!J361</f>
        <v>907.729900891973</v>
      </c>
      <c r="P17" s="13" t="n">
        <f aca="false">'04 DETAILED RATE ANALYSIS'!J362+'04 DETAILED RATE ANALYSIS'!J363</f>
        <v>72.6183920713578</v>
      </c>
      <c r="Q17" s="13" t="n">
        <f aca="false">'04 DETAILED RATE ANALYSIS'!J364</f>
        <v>90.7729900891973</v>
      </c>
      <c r="R17" s="13" t="n">
        <f aca="false">'04 DETAILED RATE ANALYSIS'!J366</f>
        <v>0</v>
      </c>
      <c r="S17" s="14" t="n">
        <f aca="false">'04 DETAILED RATE ANALYSIS'!J367</f>
        <v>1071</v>
      </c>
      <c r="T17" s="13" t="n">
        <f aca="false">S17*100</f>
        <v>107100</v>
      </c>
      <c r="U17" s="15" t="str">
        <f aca="false">IF(W17&gt;0,"INCOMPLETE – "&amp;W17&amp;" blank/old input(s)","Market-derived + assumptions")</f>
        <v>INCOMPLETE – 1 blank/old input(s)</v>
      </c>
      <c r="V17" s="9" t="s">
        <v>111</v>
      </c>
      <c r="W17" s="13" t="n">
        <f aca="false">'04 DETAILED RATE ANALYSIS'!J368</f>
        <v>1</v>
      </c>
      <c r="X17" s="9" t="s">
        <v>112</v>
      </c>
      <c r="Y17" s="9" t="s">
        <v>113</v>
      </c>
      <c r="Z17" s="9" t="s">
        <v>114</v>
      </c>
      <c r="AA17" s="5" t="s">
        <v>169</v>
      </c>
      <c r="AB17" s="15" t="str">
        <f aca="false">IF(COUNTIF($A$5:$A$999,A17)&gt;1,"DUPLICATE","")</f>
        <v/>
      </c>
    </row>
    <row r="18" customFormat="false" ht="60" hidden="false" customHeight="true" outlineLevel="0" collapsed="false">
      <c r="A18" s="9" t="s">
        <v>170</v>
      </c>
      <c r="B18" s="9" t="s">
        <v>104</v>
      </c>
      <c r="C18" s="9" t="s">
        <v>105</v>
      </c>
      <c r="D18" s="9" t="s">
        <v>106</v>
      </c>
      <c r="E18" s="5" t="s">
        <v>171</v>
      </c>
      <c r="F18" s="5" t="s">
        <v>172</v>
      </c>
      <c r="G18" s="9" t="s">
        <v>109</v>
      </c>
      <c r="H18" s="9" t="str">
        <f aca="false">City</f>
        <v>Lahore</v>
      </c>
      <c r="I18" s="9" t="s">
        <v>110</v>
      </c>
      <c r="J18" s="13" t="n">
        <f aca="false">'04 DETAILED RATE ANALYSIS'!J384</f>
        <v>717.226183397046</v>
      </c>
      <c r="K18" s="13" t="n">
        <f aca="false">'04 DETAILED RATE ANALYSIS'!J387</f>
        <v>145.04</v>
      </c>
      <c r="L18" s="13" t="n">
        <f aca="false">'04 DETAILED RATE ANALYSIS'!J388</f>
        <v>65.59</v>
      </c>
      <c r="M18" s="13" t="n">
        <f aca="false">'04 DETAILED RATE ANALYSIS'!J389</f>
        <v>0</v>
      </c>
      <c r="N18" s="13" t="n">
        <f aca="false">'04 DETAILED RATE ANALYSIS'!J385</f>
        <v>20.7491528623342</v>
      </c>
      <c r="O18" s="13" t="n">
        <f aca="false">'04 DETAILED RATE ANALYSIS'!J390</f>
        <v>948.60533625938</v>
      </c>
      <c r="P18" s="13" t="n">
        <f aca="false">'04 DETAILED RATE ANALYSIS'!J391+'04 DETAILED RATE ANALYSIS'!J392</f>
        <v>75.8884269007504</v>
      </c>
      <c r="Q18" s="13" t="n">
        <f aca="false">'04 DETAILED RATE ANALYSIS'!J393</f>
        <v>94.860533625938</v>
      </c>
      <c r="R18" s="13" t="n">
        <f aca="false">'04 DETAILED RATE ANALYSIS'!J395</f>
        <v>0</v>
      </c>
      <c r="S18" s="14" t="n">
        <f aca="false">'04 DETAILED RATE ANALYSIS'!J396</f>
        <v>1119</v>
      </c>
      <c r="T18" s="13" t="n">
        <f aca="false">S18*100</f>
        <v>111900</v>
      </c>
      <c r="U18" s="15" t="str">
        <f aca="false">IF(W18&gt;0,"INCOMPLETE – "&amp;W18&amp;" blank/old input(s)","Market-derived + assumptions")</f>
        <v>INCOMPLETE – 1 blank/old input(s)</v>
      </c>
      <c r="V18" s="9" t="s">
        <v>111</v>
      </c>
      <c r="W18" s="13" t="n">
        <f aca="false">'04 DETAILED RATE ANALYSIS'!J397</f>
        <v>1</v>
      </c>
      <c r="X18" s="9" t="s">
        <v>112</v>
      </c>
      <c r="Y18" s="9" t="s">
        <v>113</v>
      </c>
      <c r="Z18" s="9" t="s">
        <v>114</v>
      </c>
      <c r="AA18" s="5" t="s">
        <v>173</v>
      </c>
      <c r="AB18" s="15" t="str">
        <f aca="false">IF(COUNTIF($A$5:$A$999,A18)&gt;1,"DUPLICATE","")</f>
        <v/>
      </c>
    </row>
    <row r="19" customFormat="false" ht="60" hidden="false" customHeight="true" outlineLevel="0" collapsed="false">
      <c r="A19" s="9" t="s">
        <v>174</v>
      </c>
      <c r="B19" s="9" t="s">
        <v>104</v>
      </c>
      <c r="C19" s="9" t="s">
        <v>105</v>
      </c>
      <c r="D19" s="9" t="s">
        <v>175</v>
      </c>
      <c r="E19" s="5" t="s">
        <v>176</v>
      </c>
      <c r="F19" s="5" t="s">
        <v>177</v>
      </c>
      <c r="G19" s="9" t="s">
        <v>109</v>
      </c>
      <c r="H19" s="9" t="str">
        <f aca="false">City</f>
        <v>Lahore</v>
      </c>
      <c r="I19" s="9" t="s">
        <v>110</v>
      </c>
      <c r="J19" s="13" t="n">
        <f aca="false">'04 DETAILED RATE ANALYSIS'!J413</f>
        <v>729.591561659352</v>
      </c>
      <c r="K19" s="13" t="n">
        <f aca="false">'04 DETAILED RATE ANALYSIS'!J416</f>
        <v>145.04</v>
      </c>
      <c r="L19" s="13" t="n">
        <f aca="false">'04 DETAILED RATE ANALYSIS'!J417</f>
        <v>65.59</v>
      </c>
      <c r="M19" s="13" t="n">
        <f aca="false">'04 DETAILED RATE ANALYSIS'!J418</f>
        <v>0</v>
      </c>
      <c r="N19" s="13" t="n">
        <f aca="false">'04 DETAILED RATE ANALYSIS'!J414</f>
        <v>20.9330312898202</v>
      </c>
      <c r="O19" s="13" t="n">
        <f aca="false">'04 DETAILED RATE ANALYSIS'!J419</f>
        <v>961.154592949172</v>
      </c>
      <c r="P19" s="13" t="n">
        <f aca="false">'04 DETAILED RATE ANALYSIS'!J420+'04 DETAILED RATE ANALYSIS'!J421</f>
        <v>76.8923674359338</v>
      </c>
      <c r="Q19" s="13" t="n">
        <f aca="false">'04 DETAILED RATE ANALYSIS'!J422</f>
        <v>96.1154592949172</v>
      </c>
      <c r="R19" s="13" t="n">
        <f aca="false">'04 DETAILED RATE ANALYSIS'!J424</f>
        <v>0</v>
      </c>
      <c r="S19" s="14" t="n">
        <f aca="false">'04 DETAILED RATE ANALYSIS'!J425</f>
        <v>1134</v>
      </c>
      <c r="T19" s="13" t="n">
        <f aca="false">S19*100</f>
        <v>113400</v>
      </c>
      <c r="U19" s="15" t="str">
        <f aca="false">IF(W19&gt;0,"INCOMPLETE – "&amp;W19&amp;" blank/old input(s)","Market-derived + assumptions")</f>
        <v>INCOMPLETE – 1 blank/old input(s)</v>
      </c>
      <c r="V19" s="9" t="s">
        <v>111</v>
      </c>
      <c r="W19" s="13" t="n">
        <f aca="false">'04 DETAILED RATE ANALYSIS'!J426</f>
        <v>1</v>
      </c>
      <c r="X19" s="9" t="s">
        <v>112</v>
      </c>
      <c r="Y19" s="9" t="s">
        <v>113</v>
      </c>
      <c r="Z19" s="9" t="s">
        <v>114</v>
      </c>
      <c r="AA19" s="5" t="s">
        <v>178</v>
      </c>
      <c r="AB19" s="15" t="str">
        <f aca="false">IF(COUNTIF($A$5:$A$999,A19)&gt;1,"DUPLICATE","")</f>
        <v/>
      </c>
    </row>
    <row r="20" customFormat="false" ht="60" hidden="false" customHeight="true" outlineLevel="0" collapsed="false">
      <c r="A20" s="9" t="s">
        <v>179</v>
      </c>
      <c r="B20" s="9" t="s">
        <v>104</v>
      </c>
      <c r="C20" s="9" t="s">
        <v>117</v>
      </c>
      <c r="D20" s="9" t="s">
        <v>180</v>
      </c>
      <c r="E20" s="5" t="s">
        <v>181</v>
      </c>
      <c r="F20" s="5" t="s">
        <v>182</v>
      </c>
      <c r="G20" s="9" t="s">
        <v>109</v>
      </c>
      <c r="H20" s="9" t="str">
        <f aca="false">City</f>
        <v>Lahore</v>
      </c>
      <c r="I20" s="9" t="s">
        <v>110</v>
      </c>
      <c r="J20" s="13" t="n">
        <f aca="false">'04 DETAILED RATE ANALYSIS'!J438</f>
        <v>359.379138461539</v>
      </c>
      <c r="K20" s="13" t="n">
        <f aca="false">'04 DETAILED RATE ANALYSIS'!J441</f>
        <v>142.85</v>
      </c>
      <c r="L20" s="13" t="n">
        <f aca="false">'04 DETAILED RATE ANALYSIS'!J442</f>
        <v>46.5875</v>
      </c>
      <c r="M20" s="13" t="n">
        <f aca="false">'04 DETAILED RATE ANALYSIS'!J443</f>
        <v>0</v>
      </c>
      <c r="N20" s="13" t="n">
        <f aca="false">'04 DETAILED RATE ANALYSIS'!J439</f>
        <v>13.4098461538462</v>
      </c>
      <c r="O20" s="13" t="n">
        <f aca="false">'04 DETAILED RATE ANALYSIS'!J444</f>
        <v>562.226484615385</v>
      </c>
      <c r="P20" s="13" t="n">
        <f aca="false">'04 DETAILED RATE ANALYSIS'!J445+'04 DETAILED RATE ANALYSIS'!J446</f>
        <v>44.9781187692308</v>
      </c>
      <c r="Q20" s="13" t="n">
        <f aca="false">'04 DETAILED RATE ANALYSIS'!J447</f>
        <v>56.2226484615385</v>
      </c>
      <c r="R20" s="13" t="n">
        <f aca="false">'04 DETAILED RATE ANALYSIS'!J449</f>
        <v>0</v>
      </c>
      <c r="S20" s="14" t="n">
        <f aca="false">'04 DETAILED RATE ANALYSIS'!J450</f>
        <v>663</v>
      </c>
      <c r="T20" s="13" t="n">
        <f aca="false">S20*100</f>
        <v>66300</v>
      </c>
      <c r="U20" s="15" t="str">
        <f aca="false">IF(W20&gt;0,"INCOMPLETE – "&amp;W20&amp;" blank/old input(s)","Market-derived + assumptions")</f>
        <v>Market-derived + assumptions</v>
      </c>
      <c r="V20" s="9" t="s">
        <v>183</v>
      </c>
      <c r="W20" s="13" t="n">
        <f aca="false">'04 DETAILED RATE ANALYSIS'!J451</f>
        <v>0</v>
      </c>
      <c r="X20" s="9" t="s">
        <v>112</v>
      </c>
      <c r="Y20" s="9" t="s">
        <v>113</v>
      </c>
      <c r="Z20" s="9" t="s">
        <v>114</v>
      </c>
      <c r="AA20" s="5" t="s">
        <v>184</v>
      </c>
      <c r="AB20" s="15" t="str">
        <f aca="false">IF(COUNTIF($A$5:$A$999,A20)&gt;1,"DUPLICATE","")</f>
        <v/>
      </c>
    </row>
    <row r="21" customFormat="false" ht="60" hidden="false" customHeight="true" outlineLevel="0" collapsed="false">
      <c r="A21" s="9" t="s">
        <v>185</v>
      </c>
      <c r="B21" s="9" t="s">
        <v>104</v>
      </c>
      <c r="C21" s="9" t="s">
        <v>105</v>
      </c>
      <c r="D21" s="9" t="s">
        <v>186</v>
      </c>
      <c r="E21" s="5" t="s">
        <v>187</v>
      </c>
      <c r="F21" s="5" t="s">
        <v>188</v>
      </c>
      <c r="G21" s="9" t="s">
        <v>109</v>
      </c>
      <c r="H21" s="9" t="str">
        <f aca="false">City</f>
        <v>Lahore</v>
      </c>
      <c r="I21" s="9" t="s">
        <v>110</v>
      </c>
      <c r="J21" s="13" t="n">
        <f aca="false">'04 DETAILED RATE ANALYSIS'!J463</f>
        <v>473.8184</v>
      </c>
      <c r="K21" s="13" t="n">
        <f aca="false">'04 DETAILED RATE ANALYSIS'!J466</f>
        <v>145.04</v>
      </c>
      <c r="L21" s="13" t="n">
        <f aca="false">'04 DETAILED RATE ANALYSIS'!J467</f>
        <v>37.27</v>
      </c>
      <c r="M21" s="13" t="n">
        <f aca="false">'04 DETAILED RATE ANALYSIS'!J468</f>
        <v>0</v>
      </c>
      <c r="N21" s="13" t="n">
        <f aca="false">'04 DETAILED RATE ANALYSIS'!J464</f>
        <v>15.224</v>
      </c>
      <c r="O21" s="13" t="n">
        <f aca="false">'04 DETAILED RATE ANALYSIS'!J469</f>
        <v>671.3524</v>
      </c>
      <c r="P21" s="13" t="n">
        <f aca="false">'04 DETAILED RATE ANALYSIS'!J470+'04 DETAILED RATE ANALYSIS'!J471</f>
        <v>53.708192</v>
      </c>
      <c r="Q21" s="13" t="n">
        <f aca="false">'04 DETAILED RATE ANALYSIS'!J472</f>
        <v>67.13524</v>
      </c>
      <c r="R21" s="13" t="n">
        <f aca="false">'04 DETAILED RATE ANALYSIS'!J474</f>
        <v>0</v>
      </c>
      <c r="S21" s="14" t="n">
        <f aca="false">'04 DETAILED RATE ANALYSIS'!J475</f>
        <v>792</v>
      </c>
      <c r="T21" s="13" t="n">
        <f aca="false">S21*100</f>
        <v>79200</v>
      </c>
      <c r="U21" s="15" t="str">
        <f aca="false">IF(W21&gt;0,"INCOMPLETE – "&amp;W21&amp;" blank/old input(s)","Market-derived + assumptions")</f>
        <v>Market-derived + assumptions</v>
      </c>
      <c r="V21" s="9" t="s">
        <v>183</v>
      </c>
      <c r="W21" s="13" t="n">
        <f aca="false">'04 DETAILED RATE ANALYSIS'!J476</f>
        <v>0</v>
      </c>
      <c r="X21" s="9" t="s">
        <v>112</v>
      </c>
      <c r="Y21" s="9" t="s">
        <v>113</v>
      </c>
      <c r="Z21" s="9" t="s">
        <v>114</v>
      </c>
      <c r="AA21" s="5" t="s">
        <v>184</v>
      </c>
      <c r="AB21" s="15" t="str">
        <f aca="false">IF(COUNTIF($A$5:$A$999,A21)&gt;1,"DUPLICATE","")</f>
        <v/>
      </c>
    </row>
    <row r="22" customFormat="false" ht="60" hidden="false" customHeight="true" outlineLevel="0" collapsed="false">
      <c r="A22" s="9" t="s">
        <v>189</v>
      </c>
      <c r="B22" s="9" t="s">
        <v>104</v>
      </c>
      <c r="C22" s="9" t="s">
        <v>105</v>
      </c>
      <c r="D22" s="9" t="s">
        <v>190</v>
      </c>
      <c r="E22" s="5" t="s">
        <v>191</v>
      </c>
      <c r="F22" s="5" t="s">
        <v>192</v>
      </c>
      <c r="G22" s="9" t="s">
        <v>109</v>
      </c>
      <c r="H22" s="9" t="str">
        <f aca="false">City</f>
        <v>Lahore</v>
      </c>
      <c r="I22" s="9" t="s">
        <v>110</v>
      </c>
      <c r="J22" s="13" t="n">
        <f aca="false">'04 DETAILED RATE ANALYSIS'!J488</f>
        <v>541.4416</v>
      </c>
      <c r="K22" s="13" t="n">
        <f aca="false">'04 DETAILED RATE ANALYSIS'!J491</f>
        <v>145.04</v>
      </c>
      <c r="L22" s="13" t="n">
        <f aca="false">'04 DETAILED RATE ANALYSIS'!J492</f>
        <v>37.27</v>
      </c>
      <c r="M22" s="13" t="n">
        <f aca="false">'04 DETAILED RATE ANALYSIS'!J493</f>
        <v>0</v>
      </c>
      <c r="N22" s="13" t="n">
        <f aca="false">'04 DETAILED RATE ANALYSIS'!J489</f>
        <v>16.2959999999999</v>
      </c>
      <c r="O22" s="13" t="n">
        <f aca="false">'04 DETAILED RATE ANALYSIS'!J494</f>
        <v>740.0476</v>
      </c>
      <c r="P22" s="13" t="n">
        <f aca="false">'04 DETAILED RATE ANALYSIS'!J495+'04 DETAILED RATE ANALYSIS'!J496</f>
        <v>59.203808</v>
      </c>
      <c r="Q22" s="13" t="n">
        <f aca="false">'04 DETAILED RATE ANALYSIS'!J497</f>
        <v>74.00476</v>
      </c>
      <c r="R22" s="13" t="n">
        <f aca="false">'04 DETAILED RATE ANALYSIS'!J499</f>
        <v>0</v>
      </c>
      <c r="S22" s="14" t="n">
        <f aca="false">'04 DETAILED RATE ANALYSIS'!J500</f>
        <v>873</v>
      </c>
      <c r="T22" s="13" t="n">
        <f aca="false">S22*100</f>
        <v>87300</v>
      </c>
      <c r="U22" s="15" t="str">
        <f aca="false">IF(W22&gt;0,"INCOMPLETE – "&amp;W22&amp;" blank/old input(s)","Market-derived + assumptions")</f>
        <v>Market-derived + assumptions</v>
      </c>
      <c r="V22" s="9" t="s">
        <v>183</v>
      </c>
      <c r="W22" s="13" t="n">
        <f aca="false">'04 DETAILED RATE ANALYSIS'!J501</f>
        <v>0</v>
      </c>
      <c r="X22" s="9" t="s">
        <v>112</v>
      </c>
      <c r="Y22" s="9" t="s">
        <v>113</v>
      </c>
      <c r="Z22" s="9" t="s">
        <v>114</v>
      </c>
      <c r="AA22" s="5" t="s">
        <v>184</v>
      </c>
      <c r="AB22" s="15" t="str">
        <f aca="false">IF(COUNTIF($A$5:$A$999,A22)&gt;1,"DUPLICATE","")</f>
        <v/>
      </c>
    </row>
    <row r="23" customFormat="false" ht="60" hidden="false" customHeight="true" outlineLevel="0" collapsed="false">
      <c r="A23" s="9" t="s">
        <v>193</v>
      </c>
      <c r="B23" s="9" t="s">
        <v>104</v>
      </c>
      <c r="C23" s="9" t="s">
        <v>194</v>
      </c>
      <c r="D23" s="9" t="s">
        <v>195</v>
      </c>
      <c r="E23" s="5" t="s">
        <v>196</v>
      </c>
      <c r="F23" s="5" t="s">
        <v>197</v>
      </c>
      <c r="G23" s="9" t="s">
        <v>198</v>
      </c>
      <c r="H23" s="9" t="str">
        <f aca="false">City</f>
        <v>Lahore</v>
      </c>
      <c r="I23" s="9" t="s">
        <v>110</v>
      </c>
      <c r="J23" s="13" t="n">
        <f aca="false">'04 DETAILED RATE ANALYSIS'!J509</f>
        <v>245.45</v>
      </c>
      <c r="K23" s="13" t="n">
        <f aca="false">'04 DETAILED RATE ANALYSIS'!J512</f>
        <v>11.0777777777778</v>
      </c>
      <c r="L23" s="13" t="n">
        <f aca="false">'04 DETAILED RATE ANALYSIS'!J513</f>
        <v>0</v>
      </c>
      <c r="M23" s="13" t="n">
        <f aca="false">'04 DETAILED RATE ANALYSIS'!J514</f>
        <v>0</v>
      </c>
      <c r="N23" s="13" t="n">
        <f aca="false">'04 DETAILED RATE ANALYSIS'!J510</f>
        <v>7.26000000000002</v>
      </c>
      <c r="O23" s="13" t="n">
        <f aca="false">'04 DETAILED RATE ANALYSIS'!J515</f>
        <v>263.787777777778</v>
      </c>
      <c r="P23" s="13" t="n">
        <f aca="false">'04 DETAILED RATE ANALYSIS'!J516+'04 DETAILED RATE ANALYSIS'!J517</f>
        <v>21.1030222222222</v>
      </c>
      <c r="Q23" s="13" t="n">
        <f aca="false">'04 DETAILED RATE ANALYSIS'!J518</f>
        <v>26.3787777777778</v>
      </c>
      <c r="R23" s="13" t="n">
        <f aca="false">'04 DETAILED RATE ANALYSIS'!J520</f>
        <v>0</v>
      </c>
      <c r="S23" s="14" t="n">
        <f aca="false">'04 DETAILED RATE ANALYSIS'!J521</f>
        <v>311</v>
      </c>
      <c r="T23" s="13" t="n">
        <f aca="false">S23*100</f>
        <v>31100</v>
      </c>
      <c r="U23" s="15" t="str">
        <f aca="false">IF(W23&gt;0,"INCOMPLETE – "&amp;W23&amp;" blank/old input(s)","Market-derived + assumptions")</f>
        <v>Market-derived + assumptions</v>
      </c>
      <c r="V23" s="9" t="s">
        <v>183</v>
      </c>
      <c r="W23" s="13" t="n">
        <f aca="false">'04 DETAILED RATE ANALYSIS'!J522</f>
        <v>0</v>
      </c>
      <c r="X23" s="9" t="s">
        <v>112</v>
      </c>
      <c r="Y23" s="9" t="s">
        <v>113</v>
      </c>
      <c r="Z23" s="9" t="s">
        <v>114</v>
      </c>
      <c r="AA23" s="5" t="s">
        <v>199</v>
      </c>
      <c r="AB23" s="15" t="str">
        <f aca="false">IF(COUNTIF($A$5:$A$999,A23)&gt;1,"DUPLICATE","")</f>
        <v/>
      </c>
    </row>
    <row r="24" customFormat="false" ht="60" hidden="false" customHeight="true" outlineLevel="0" collapsed="false">
      <c r="A24" s="9" t="s">
        <v>200</v>
      </c>
      <c r="B24" s="9" t="s">
        <v>104</v>
      </c>
      <c r="C24" s="9" t="s">
        <v>201</v>
      </c>
      <c r="D24" s="9" t="s">
        <v>202</v>
      </c>
      <c r="E24" s="5" t="s">
        <v>203</v>
      </c>
      <c r="F24" s="5" t="s">
        <v>204</v>
      </c>
      <c r="G24" s="9" t="s">
        <v>109</v>
      </c>
      <c r="H24" s="9" t="str">
        <f aca="false">City</f>
        <v>Lahore</v>
      </c>
      <c r="I24" s="9" t="s">
        <v>110</v>
      </c>
      <c r="J24" s="13" t="n">
        <f aca="false">'04 DETAILED RATE ANALYSIS'!J531</f>
        <v>317.035714285714</v>
      </c>
      <c r="K24" s="13" t="n">
        <f aca="false">'04 DETAILED RATE ANALYSIS'!J534</f>
        <v>90.14</v>
      </c>
      <c r="L24" s="13" t="n">
        <f aca="false">'04 DETAILED RATE ANALYSIS'!J535</f>
        <v>0</v>
      </c>
      <c r="M24" s="13" t="n">
        <f aca="false">'04 DETAILED RATE ANALYSIS'!J536</f>
        <v>0</v>
      </c>
      <c r="N24" s="13" t="n">
        <f aca="false">'04 DETAILED RATE ANALYSIS'!J532</f>
        <v>14.0967857142857</v>
      </c>
      <c r="O24" s="13" t="n">
        <f aca="false">'04 DETAILED RATE ANALYSIS'!J537</f>
        <v>421.2725</v>
      </c>
      <c r="P24" s="13" t="n">
        <f aca="false">'04 DETAILED RATE ANALYSIS'!J538+'04 DETAILED RATE ANALYSIS'!J539</f>
        <v>33.7018</v>
      </c>
      <c r="Q24" s="13" t="n">
        <f aca="false">'04 DETAILED RATE ANALYSIS'!J540</f>
        <v>42.12725</v>
      </c>
      <c r="R24" s="13" t="n">
        <f aca="false">'04 DETAILED RATE ANALYSIS'!J542</f>
        <v>0</v>
      </c>
      <c r="S24" s="14" t="n">
        <f aca="false">'04 DETAILED RATE ANALYSIS'!J543</f>
        <v>497</v>
      </c>
      <c r="T24" s="13" t="n">
        <f aca="false">S24*100</f>
        <v>49700</v>
      </c>
      <c r="U24" s="15" t="str">
        <f aca="false">IF(W24&gt;0,"INCOMPLETE – "&amp;W24&amp;" blank/old input(s)","Market-derived + assumptions")</f>
        <v>Market-derived + assumptions</v>
      </c>
      <c r="V24" s="9" t="s">
        <v>183</v>
      </c>
      <c r="W24" s="13" t="n">
        <f aca="false">'04 DETAILED RATE ANALYSIS'!J544</f>
        <v>0</v>
      </c>
      <c r="X24" s="9" t="s">
        <v>112</v>
      </c>
      <c r="Y24" s="9" t="s">
        <v>113</v>
      </c>
      <c r="Z24" s="9" t="s">
        <v>114</v>
      </c>
      <c r="AA24" s="5" t="s">
        <v>205</v>
      </c>
      <c r="AB24" s="15" t="str">
        <f aca="false">IF(COUNTIF($A$5:$A$999,A24)&gt;1,"DUPLICATE","")</f>
        <v/>
      </c>
    </row>
    <row r="25" customFormat="false" ht="60" hidden="false" customHeight="true" outlineLevel="0" collapsed="false">
      <c r="A25" s="9" t="s">
        <v>206</v>
      </c>
      <c r="B25" s="9" t="s">
        <v>207</v>
      </c>
      <c r="C25" s="9" t="s">
        <v>208</v>
      </c>
      <c r="D25" s="9" t="s">
        <v>209</v>
      </c>
      <c r="E25" s="5" t="s">
        <v>210</v>
      </c>
      <c r="F25" s="5" t="s">
        <v>211</v>
      </c>
      <c r="G25" s="9" t="s">
        <v>212</v>
      </c>
      <c r="H25" s="9" t="str">
        <f aca="false">City</f>
        <v>Lahore</v>
      </c>
      <c r="I25" s="9" t="s">
        <v>110</v>
      </c>
      <c r="J25" s="13" t="n">
        <f aca="false">'04 DETAILED RATE ANALYSIS'!J552</f>
        <v>20.54</v>
      </c>
      <c r="K25" s="13" t="n">
        <f aca="false">'04 DETAILED RATE ANALYSIS'!J555</f>
        <v>36.88</v>
      </c>
      <c r="L25" s="13" t="n">
        <f aca="false">'04 DETAILED RATE ANALYSIS'!J556</f>
        <v>0</v>
      </c>
      <c r="M25" s="13" t="n">
        <f aca="false">'04 DETAILED RATE ANALYSIS'!J557</f>
        <v>0</v>
      </c>
      <c r="N25" s="13" t="n">
        <f aca="false">'04 DETAILED RATE ANALYSIS'!J553</f>
        <v>0.535600000000002</v>
      </c>
      <c r="O25" s="13" t="n">
        <f aca="false">'04 DETAILED RATE ANALYSIS'!J558</f>
        <v>57.9556</v>
      </c>
      <c r="P25" s="13" t="n">
        <f aca="false">'04 DETAILED RATE ANALYSIS'!J559+'04 DETAILED RATE ANALYSIS'!J560</f>
        <v>4.636448</v>
      </c>
      <c r="Q25" s="13" t="n">
        <f aca="false">'04 DETAILED RATE ANALYSIS'!J561</f>
        <v>5.79556</v>
      </c>
      <c r="R25" s="13" t="n">
        <f aca="false">'04 DETAILED RATE ANALYSIS'!J563</f>
        <v>0</v>
      </c>
      <c r="S25" s="14" t="n">
        <f aca="false">'04 DETAILED RATE ANALYSIS'!J564</f>
        <v>68</v>
      </c>
      <c r="T25" s="13" t="n">
        <f aca="false">S25*100</f>
        <v>6800</v>
      </c>
      <c r="U25" s="15" t="str">
        <f aca="false">IF(W25&gt;0,"INCOMPLETE – "&amp;W25&amp;" blank/old input(s)","Market-derived + assumptions")</f>
        <v>Market-derived + assumptions</v>
      </c>
      <c r="V25" s="9" t="s">
        <v>183</v>
      </c>
      <c r="W25" s="13" t="n">
        <f aca="false">'04 DETAILED RATE ANALYSIS'!J565</f>
        <v>0</v>
      </c>
      <c r="X25" s="9" t="s">
        <v>112</v>
      </c>
      <c r="Y25" s="9" t="s">
        <v>113</v>
      </c>
      <c r="Z25" s="9" t="s">
        <v>114</v>
      </c>
      <c r="AA25" s="5" t="s">
        <v>213</v>
      </c>
      <c r="AB25" s="15" t="str">
        <f aca="false">IF(COUNTIF($A$5:$A$999,A25)&gt;1,"DUPLICATE","")</f>
        <v/>
      </c>
    </row>
    <row r="26" customFormat="false" ht="60" hidden="false" customHeight="true" outlineLevel="0" collapsed="false">
      <c r="A26" s="9" t="s">
        <v>214</v>
      </c>
      <c r="B26" s="9" t="s">
        <v>207</v>
      </c>
      <c r="C26" s="9" t="s">
        <v>208</v>
      </c>
      <c r="D26" s="9" t="s">
        <v>215</v>
      </c>
      <c r="E26" s="5" t="s">
        <v>216</v>
      </c>
      <c r="F26" s="5" t="s">
        <v>217</v>
      </c>
      <c r="G26" s="9" t="s">
        <v>212</v>
      </c>
      <c r="H26" s="9" t="str">
        <f aca="false">City</f>
        <v>Lahore</v>
      </c>
      <c r="I26" s="9" t="s">
        <v>110</v>
      </c>
      <c r="J26" s="13" t="n">
        <f aca="false">'04 DETAILED RATE ANALYSIS'!J573</f>
        <v>24.2357142857143</v>
      </c>
      <c r="K26" s="13" t="n">
        <f aca="false">'04 DETAILED RATE ANALYSIS'!J576</f>
        <v>46.1</v>
      </c>
      <c r="L26" s="13" t="n">
        <f aca="false">'04 DETAILED RATE ANALYSIS'!J577</f>
        <v>0</v>
      </c>
      <c r="M26" s="13" t="n">
        <f aca="false">'04 DETAILED RATE ANALYSIS'!J578</f>
        <v>0</v>
      </c>
      <c r="N26" s="13" t="n">
        <f aca="false">'04 DETAILED RATE ANALYSIS'!J574</f>
        <v>0.685285714285712</v>
      </c>
      <c r="O26" s="13" t="n">
        <f aca="false">'04 DETAILED RATE ANALYSIS'!J579</f>
        <v>71.021</v>
      </c>
      <c r="P26" s="13" t="n">
        <f aca="false">'04 DETAILED RATE ANALYSIS'!J580+'04 DETAILED RATE ANALYSIS'!J581</f>
        <v>5.68168</v>
      </c>
      <c r="Q26" s="13" t="n">
        <f aca="false">'04 DETAILED RATE ANALYSIS'!J582</f>
        <v>7.1021</v>
      </c>
      <c r="R26" s="13" t="n">
        <f aca="false">'04 DETAILED RATE ANALYSIS'!J584</f>
        <v>0</v>
      </c>
      <c r="S26" s="14" t="n">
        <f aca="false">'04 DETAILED RATE ANALYSIS'!J585</f>
        <v>84</v>
      </c>
      <c r="T26" s="13" t="n">
        <f aca="false">S26*100</f>
        <v>8400</v>
      </c>
      <c r="U26" s="15" t="str">
        <f aca="false">IF(W26&gt;0,"INCOMPLETE – "&amp;W26&amp;" blank/old input(s)","Market-derived + assumptions")</f>
        <v>Market-derived + assumptions</v>
      </c>
      <c r="V26" s="9" t="s">
        <v>183</v>
      </c>
      <c r="W26" s="13" t="n">
        <f aca="false">'04 DETAILED RATE ANALYSIS'!J586</f>
        <v>0</v>
      </c>
      <c r="X26" s="9" t="s">
        <v>112</v>
      </c>
      <c r="Y26" s="9" t="s">
        <v>113</v>
      </c>
      <c r="Z26" s="9" t="s">
        <v>114</v>
      </c>
      <c r="AA26" s="5" t="s">
        <v>213</v>
      </c>
      <c r="AB26" s="15" t="str">
        <f aca="false">IF(COUNTIF($A$5:$A$999,A26)&gt;1,"DUPLICATE","")</f>
        <v/>
      </c>
    </row>
    <row r="27" customFormat="false" ht="60" hidden="false" customHeight="true" outlineLevel="0" collapsed="false">
      <c r="A27" s="9" t="s">
        <v>218</v>
      </c>
      <c r="B27" s="9" t="s">
        <v>104</v>
      </c>
      <c r="C27" s="9" t="s">
        <v>219</v>
      </c>
      <c r="D27" s="9" t="s">
        <v>220</v>
      </c>
      <c r="E27" s="5" t="s">
        <v>221</v>
      </c>
      <c r="F27" s="5" t="s">
        <v>222</v>
      </c>
      <c r="G27" s="9" t="s">
        <v>212</v>
      </c>
      <c r="H27" s="9" t="str">
        <f aca="false">City</f>
        <v>Lahore</v>
      </c>
      <c r="I27" s="9" t="s">
        <v>110</v>
      </c>
      <c r="J27" s="13" t="n">
        <f aca="false">'04 DETAILED RATE ANALYSIS'!J597</f>
        <v>50.8358333333333</v>
      </c>
      <c r="K27" s="13" t="n">
        <f aca="false">'04 DETAILED RATE ANALYSIS'!J600</f>
        <v>26.2533333333333</v>
      </c>
      <c r="L27" s="13" t="n">
        <f aca="false">'04 DETAILED RATE ANALYSIS'!J601</f>
        <v>10</v>
      </c>
      <c r="M27" s="13" t="n">
        <f aca="false">'04 DETAILED RATE ANALYSIS'!J602</f>
        <v>0</v>
      </c>
      <c r="N27" s="13" t="n">
        <f aca="false">'04 DETAILED RATE ANALYSIS'!J598</f>
        <v>2.86458333333334</v>
      </c>
      <c r="O27" s="13" t="n">
        <f aca="false">'04 DETAILED RATE ANALYSIS'!J603</f>
        <v>89.95375</v>
      </c>
      <c r="P27" s="13" t="n">
        <f aca="false">'04 DETAILED RATE ANALYSIS'!J604+'04 DETAILED RATE ANALYSIS'!J605</f>
        <v>7.1963</v>
      </c>
      <c r="Q27" s="13" t="n">
        <f aca="false">'04 DETAILED RATE ANALYSIS'!J606</f>
        <v>8.995375</v>
      </c>
      <c r="R27" s="13" t="n">
        <f aca="false">'04 DETAILED RATE ANALYSIS'!J608</f>
        <v>0</v>
      </c>
      <c r="S27" s="14" t="n">
        <f aca="false">'04 DETAILED RATE ANALYSIS'!J609</f>
        <v>106</v>
      </c>
      <c r="T27" s="13" t="n">
        <f aca="false">S27*100</f>
        <v>10600</v>
      </c>
      <c r="U27" s="15" t="str">
        <f aca="false">IF(W27&gt;0,"INCOMPLETE – "&amp;W27&amp;" blank/old input(s)","Market-derived + assumptions")</f>
        <v>Market-derived + assumptions</v>
      </c>
      <c r="V27" s="9" t="s">
        <v>111</v>
      </c>
      <c r="W27" s="13" t="n">
        <f aca="false">'04 DETAILED RATE ANALYSIS'!J610</f>
        <v>0</v>
      </c>
      <c r="X27" s="9" t="s">
        <v>112</v>
      </c>
      <c r="Y27" s="9" t="s">
        <v>113</v>
      </c>
      <c r="Z27" s="9" t="s">
        <v>114</v>
      </c>
      <c r="AA27" s="5" t="s">
        <v>223</v>
      </c>
      <c r="AB27" s="15" t="str">
        <f aca="false">IF(COUNTIF($A$5:$A$999,A27)&gt;1,"DUPLICATE","")</f>
        <v/>
      </c>
    </row>
    <row r="28" customFormat="false" ht="60" hidden="false" customHeight="true" outlineLevel="0" collapsed="false">
      <c r="A28" s="9" t="s">
        <v>224</v>
      </c>
      <c r="B28" s="9" t="s">
        <v>104</v>
      </c>
      <c r="C28" s="9" t="s">
        <v>219</v>
      </c>
      <c r="D28" s="9" t="s">
        <v>225</v>
      </c>
      <c r="E28" s="5" t="s">
        <v>226</v>
      </c>
      <c r="F28" s="5" t="s">
        <v>222</v>
      </c>
      <c r="G28" s="9" t="s">
        <v>212</v>
      </c>
      <c r="H28" s="9" t="str">
        <f aca="false">City</f>
        <v>Lahore</v>
      </c>
      <c r="I28" s="9" t="s">
        <v>110</v>
      </c>
      <c r="J28" s="13" t="n">
        <f aca="false">'04 DETAILED RATE ANALYSIS'!J621</f>
        <v>54.5158333333333</v>
      </c>
      <c r="K28" s="13" t="n">
        <f aca="false">'04 DETAILED RATE ANALYSIS'!J624</f>
        <v>39.38</v>
      </c>
      <c r="L28" s="13" t="n">
        <f aca="false">'04 DETAILED RATE ANALYSIS'!J625</f>
        <v>10</v>
      </c>
      <c r="M28" s="13" t="n">
        <f aca="false">'04 DETAILED RATE ANALYSIS'!J626</f>
        <v>0</v>
      </c>
      <c r="N28" s="13" t="n">
        <f aca="false">'04 DETAILED RATE ANALYSIS'!J622</f>
        <v>2.86458333333334</v>
      </c>
      <c r="O28" s="13" t="n">
        <f aca="false">'04 DETAILED RATE ANALYSIS'!J627</f>
        <v>106.760416666667</v>
      </c>
      <c r="P28" s="13" t="n">
        <f aca="false">'04 DETAILED RATE ANALYSIS'!J628+'04 DETAILED RATE ANALYSIS'!J629</f>
        <v>8.54083333333333</v>
      </c>
      <c r="Q28" s="13" t="n">
        <f aca="false">'04 DETAILED RATE ANALYSIS'!J630</f>
        <v>10.6760416666667</v>
      </c>
      <c r="R28" s="13" t="n">
        <f aca="false">'04 DETAILED RATE ANALYSIS'!J632</f>
        <v>0</v>
      </c>
      <c r="S28" s="14" t="n">
        <f aca="false">'04 DETAILED RATE ANALYSIS'!J633</f>
        <v>126</v>
      </c>
      <c r="T28" s="13" t="n">
        <f aca="false">S28*100</f>
        <v>12600</v>
      </c>
      <c r="U28" s="15" t="str">
        <f aca="false">IF(W28&gt;0,"INCOMPLETE – "&amp;W28&amp;" blank/old input(s)","Market-derived + assumptions")</f>
        <v>Market-derived + assumptions</v>
      </c>
      <c r="V28" s="9" t="s">
        <v>111</v>
      </c>
      <c r="W28" s="13" t="n">
        <f aca="false">'04 DETAILED RATE ANALYSIS'!J634</f>
        <v>0</v>
      </c>
      <c r="X28" s="9" t="s">
        <v>112</v>
      </c>
      <c r="Y28" s="9" t="s">
        <v>113</v>
      </c>
      <c r="Z28" s="9" t="s">
        <v>114</v>
      </c>
      <c r="AA28" s="5" t="s">
        <v>223</v>
      </c>
      <c r="AB28" s="15" t="str">
        <f aca="false">IF(COUNTIF($A$5:$A$999,A28)&gt;1,"DUPLICATE","")</f>
        <v/>
      </c>
    </row>
    <row r="29" customFormat="false" ht="60" hidden="false" customHeight="true" outlineLevel="0" collapsed="false">
      <c r="A29" s="9" t="s">
        <v>227</v>
      </c>
      <c r="B29" s="9" t="s">
        <v>104</v>
      </c>
      <c r="C29" s="9" t="s">
        <v>219</v>
      </c>
      <c r="D29" s="9" t="s">
        <v>228</v>
      </c>
      <c r="E29" s="5" t="s">
        <v>229</v>
      </c>
      <c r="F29" s="5" t="s">
        <v>222</v>
      </c>
      <c r="G29" s="9" t="s">
        <v>212</v>
      </c>
      <c r="H29" s="9" t="str">
        <f aca="false">City</f>
        <v>Lahore</v>
      </c>
      <c r="I29" s="9" t="s">
        <v>110</v>
      </c>
      <c r="J29" s="13" t="n">
        <f aca="false">'04 DETAILED RATE ANALYSIS'!J644</f>
        <v>52.6758333333333</v>
      </c>
      <c r="K29" s="13" t="n">
        <f aca="false">'04 DETAILED RATE ANALYSIS'!J647</f>
        <v>32.8166666666667</v>
      </c>
      <c r="L29" s="13" t="n">
        <f aca="false">'04 DETAILED RATE ANALYSIS'!J648</f>
        <v>0</v>
      </c>
      <c r="M29" s="13" t="n">
        <f aca="false">'04 DETAILED RATE ANALYSIS'!J649</f>
        <v>0</v>
      </c>
      <c r="N29" s="13" t="n">
        <f aca="false">'04 DETAILED RATE ANALYSIS'!J645</f>
        <v>2.86458333333334</v>
      </c>
      <c r="O29" s="13" t="n">
        <f aca="false">'04 DETAILED RATE ANALYSIS'!J650</f>
        <v>88.3570833333333</v>
      </c>
      <c r="P29" s="13" t="n">
        <f aca="false">'04 DETAILED RATE ANALYSIS'!J651+'04 DETAILED RATE ANALYSIS'!J652</f>
        <v>7.06856666666667</v>
      </c>
      <c r="Q29" s="13" t="n">
        <f aca="false">'04 DETAILED RATE ANALYSIS'!J653</f>
        <v>8.83570833333334</v>
      </c>
      <c r="R29" s="13" t="n">
        <f aca="false">'04 DETAILED RATE ANALYSIS'!J655</f>
        <v>0</v>
      </c>
      <c r="S29" s="14" t="n">
        <f aca="false">'04 DETAILED RATE ANALYSIS'!J656</f>
        <v>104</v>
      </c>
      <c r="T29" s="13" t="n">
        <f aca="false">S29*100</f>
        <v>10400</v>
      </c>
      <c r="U29" s="15" t="str">
        <f aca="false">IF(W29&gt;0,"INCOMPLETE – "&amp;W29&amp;" blank/old input(s)","Market-derived + assumptions")</f>
        <v>Market-derived + assumptions</v>
      </c>
      <c r="V29" s="9" t="s">
        <v>111</v>
      </c>
      <c r="W29" s="13" t="n">
        <f aca="false">'04 DETAILED RATE ANALYSIS'!J657</f>
        <v>0</v>
      </c>
      <c r="X29" s="9" t="s">
        <v>112</v>
      </c>
      <c r="Y29" s="9" t="s">
        <v>113</v>
      </c>
      <c r="Z29" s="9" t="s">
        <v>114</v>
      </c>
      <c r="AA29" s="5" t="s">
        <v>223</v>
      </c>
      <c r="AB29" s="15" t="str">
        <f aca="false">IF(COUNTIF($A$5:$A$999,A29)&gt;1,"DUPLICATE","")</f>
        <v/>
      </c>
    </row>
    <row r="30" customFormat="false" ht="60" hidden="false" customHeight="true" outlineLevel="0" collapsed="false">
      <c r="A30" s="9" t="s">
        <v>230</v>
      </c>
      <c r="B30" s="9" t="s">
        <v>104</v>
      </c>
      <c r="C30" s="9" t="s">
        <v>219</v>
      </c>
      <c r="D30" s="9" t="s">
        <v>231</v>
      </c>
      <c r="E30" s="5" t="s">
        <v>232</v>
      </c>
      <c r="F30" s="5" t="s">
        <v>222</v>
      </c>
      <c r="G30" s="9" t="s">
        <v>212</v>
      </c>
      <c r="H30" s="9" t="str">
        <f aca="false">City</f>
        <v>Lahore</v>
      </c>
      <c r="I30" s="9" t="s">
        <v>110</v>
      </c>
      <c r="J30" s="13" t="n">
        <f aca="false">'04 DETAILED RATE ANALYSIS'!J667</f>
        <v>54.5158333333333</v>
      </c>
      <c r="K30" s="13" t="n">
        <f aca="false">'04 DETAILED RATE ANALYSIS'!J670</f>
        <v>30.2923076923077</v>
      </c>
      <c r="L30" s="13" t="n">
        <f aca="false">'04 DETAILED RATE ANALYSIS'!J671</f>
        <v>0</v>
      </c>
      <c r="M30" s="13" t="n">
        <f aca="false">'04 DETAILED RATE ANALYSIS'!J672</f>
        <v>0</v>
      </c>
      <c r="N30" s="13" t="n">
        <f aca="false">'04 DETAILED RATE ANALYSIS'!J668</f>
        <v>2.86458333333334</v>
      </c>
      <c r="O30" s="13" t="n">
        <f aca="false">'04 DETAILED RATE ANALYSIS'!J673</f>
        <v>87.6727243589744</v>
      </c>
      <c r="P30" s="13" t="n">
        <f aca="false">'04 DETAILED RATE ANALYSIS'!J674+'04 DETAILED RATE ANALYSIS'!J675</f>
        <v>7.01381794871795</v>
      </c>
      <c r="Q30" s="13" t="n">
        <f aca="false">'04 DETAILED RATE ANALYSIS'!J676</f>
        <v>8.76727243589744</v>
      </c>
      <c r="R30" s="13" t="n">
        <f aca="false">'04 DETAILED RATE ANALYSIS'!J678</f>
        <v>0</v>
      </c>
      <c r="S30" s="14" t="n">
        <f aca="false">'04 DETAILED RATE ANALYSIS'!J679</f>
        <v>103</v>
      </c>
      <c r="T30" s="13" t="n">
        <f aca="false">S30*100</f>
        <v>10300</v>
      </c>
      <c r="U30" s="15" t="str">
        <f aca="false">IF(W30&gt;0,"INCOMPLETE – "&amp;W30&amp;" blank/old input(s)","Market-derived + assumptions")</f>
        <v>Market-derived + assumptions</v>
      </c>
      <c r="V30" s="9" t="s">
        <v>111</v>
      </c>
      <c r="W30" s="13" t="n">
        <f aca="false">'04 DETAILED RATE ANALYSIS'!J680</f>
        <v>0</v>
      </c>
      <c r="X30" s="9" t="s">
        <v>112</v>
      </c>
      <c r="Y30" s="9" t="s">
        <v>113</v>
      </c>
      <c r="Z30" s="9" t="s">
        <v>114</v>
      </c>
      <c r="AA30" s="5" t="s">
        <v>223</v>
      </c>
      <c r="AB30" s="15" t="str">
        <f aca="false">IF(COUNTIF($A$5:$A$999,A30)&gt;1,"DUPLICATE","")</f>
        <v/>
      </c>
    </row>
    <row r="31" customFormat="false" ht="60" hidden="false" customHeight="true" outlineLevel="0" collapsed="false">
      <c r="A31" s="9" t="s">
        <v>233</v>
      </c>
      <c r="B31" s="9" t="s">
        <v>104</v>
      </c>
      <c r="C31" s="9" t="s">
        <v>201</v>
      </c>
      <c r="D31" s="9" t="s">
        <v>234</v>
      </c>
      <c r="E31" s="5" t="s">
        <v>235</v>
      </c>
      <c r="F31" s="5" t="s">
        <v>236</v>
      </c>
      <c r="G31" s="9" t="s">
        <v>212</v>
      </c>
      <c r="H31" s="9" t="str">
        <f aca="false">City</f>
        <v>Lahore</v>
      </c>
      <c r="I31" s="9" t="s">
        <v>110</v>
      </c>
      <c r="J31" s="13" t="n">
        <f aca="false">'04 DETAILED RATE ANALYSIS'!J689</f>
        <v>234.862221064796</v>
      </c>
      <c r="K31" s="13" t="n">
        <f aca="false">'04 DETAILED RATE ANALYSIS'!J692</f>
        <v>37.38</v>
      </c>
      <c r="L31" s="13" t="n">
        <f aca="false">'04 DETAILED RATE ANALYSIS'!J693</f>
        <v>0</v>
      </c>
      <c r="M31" s="13" t="n">
        <f aca="false">'04 DETAILED RATE ANALYSIS'!J694</f>
        <v>0</v>
      </c>
      <c r="N31" s="13" t="n">
        <f aca="false">'04 DETAILED RATE ANALYSIS'!J690</f>
        <v>11.4311821481469</v>
      </c>
      <c r="O31" s="13" t="n">
        <f aca="false">'04 DETAILED RATE ANALYSIS'!J695</f>
        <v>283.673403212943</v>
      </c>
      <c r="P31" s="13" t="n">
        <f aca="false">'04 DETAILED RATE ANALYSIS'!J696+'04 DETAILED RATE ANALYSIS'!J697</f>
        <v>22.6938722570354</v>
      </c>
      <c r="Q31" s="13" t="n">
        <f aca="false">'04 DETAILED RATE ANALYSIS'!J698</f>
        <v>28.3673403212943</v>
      </c>
      <c r="R31" s="13" t="n">
        <f aca="false">'04 DETAILED RATE ANALYSIS'!J700</f>
        <v>0</v>
      </c>
      <c r="S31" s="14" t="n">
        <f aca="false">'04 DETAILED RATE ANALYSIS'!J701</f>
        <v>335</v>
      </c>
      <c r="T31" s="13" t="n">
        <f aca="false">S31*100</f>
        <v>33500</v>
      </c>
      <c r="U31" s="15" t="str">
        <f aca="false">IF(W31&gt;0,"INCOMPLETE – "&amp;W31&amp;" blank/old input(s)","Market-derived + assumptions")</f>
        <v>Market-derived + assumptions</v>
      </c>
      <c r="V31" s="9" t="s">
        <v>183</v>
      </c>
      <c r="W31" s="13" t="n">
        <f aca="false">'04 DETAILED RATE ANALYSIS'!J702</f>
        <v>0</v>
      </c>
      <c r="X31" s="9" t="s">
        <v>112</v>
      </c>
      <c r="Y31" s="9" t="s">
        <v>113</v>
      </c>
      <c r="Z31" s="9" t="s">
        <v>114</v>
      </c>
      <c r="AA31" s="5" t="s">
        <v>237</v>
      </c>
      <c r="AB31" s="15" t="str">
        <f aca="false">IF(COUNTIF($A$5:$A$999,A31)&gt;1,"DUPLICATE","")</f>
        <v/>
      </c>
    </row>
    <row r="32" customFormat="false" ht="60" hidden="false" customHeight="true" outlineLevel="0" collapsed="false">
      <c r="A32" s="9" t="s">
        <v>238</v>
      </c>
      <c r="B32" s="9" t="s">
        <v>104</v>
      </c>
      <c r="C32" s="9" t="s">
        <v>201</v>
      </c>
      <c r="D32" s="9" t="s">
        <v>239</v>
      </c>
      <c r="E32" s="5" t="s">
        <v>240</v>
      </c>
      <c r="F32" s="5" t="s">
        <v>241</v>
      </c>
      <c r="G32" s="9" t="s">
        <v>212</v>
      </c>
      <c r="H32" s="9" t="str">
        <f aca="false">City</f>
        <v>Lahore</v>
      </c>
      <c r="I32" s="9" t="s">
        <v>110</v>
      </c>
      <c r="J32" s="13" t="n">
        <f aca="false">'04 DETAILED RATE ANALYSIS'!J711</f>
        <v>184.021793974511</v>
      </c>
      <c r="K32" s="13" t="n">
        <f aca="false">'04 DETAILED RATE ANALYSIS'!J714</f>
        <v>31.15</v>
      </c>
      <c r="L32" s="13" t="n">
        <f aca="false">'04 DETAILED RATE ANALYSIS'!J715</f>
        <v>0</v>
      </c>
      <c r="M32" s="13" t="n">
        <f aca="false">'04 DETAILED RATE ANALYSIS'!J716</f>
        <v>0</v>
      </c>
      <c r="N32" s="13" t="n">
        <f aca="false">'04 DETAILED RATE ANALYSIS'!J712</f>
        <v>8.96714301990591</v>
      </c>
      <c r="O32" s="13" t="n">
        <f aca="false">'04 DETAILED RATE ANALYSIS'!J717</f>
        <v>224.138936994417</v>
      </c>
      <c r="P32" s="13" t="n">
        <f aca="false">'04 DETAILED RATE ANALYSIS'!J718+'04 DETAILED RATE ANALYSIS'!J719</f>
        <v>17.9311149595534</v>
      </c>
      <c r="Q32" s="13" t="n">
        <f aca="false">'04 DETAILED RATE ANALYSIS'!J720</f>
        <v>22.4138936994417</v>
      </c>
      <c r="R32" s="13" t="n">
        <f aca="false">'04 DETAILED RATE ANALYSIS'!J722</f>
        <v>0</v>
      </c>
      <c r="S32" s="14" t="n">
        <f aca="false">'04 DETAILED RATE ANALYSIS'!J723</f>
        <v>264</v>
      </c>
      <c r="T32" s="13" t="n">
        <f aca="false">S32*100</f>
        <v>26400</v>
      </c>
      <c r="U32" s="15" t="str">
        <f aca="false">IF(W32&gt;0,"INCOMPLETE – "&amp;W32&amp;" blank/old input(s)","Market-derived + assumptions")</f>
        <v>Market-derived + assumptions</v>
      </c>
      <c r="V32" s="9" t="s">
        <v>183</v>
      </c>
      <c r="W32" s="13" t="n">
        <f aca="false">'04 DETAILED RATE ANALYSIS'!J724</f>
        <v>0</v>
      </c>
      <c r="X32" s="9" t="s">
        <v>112</v>
      </c>
      <c r="Y32" s="9" t="s">
        <v>113</v>
      </c>
      <c r="Z32" s="9" t="s">
        <v>114</v>
      </c>
      <c r="AA32" s="5" t="s">
        <v>237</v>
      </c>
      <c r="AB32" s="15" t="str">
        <f aca="false">IF(COUNTIF($A$5:$A$999,A32)&gt;1,"DUPLICATE","")</f>
        <v/>
      </c>
    </row>
    <row r="33" customFormat="false" ht="60" hidden="false" customHeight="true" outlineLevel="0" collapsed="false">
      <c r="A33" s="9" t="s">
        <v>242</v>
      </c>
      <c r="B33" s="9" t="s">
        <v>104</v>
      </c>
      <c r="C33" s="9" t="s">
        <v>201</v>
      </c>
      <c r="D33" s="9" t="s">
        <v>243</v>
      </c>
      <c r="E33" s="5" t="s">
        <v>244</v>
      </c>
      <c r="F33" s="5" t="s">
        <v>245</v>
      </c>
      <c r="G33" s="9" t="s">
        <v>212</v>
      </c>
      <c r="H33" s="9" t="str">
        <f aca="false">City</f>
        <v>Lahore</v>
      </c>
      <c r="I33" s="9" t="s">
        <v>110</v>
      </c>
      <c r="J33" s="13" t="n">
        <f aca="false">'04 DETAILED RATE ANALYSIS'!J733</f>
        <v>202.459262130904</v>
      </c>
      <c r="K33" s="13" t="n">
        <f aca="false">'04 DETAILED RATE ANALYSIS'!J736</f>
        <v>24.92</v>
      </c>
      <c r="L33" s="13" t="n">
        <f aca="false">'04 DETAILED RATE ANALYSIS'!J737</f>
        <v>0</v>
      </c>
      <c r="M33" s="13" t="n">
        <f aca="false">'04 DETAILED RATE ANALYSIS'!J738</f>
        <v>0</v>
      </c>
      <c r="N33" s="13" t="n">
        <f aca="false">'04 DETAILED RATE ANALYSIS'!J734</f>
        <v>9.95045293015443</v>
      </c>
      <c r="O33" s="13" t="n">
        <f aca="false">'04 DETAILED RATE ANALYSIS'!J739</f>
        <v>237.329715061058</v>
      </c>
      <c r="P33" s="13" t="n">
        <f aca="false">'04 DETAILED RATE ANALYSIS'!J740+'04 DETAILED RATE ANALYSIS'!J741</f>
        <v>18.9863772048847</v>
      </c>
      <c r="Q33" s="13" t="n">
        <f aca="false">'04 DETAILED RATE ANALYSIS'!J742</f>
        <v>23.7329715061058</v>
      </c>
      <c r="R33" s="13" t="n">
        <f aca="false">'04 DETAILED RATE ANALYSIS'!J744</f>
        <v>0</v>
      </c>
      <c r="S33" s="14" t="n">
        <f aca="false">'04 DETAILED RATE ANALYSIS'!J745</f>
        <v>280</v>
      </c>
      <c r="T33" s="13" t="n">
        <f aca="false">S33*100</f>
        <v>28000</v>
      </c>
      <c r="U33" s="15" t="str">
        <f aca="false">IF(W33&gt;0,"INCOMPLETE – "&amp;W33&amp;" blank/old input(s)","Market-derived + assumptions")</f>
        <v>Market-derived + assumptions</v>
      </c>
      <c r="V33" s="9" t="s">
        <v>183</v>
      </c>
      <c r="W33" s="13" t="n">
        <f aca="false">'04 DETAILED RATE ANALYSIS'!J746</f>
        <v>0</v>
      </c>
      <c r="X33" s="9" t="s">
        <v>112</v>
      </c>
      <c r="Y33" s="9" t="s">
        <v>113</v>
      </c>
      <c r="Z33" s="9" t="s">
        <v>114</v>
      </c>
      <c r="AA33" s="5" t="s">
        <v>237</v>
      </c>
      <c r="AB33" s="15" t="str">
        <f aca="false">IF(COUNTIF($A$5:$A$999,A33)&gt;1,"DUPLICATE","")</f>
        <v/>
      </c>
    </row>
    <row r="34" customFormat="false" ht="60" hidden="false" customHeight="true" outlineLevel="0" collapsed="false">
      <c r="A34" s="9" t="s">
        <v>246</v>
      </c>
      <c r="B34" s="9" t="s">
        <v>104</v>
      </c>
      <c r="C34" s="9" t="s">
        <v>201</v>
      </c>
      <c r="D34" s="9" t="s">
        <v>247</v>
      </c>
      <c r="E34" s="5" t="s">
        <v>248</v>
      </c>
      <c r="F34" s="5" t="s">
        <v>249</v>
      </c>
      <c r="G34" s="9" t="s">
        <v>212</v>
      </c>
      <c r="H34" s="9" t="str">
        <f aca="false">City</f>
        <v>Lahore</v>
      </c>
      <c r="I34" s="9" t="s">
        <v>110</v>
      </c>
      <c r="J34" s="13" t="n">
        <f aca="false">'04 DETAILED RATE ANALYSIS'!J755</f>
        <v>127.10625</v>
      </c>
      <c r="K34" s="13" t="n">
        <f aca="false">'04 DETAILED RATE ANALYSIS'!J758</f>
        <v>31.15</v>
      </c>
      <c r="L34" s="13" t="n">
        <f aca="false">'04 DETAILED RATE ANALYSIS'!J759</f>
        <v>0</v>
      </c>
      <c r="M34" s="13" t="n">
        <f aca="false">'04 DETAILED RATE ANALYSIS'!J760</f>
        <v>0</v>
      </c>
      <c r="N34" s="13" t="n">
        <f aca="false">'04 DETAILED RATE ANALYSIS'!J756</f>
        <v>5.4339375</v>
      </c>
      <c r="O34" s="13" t="n">
        <f aca="false">'04 DETAILED RATE ANALYSIS'!J761</f>
        <v>163.6901875</v>
      </c>
      <c r="P34" s="13" t="n">
        <f aca="false">'04 DETAILED RATE ANALYSIS'!J762+'04 DETAILED RATE ANALYSIS'!J763</f>
        <v>13.095215</v>
      </c>
      <c r="Q34" s="13" t="n">
        <f aca="false">'04 DETAILED RATE ANALYSIS'!J764</f>
        <v>16.36901875</v>
      </c>
      <c r="R34" s="13" t="n">
        <f aca="false">'04 DETAILED RATE ANALYSIS'!J766</f>
        <v>0</v>
      </c>
      <c r="S34" s="14" t="n">
        <f aca="false">'04 DETAILED RATE ANALYSIS'!J767</f>
        <v>193</v>
      </c>
      <c r="T34" s="13" t="n">
        <f aca="false">S34*100</f>
        <v>19300</v>
      </c>
      <c r="U34" s="15" t="str">
        <f aca="false">IF(W34&gt;0,"INCOMPLETE – "&amp;W34&amp;" blank/old input(s)","Market-derived + assumptions")</f>
        <v>Market-derived + assumptions</v>
      </c>
      <c r="V34" s="9" t="s">
        <v>183</v>
      </c>
      <c r="W34" s="13" t="n">
        <f aca="false">'04 DETAILED RATE ANALYSIS'!J768</f>
        <v>0</v>
      </c>
      <c r="X34" s="9" t="s">
        <v>112</v>
      </c>
      <c r="Y34" s="9" t="s">
        <v>113</v>
      </c>
      <c r="Z34" s="9" t="s">
        <v>114</v>
      </c>
      <c r="AA34" s="5"/>
      <c r="AB34" s="15" t="str">
        <f aca="false">IF(COUNTIF($A$5:$A$999,A34)&gt;1,"DUPLICATE","")</f>
        <v/>
      </c>
    </row>
    <row r="35" customFormat="false" ht="60" hidden="false" customHeight="true" outlineLevel="0" collapsed="false">
      <c r="A35" s="9" t="s">
        <v>250</v>
      </c>
      <c r="B35" s="9" t="s">
        <v>207</v>
      </c>
      <c r="C35" s="9" t="s">
        <v>251</v>
      </c>
      <c r="D35" s="9" t="s">
        <v>252</v>
      </c>
      <c r="E35" s="5" t="s">
        <v>253</v>
      </c>
      <c r="F35" s="5" t="s">
        <v>254</v>
      </c>
      <c r="G35" s="9" t="s">
        <v>212</v>
      </c>
      <c r="H35" s="9" t="str">
        <f aca="false">City</f>
        <v>Lahore</v>
      </c>
      <c r="I35" s="9" t="s">
        <v>110</v>
      </c>
      <c r="J35" s="13" t="n">
        <f aca="false">'04 DETAILED RATE ANALYSIS'!J776</f>
        <v>53.9175</v>
      </c>
      <c r="K35" s="13" t="n">
        <f aca="false">'04 DETAILED RATE ANALYSIS'!J779</f>
        <v>55.5368421052632</v>
      </c>
      <c r="L35" s="13" t="n">
        <f aca="false">'04 DETAILED RATE ANALYSIS'!J780</f>
        <v>0</v>
      </c>
      <c r="M35" s="13" t="n">
        <f aca="false">'04 DETAILED RATE ANALYSIS'!J781</f>
        <v>0</v>
      </c>
      <c r="N35" s="13" t="n">
        <f aca="false">'04 DETAILED RATE ANALYSIS'!J777</f>
        <v>1.40595</v>
      </c>
      <c r="O35" s="13" t="n">
        <f aca="false">'04 DETAILED RATE ANALYSIS'!J782</f>
        <v>110.860292105263</v>
      </c>
      <c r="P35" s="13" t="n">
        <f aca="false">'04 DETAILED RATE ANALYSIS'!J783+'04 DETAILED RATE ANALYSIS'!J784</f>
        <v>8.86882336842105</v>
      </c>
      <c r="Q35" s="13" t="n">
        <f aca="false">'04 DETAILED RATE ANALYSIS'!J785</f>
        <v>11.0860292105263</v>
      </c>
      <c r="R35" s="13" t="n">
        <f aca="false">'04 DETAILED RATE ANALYSIS'!J787</f>
        <v>0</v>
      </c>
      <c r="S35" s="14" t="n">
        <f aca="false">'04 DETAILED RATE ANALYSIS'!J788</f>
        <v>131</v>
      </c>
      <c r="T35" s="13" t="n">
        <f aca="false">S35*100</f>
        <v>13100</v>
      </c>
      <c r="U35" s="15" t="str">
        <f aca="false">IF(W35&gt;0,"INCOMPLETE – "&amp;W35&amp;" blank/old input(s)","Market-derived + assumptions")</f>
        <v>Market-derived + assumptions</v>
      </c>
      <c r="V35" s="9" t="s">
        <v>183</v>
      </c>
      <c r="W35" s="13" t="n">
        <f aca="false">'04 DETAILED RATE ANALYSIS'!J789</f>
        <v>0</v>
      </c>
      <c r="X35" s="9" t="s">
        <v>112</v>
      </c>
      <c r="Y35" s="9" t="s">
        <v>113</v>
      </c>
      <c r="Z35" s="9" t="s">
        <v>114</v>
      </c>
      <c r="AA35" s="5" t="s">
        <v>255</v>
      </c>
      <c r="AB35" s="15" t="str">
        <f aca="false">IF(COUNTIF($A$5:$A$999,A35)&gt;1,"DUPLICATE","")</f>
        <v/>
      </c>
    </row>
    <row r="36" customFormat="false" ht="60" hidden="false" customHeight="true" outlineLevel="0" collapsed="false">
      <c r="A36" s="9" t="s">
        <v>256</v>
      </c>
      <c r="B36" s="9" t="s">
        <v>207</v>
      </c>
      <c r="C36" s="9" t="s">
        <v>251</v>
      </c>
      <c r="D36" s="9" t="s">
        <v>257</v>
      </c>
      <c r="E36" s="5" t="s">
        <v>258</v>
      </c>
      <c r="F36" s="5" t="s">
        <v>259</v>
      </c>
      <c r="G36" s="9" t="s">
        <v>212</v>
      </c>
      <c r="H36" s="9" t="str">
        <f aca="false">City</f>
        <v>Lahore</v>
      </c>
      <c r="I36" s="9" t="s">
        <v>110</v>
      </c>
      <c r="J36" s="13" t="n">
        <f aca="false">'04 DETAILED RATE ANALYSIS'!J797</f>
        <v>71.8900000000001</v>
      </c>
      <c r="K36" s="13" t="n">
        <f aca="false">'04 DETAILED RATE ANALYSIS'!J800</f>
        <v>65.95</v>
      </c>
      <c r="L36" s="13" t="n">
        <f aca="false">'04 DETAILED RATE ANALYSIS'!J801</f>
        <v>0</v>
      </c>
      <c r="M36" s="13" t="n">
        <f aca="false">'04 DETAILED RATE ANALYSIS'!J802</f>
        <v>0</v>
      </c>
      <c r="N36" s="13" t="n">
        <f aca="false">'04 DETAILED RATE ANALYSIS'!J798</f>
        <v>1.8746</v>
      </c>
      <c r="O36" s="13" t="n">
        <f aca="false">'04 DETAILED RATE ANALYSIS'!J803</f>
        <v>139.7146</v>
      </c>
      <c r="P36" s="13" t="n">
        <f aca="false">'04 DETAILED RATE ANALYSIS'!J804+'04 DETAILED RATE ANALYSIS'!J805</f>
        <v>11.177168</v>
      </c>
      <c r="Q36" s="13" t="n">
        <f aca="false">'04 DETAILED RATE ANALYSIS'!J806</f>
        <v>13.97146</v>
      </c>
      <c r="R36" s="13" t="n">
        <f aca="false">'04 DETAILED RATE ANALYSIS'!J808</f>
        <v>0</v>
      </c>
      <c r="S36" s="14" t="n">
        <f aca="false">'04 DETAILED RATE ANALYSIS'!J809</f>
        <v>165</v>
      </c>
      <c r="T36" s="13" t="n">
        <f aca="false">S36*100</f>
        <v>16500</v>
      </c>
      <c r="U36" s="15" t="str">
        <f aca="false">IF(W36&gt;0,"INCOMPLETE – "&amp;W36&amp;" blank/old input(s)","Market-derived + assumptions")</f>
        <v>Market-derived + assumptions</v>
      </c>
      <c r="V36" s="9" t="s">
        <v>183</v>
      </c>
      <c r="W36" s="13" t="n">
        <f aca="false">'04 DETAILED RATE ANALYSIS'!J810</f>
        <v>0</v>
      </c>
      <c r="X36" s="9" t="s">
        <v>112</v>
      </c>
      <c r="Y36" s="9" t="s">
        <v>113</v>
      </c>
      <c r="Z36" s="9" t="s">
        <v>114</v>
      </c>
      <c r="AA36" s="5" t="s">
        <v>255</v>
      </c>
      <c r="AB36" s="15" t="str">
        <f aca="false">IF(COUNTIF($A$5:$A$999,A36)&gt;1,"DUPLICATE","")</f>
        <v/>
      </c>
    </row>
    <row r="37" customFormat="false" ht="60" hidden="false" customHeight="true" outlineLevel="0" collapsed="false">
      <c r="A37" s="9" t="s">
        <v>260</v>
      </c>
      <c r="B37" s="9" t="s">
        <v>207</v>
      </c>
      <c r="C37" s="9" t="s">
        <v>251</v>
      </c>
      <c r="D37" s="9" t="s">
        <v>261</v>
      </c>
      <c r="E37" s="5" t="s">
        <v>262</v>
      </c>
      <c r="F37" s="5" t="s">
        <v>263</v>
      </c>
      <c r="G37" s="9" t="s">
        <v>212</v>
      </c>
      <c r="H37" s="9" t="str">
        <f aca="false">City</f>
        <v>Lahore</v>
      </c>
      <c r="I37" s="9" t="s">
        <v>110</v>
      </c>
      <c r="J37" s="13" t="n">
        <f aca="false">'04 DETAILED RATE ANALYSIS'!J818</f>
        <v>127.96875</v>
      </c>
      <c r="K37" s="13" t="n">
        <f aca="false">'04 DETAILED RATE ANALYSIS'!J821</f>
        <v>81.1692307692308</v>
      </c>
      <c r="L37" s="13" t="n">
        <f aca="false">'04 DETAILED RATE ANALYSIS'!J822</f>
        <v>0</v>
      </c>
      <c r="M37" s="13" t="n">
        <f aca="false">'04 DETAILED RATE ANALYSIS'!J823</f>
        <v>0</v>
      </c>
      <c r="N37" s="13" t="n">
        <f aca="false">'04 DETAILED RATE ANALYSIS'!J819</f>
        <v>3.17362500000002</v>
      </c>
      <c r="O37" s="13" t="n">
        <f aca="false">'04 DETAILED RATE ANALYSIS'!J824</f>
        <v>212.311605769231</v>
      </c>
      <c r="P37" s="13" t="n">
        <f aca="false">'04 DETAILED RATE ANALYSIS'!J825+'04 DETAILED RATE ANALYSIS'!J826</f>
        <v>16.9849284615385</v>
      </c>
      <c r="Q37" s="13" t="n">
        <f aca="false">'04 DETAILED RATE ANALYSIS'!J827</f>
        <v>21.2311605769231</v>
      </c>
      <c r="R37" s="13" t="n">
        <f aca="false">'04 DETAILED RATE ANALYSIS'!J829</f>
        <v>0</v>
      </c>
      <c r="S37" s="14" t="n">
        <f aca="false">'04 DETAILED RATE ANALYSIS'!J830</f>
        <v>251</v>
      </c>
      <c r="T37" s="13" t="n">
        <f aca="false">S37*100</f>
        <v>25100</v>
      </c>
      <c r="U37" s="15" t="str">
        <f aca="false">IF(W37&gt;0,"INCOMPLETE – "&amp;W37&amp;" blank/old input(s)","Market-derived + assumptions")</f>
        <v>Market-derived + assumptions</v>
      </c>
      <c r="V37" s="9" t="s">
        <v>183</v>
      </c>
      <c r="W37" s="13" t="n">
        <f aca="false">'04 DETAILED RATE ANALYSIS'!J831</f>
        <v>0</v>
      </c>
      <c r="X37" s="9" t="s">
        <v>112</v>
      </c>
      <c r="Y37" s="9" t="s">
        <v>113</v>
      </c>
      <c r="Z37" s="9" t="s">
        <v>114</v>
      </c>
      <c r="AA37" s="5" t="s">
        <v>255</v>
      </c>
      <c r="AB37" s="15" t="str">
        <f aca="false">IF(COUNTIF($A$5:$A$999,A37)&gt;1,"DUPLICATE","")</f>
        <v/>
      </c>
    </row>
    <row r="38" customFormat="false" ht="60" hidden="false" customHeight="true" outlineLevel="0" collapsed="false">
      <c r="A38" s="9" t="s">
        <v>264</v>
      </c>
      <c r="B38" s="9" t="s">
        <v>207</v>
      </c>
      <c r="C38" s="9" t="s">
        <v>265</v>
      </c>
      <c r="D38" s="9" t="s">
        <v>266</v>
      </c>
      <c r="E38" s="5" t="s">
        <v>267</v>
      </c>
      <c r="F38" s="5" t="s">
        <v>268</v>
      </c>
      <c r="G38" s="9" t="s">
        <v>212</v>
      </c>
      <c r="H38" s="9" t="str">
        <f aca="false">City</f>
        <v>Lahore</v>
      </c>
      <c r="I38" s="9" t="s">
        <v>110</v>
      </c>
      <c r="J38" s="13" t="n">
        <f aca="false">'04 DETAILED RATE ANALYSIS'!J841</f>
        <v>100.5865</v>
      </c>
      <c r="K38" s="13" t="n">
        <f aca="false">'04 DETAILED RATE ANALYSIS'!J844</f>
        <v>20.7666666666667</v>
      </c>
      <c r="L38" s="13" t="n">
        <f aca="false">'04 DETAILED RATE ANALYSIS'!J845</f>
        <v>4.44444444444445</v>
      </c>
      <c r="M38" s="13" t="n">
        <f aca="false">'04 DETAILED RATE ANALYSIS'!J846</f>
        <v>0</v>
      </c>
      <c r="N38" s="13" t="n">
        <f aca="false">'04 DETAILED RATE ANALYSIS'!J842</f>
        <v>11.76</v>
      </c>
      <c r="O38" s="13" t="n">
        <f aca="false">'04 DETAILED RATE ANALYSIS'!J847</f>
        <v>137.557611111111</v>
      </c>
      <c r="P38" s="13" t="n">
        <f aca="false">'04 DETAILED RATE ANALYSIS'!J848+'04 DETAILED RATE ANALYSIS'!J849</f>
        <v>11.0046088888889</v>
      </c>
      <c r="Q38" s="13" t="n">
        <f aca="false">'04 DETAILED RATE ANALYSIS'!J850</f>
        <v>13.7557611111111</v>
      </c>
      <c r="R38" s="13" t="n">
        <f aca="false">'04 DETAILED RATE ANALYSIS'!J852</f>
        <v>0</v>
      </c>
      <c r="S38" s="14" t="n">
        <f aca="false">'04 DETAILED RATE ANALYSIS'!J853</f>
        <v>162</v>
      </c>
      <c r="T38" s="13" t="n">
        <f aca="false">S38*100</f>
        <v>16200</v>
      </c>
      <c r="U38" s="15" t="str">
        <f aca="false">IF(W38&gt;0,"INCOMPLETE – "&amp;W38&amp;" blank/old input(s)","Market-derived + assumptions")</f>
        <v>INCOMPLETE – 1 blank/old input(s)</v>
      </c>
      <c r="V38" s="9" t="s">
        <v>111</v>
      </c>
      <c r="W38" s="13" t="n">
        <f aca="false">'04 DETAILED RATE ANALYSIS'!J854</f>
        <v>1</v>
      </c>
      <c r="X38" s="9" t="s">
        <v>112</v>
      </c>
      <c r="Y38" s="9" t="s">
        <v>113</v>
      </c>
      <c r="Z38" s="9" t="s">
        <v>114</v>
      </c>
      <c r="AA38" s="5" t="s">
        <v>269</v>
      </c>
      <c r="AB38" s="15" t="str">
        <f aca="false">IF(COUNTIF($A$5:$A$999,A38)&gt;1,"DUPLICATE","")</f>
        <v/>
      </c>
    </row>
    <row r="39" customFormat="false" ht="60" hidden="false" customHeight="true" outlineLevel="0" collapsed="false">
      <c r="A39" s="9" t="s">
        <v>270</v>
      </c>
      <c r="B39" s="9" t="s">
        <v>207</v>
      </c>
      <c r="C39" s="9" t="s">
        <v>265</v>
      </c>
      <c r="D39" s="9" t="s">
        <v>271</v>
      </c>
      <c r="E39" s="5" t="s">
        <v>272</v>
      </c>
      <c r="F39" s="5" t="s">
        <v>273</v>
      </c>
      <c r="G39" s="9" t="s">
        <v>212</v>
      </c>
      <c r="H39" s="9" t="str">
        <f aca="false">City</f>
        <v>Lahore</v>
      </c>
      <c r="I39" s="9" t="s">
        <v>110</v>
      </c>
      <c r="J39" s="13" t="n">
        <f aca="false">'04 DETAILED RATE ANALYSIS'!J861</f>
        <v>47</v>
      </c>
      <c r="K39" s="13" t="n">
        <f aca="false">'04 DETAILED RATE ANALYSIS'!J864</f>
        <v>12.46</v>
      </c>
      <c r="L39" s="13" t="n">
        <f aca="false">'04 DETAILED RATE ANALYSIS'!J865</f>
        <v>0</v>
      </c>
      <c r="M39" s="13" t="n">
        <f aca="false">'04 DETAILED RATE ANALYSIS'!J866</f>
        <v>0</v>
      </c>
      <c r="N39" s="13" t="n">
        <f aca="false">'04 DETAILED RATE ANALYSIS'!J862</f>
        <v>2.35</v>
      </c>
      <c r="O39" s="13" t="n">
        <f aca="false">'04 DETAILED RATE ANALYSIS'!J867</f>
        <v>61.81</v>
      </c>
      <c r="P39" s="13" t="n">
        <f aca="false">'04 DETAILED RATE ANALYSIS'!J868+'04 DETAILED RATE ANALYSIS'!J869</f>
        <v>4.9448</v>
      </c>
      <c r="Q39" s="13" t="n">
        <f aca="false">'04 DETAILED RATE ANALYSIS'!J870</f>
        <v>6.181</v>
      </c>
      <c r="R39" s="13" t="n">
        <f aca="false">'04 DETAILED RATE ANALYSIS'!J872</f>
        <v>0</v>
      </c>
      <c r="S39" s="14" t="n">
        <f aca="false">'04 DETAILED RATE ANALYSIS'!J873</f>
        <v>73</v>
      </c>
      <c r="T39" s="13" t="n">
        <f aca="false">S39*100</f>
        <v>7300</v>
      </c>
      <c r="U39" s="15" t="str">
        <f aca="false">IF(W39&gt;0,"INCOMPLETE – "&amp;W39&amp;" blank/old input(s)","Market-derived + assumptions")</f>
        <v>INCOMPLETE – 1 blank/old input(s)</v>
      </c>
      <c r="V39" s="9" t="s">
        <v>111</v>
      </c>
      <c r="W39" s="13" t="n">
        <f aca="false">'04 DETAILED RATE ANALYSIS'!J874</f>
        <v>1</v>
      </c>
      <c r="X39" s="9" t="s">
        <v>112</v>
      </c>
      <c r="Y39" s="9" t="s">
        <v>113</v>
      </c>
      <c r="Z39" s="9" t="s">
        <v>114</v>
      </c>
      <c r="AA39" s="5"/>
      <c r="AB39" s="15" t="str">
        <f aca="false">IF(COUNTIF($A$5:$A$999,A39)&gt;1,"DUPLICATE","")</f>
        <v/>
      </c>
    </row>
    <row r="40" customFormat="false" ht="60" hidden="false" customHeight="true" outlineLevel="0" collapsed="false">
      <c r="A40" s="9" t="s">
        <v>274</v>
      </c>
      <c r="B40" s="9" t="s">
        <v>207</v>
      </c>
      <c r="C40" s="9" t="s">
        <v>265</v>
      </c>
      <c r="D40" s="9" t="s">
        <v>275</v>
      </c>
      <c r="E40" s="5" t="s">
        <v>276</v>
      </c>
      <c r="F40" s="5" t="s">
        <v>277</v>
      </c>
      <c r="G40" s="9" t="s">
        <v>212</v>
      </c>
      <c r="H40" s="9" t="str">
        <f aca="false">City</f>
        <v>Lahore</v>
      </c>
      <c r="I40" s="9" t="s">
        <v>110</v>
      </c>
      <c r="J40" s="13" t="n">
        <f aca="false">'04 DETAILED RATE ANALYSIS'!J884</f>
        <v>78.6</v>
      </c>
      <c r="K40" s="13" t="n">
        <f aca="false">'04 DETAILED RATE ANALYSIS'!J887</f>
        <v>42.208</v>
      </c>
      <c r="L40" s="13" t="n">
        <f aca="false">'04 DETAILED RATE ANALYSIS'!J888</f>
        <v>0</v>
      </c>
      <c r="M40" s="13" t="n">
        <f aca="false">'04 DETAILED RATE ANALYSIS'!J889</f>
        <v>0</v>
      </c>
      <c r="N40" s="13" t="n">
        <f aca="false">'04 DETAILED RATE ANALYSIS'!J885</f>
        <v>1.90300000000001</v>
      </c>
      <c r="O40" s="13" t="n">
        <f aca="false">'04 DETAILED RATE ANALYSIS'!J890</f>
        <v>122.711</v>
      </c>
      <c r="P40" s="13" t="n">
        <f aca="false">'04 DETAILED RATE ANALYSIS'!J891+'04 DETAILED RATE ANALYSIS'!J892</f>
        <v>9.81688</v>
      </c>
      <c r="Q40" s="13" t="n">
        <f aca="false">'04 DETAILED RATE ANALYSIS'!J893</f>
        <v>12.2711</v>
      </c>
      <c r="R40" s="13" t="n">
        <f aca="false">'04 DETAILED RATE ANALYSIS'!J895</f>
        <v>0</v>
      </c>
      <c r="S40" s="14" t="n">
        <f aca="false">'04 DETAILED RATE ANALYSIS'!J896</f>
        <v>145</v>
      </c>
      <c r="T40" s="13" t="n">
        <f aca="false">S40*100</f>
        <v>14500</v>
      </c>
      <c r="U40" s="15" t="str">
        <f aca="false">IF(W40&gt;0,"INCOMPLETE – "&amp;W40&amp;" blank/old input(s)","Market-derived + assumptions")</f>
        <v>Market-derived + assumptions</v>
      </c>
      <c r="V40" s="9" t="s">
        <v>111</v>
      </c>
      <c r="W40" s="13" t="n">
        <f aca="false">'04 DETAILED RATE ANALYSIS'!J897</f>
        <v>0</v>
      </c>
      <c r="X40" s="9" t="s">
        <v>112</v>
      </c>
      <c r="Y40" s="9" t="s">
        <v>113</v>
      </c>
      <c r="Z40" s="9" t="s">
        <v>114</v>
      </c>
      <c r="AA40" s="5"/>
      <c r="AB40" s="15" t="str">
        <f aca="false">IF(COUNTIF($A$5:$A$999,A40)&gt;1,"DUPLICATE","")</f>
        <v/>
      </c>
    </row>
    <row r="41" customFormat="false" ht="60" hidden="false" customHeight="true" outlineLevel="0" collapsed="false">
      <c r="A41" s="9" t="s">
        <v>278</v>
      </c>
      <c r="B41" s="9" t="s">
        <v>207</v>
      </c>
      <c r="C41" s="9" t="s">
        <v>279</v>
      </c>
      <c r="D41" s="9" t="s">
        <v>280</v>
      </c>
      <c r="E41" s="5" t="s">
        <v>281</v>
      </c>
      <c r="F41" s="5" t="s">
        <v>282</v>
      </c>
      <c r="G41" s="9" t="s">
        <v>212</v>
      </c>
      <c r="H41" s="9" t="str">
        <f aca="false">City</f>
        <v>Lahore</v>
      </c>
      <c r="I41" s="9" t="s">
        <v>110</v>
      </c>
      <c r="J41" s="13" t="n">
        <f aca="false">'04 DETAILED RATE ANALYSIS'!J906</f>
        <v>225.833333333333</v>
      </c>
      <c r="K41" s="13" t="n">
        <f aca="false">'04 DETAILED RATE ANALYSIS'!J909</f>
        <v>33.65</v>
      </c>
      <c r="L41" s="13" t="n">
        <f aca="false">'04 DETAILED RATE ANALYSIS'!J910</f>
        <v>0</v>
      </c>
      <c r="M41" s="13" t="n">
        <f aca="false">'04 DETAILED RATE ANALYSIS'!J911</f>
        <v>0</v>
      </c>
      <c r="N41" s="13" t="n">
        <f aca="false">'04 DETAILED RATE ANALYSIS'!J907</f>
        <v>15.1716666666667</v>
      </c>
      <c r="O41" s="13" t="n">
        <f aca="false">'04 DETAILED RATE ANALYSIS'!J912</f>
        <v>274.655</v>
      </c>
      <c r="P41" s="13" t="n">
        <f aca="false">'04 DETAILED RATE ANALYSIS'!J913+'04 DETAILED RATE ANALYSIS'!J914</f>
        <v>21.9724</v>
      </c>
      <c r="Q41" s="13" t="n">
        <f aca="false">'04 DETAILED RATE ANALYSIS'!J915</f>
        <v>27.4655</v>
      </c>
      <c r="R41" s="13" t="n">
        <f aca="false">'04 DETAILED RATE ANALYSIS'!J917</f>
        <v>0</v>
      </c>
      <c r="S41" s="14" t="n">
        <f aca="false">'04 DETAILED RATE ANALYSIS'!J918</f>
        <v>324</v>
      </c>
      <c r="T41" s="13" t="n">
        <f aca="false">S41*100</f>
        <v>32400</v>
      </c>
      <c r="U41" s="15" t="str">
        <f aca="false">IF(W41&gt;0,"INCOMPLETE – "&amp;W41&amp;" blank/old input(s)","Market-derived + assumptions")</f>
        <v>Market-derived + assumptions</v>
      </c>
      <c r="V41" s="9" t="s">
        <v>183</v>
      </c>
      <c r="W41" s="13" t="n">
        <f aca="false">'04 DETAILED RATE ANALYSIS'!J919</f>
        <v>0</v>
      </c>
      <c r="X41" s="9" t="s">
        <v>112</v>
      </c>
      <c r="Y41" s="9" t="s">
        <v>113</v>
      </c>
      <c r="Z41" s="9" t="s">
        <v>114</v>
      </c>
      <c r="AA41" s="5" t="s">
        <v>283</v>
      </c>
      <c r="AB41" s="15" t="str">
        <f aca="false">IF(COUNTIF($A$5:$A$999,A41)&gt;1,"DUPLICATE","")</f>
        <v/>
      </c>
    </row>
    <row r="42" customFormat="false" ht="60" hidden="false" customHeight="true" outlineLevel="0" collapsed="false">
      <c r="A42" s="9" t="s">
        <v>284</v>
      </c>
      <c r="B42" s="9" t="s">
        <v>207</v>
      </c>
      <c r="C42" s="9" t="s">
        <v>279</v>
      </c>
      <c r="D42" s="9" t="s">
        <v>285</v>
      </c>
      <c r="E42" s="5" t="s">
        <v>286</v>
      </c>
      <c r="F42" s="5" t="s">
        <v>282</v>
      </c>
      <c r="G42" s="9" t="s">
        <v>212</v>
      </c>
      <c r="H42" s="9" t="str">
        <f aca="false">City</f>
        <v>Lahore</v>
      </c>
      <c r="I42" s="9" t="s">
        <v>110</v>
      </c>
      <c r="J42" s="13" t="n">
        <f aca="false">'04 DETAILED RATE ANALYSIS'!J928</f>
        <v>141.833333333333</v>
      </c>
      <c r="K42" s="13" t="n">
        <f aca="false">'04 DETAILED RATE ANALYSIS'!J931</f>
        <v>33.65</v>
      </c>
      <c r="L42" s="13" t="n">
        <f aca="false">'04 DETAILED RATE ANALYSIS'!J932</f>
        <v>0</v>
      </c>
      <c r="M42" s="13" t="n">
        <f aca="false">'04 DETAILED RATE ANALYSIS'!J933</f>
        <v>0</v>
      </c>
      <c r="N42" s="13" t="n">
        <f aca="false">'04 DETAILED RATE ANALYSIS'!J929</f>
        <v>9.29166666666666</v>
      </c>
      <c r="O42" s="13" t="n">
        <f aca="false">'04 DETAILED RATE ANALYSIS'!J934</f>
        <v>184.775</v>
      </c>
      <c r="P42" s="13" t="n">
        <f aca="false">'04 DETAILED RATE ANALYSIS'!J935+'04 DETAILED RATE ANALYSIS'!J936</f>
        <v>14.782</v>
      </c>
      <c r="Q42" s="13" t="n">
        <f aca="false">'04 DETAILED RATE ANALYSIS'!J937</f>
        <v>18.4775</v>
      </c>
      <c r="R42" s="13" t="n">
        <f aca="false">'04 DETAILED RATE ANALYSIS'!J939</f>
        <v>0</v>
      </c>
      <c r="S42" s="14" t="n">
        <f aca="false">'04 DETAILED RATE ANALYSIS'!J940</f>
        <v>218</v>
      </c>
      <c r="T42" s="13" t="n">
        <f aca="false">S42*100</f>
        <v>21800</v>
      </c>
      <c r="U42" s="15" t="str">
        <f aca="false">IF(W42&gt;0,"INCOMPLETE – "&amp;W42&amp;" blank/old input(s)","Market-derived + assumptions")</f>
        <v>Market-derived + assumptions</v>
      </c>
      <c r="V42" s="9" t="s">
        <v>183</v>
      </c>
      <c r="W42" s="13" t="n">
        <f aca="false">'04 DETAILED RATE ANALYSIS'!J941</f>
        <v>0</v>
      </c>
      <c r="X42" s="9" t="s">
        <v>112</v>
      </c>
      <c r="Y42" s="9" t="s">
        <v>113</v>
      </c>
      <c r="Z42" s="9" t="s">
        <v>114</v>
      </c>
      <c r="AA42" s="5" t="s">
        <v>283</v>
      </c>
      <c r="AB42" s="15" t="str">
        <f aca="false">IF(COUNTIF($A$5:$A$999,A42)&gt;1,"DUPLICATE","")</f>
        <v/>
      </c>
    </row>
    <row r="43" customFormat="false" ht="60" hidden="false" customHeight="true" outlineLevel="0" collapsed="false">
      <c r="A43" s="9" t="s">
        <v>287</v>
      </c>
      <c r="B43" s="9" t="s">
        <v>207</v>
      </c>
      <c r="C43" s="9" t="s">
        <v>288</v>
      </c>
      <c r="D43" s="9" t="s">
        <v>289</v>
      </c>
      <c r="E43" s="5" t="s">
        <v>290</v>
      </c>
      <c r="F43" s="5" t="s">
        <v>291</v>
      </c>
      <c r="G43" s="9" t="s">
        <v>212</v>
      </c>
      <c r="H43" s="9" t="str">
        <f aca="false">City</f>
        <v>Lahore</v>
      </c>
      <c r="I43" s="9" t="s">
        <v>110</v>
      </c>
      <c r="J43" s="13" t="n">
        <f aca="false">'04 DETAILED RATE ANALYSIS'!J950</f>
        <v>138.222222222222</v>
      </c>
      <c r="K43" s="13" t="n">
        <f aca="false">'04 DETAILED RATE ANALYSIS'!J953</f>
        <v>40.38</v>
      </c>
      <c r="L43" s="13" t="n">
        <f aca="false">'04 DETAILED RATE ANALYSIS'!J954</f>
        <v>0</v>
      </c>
      <c r="M43" s="13" t="n">
        <f aca="false">'04 DETAILED RATE ANALYSIS'!J955</f>
        <v>0</v>
      </c>
      <c r="N43" s="13" t="n">
        <f aca="false">'04 DETAILED RATE ANALYSIS'!J951</f>
        <v>9.11111111111111</v>
      </c>
      <c r="O43" s="13" t="n">
        <f aca="false">'04 DETAILED RATE ANALYSIS'!J956</f>
        <v>187.713333333333</v>
      </c>
      <c r="P43" s="13" t="n">
        <f aca="false">'04 DETAILED RATE ANALYSIS'!J957+'04 DETAILED RATE ANALYSIS'!J958</f>
        <v>15.0170666666667</v>
      </c>
      <c r="Q43" s="13" t="n">
        <f aca="false">'04 DETAILED RATE ANALYSIS'!J959</f>
        <v>18.7713333333333</v>
      </c>
      <c r="R43" s="13" t="n">
        <f aca="false">'04 DETAILED RATE ANALYSIS'!J961</f>
        <v>0</v>
      </c>
      <c r="S43" s="14" t="n">
        <f aca="false">'04 DETAILED RATE ANALYSIS'!J962</f>
        <v>222</v>
      </c>
      <c r="T43" s="13" t="n">
        <f aca="false">S43*100</f>
        <v>22200</v>
      </c>
      <c r="U43" s="15" t="str">
        <f aca="false">IF(W43&gt;0,"INCOMPLETE – "&amp;W43&amp;" blank/old input(s)","Market-derived + assumptions")</f>
        <v>Market-derived + assumptions</v>
      </c>
      <c r="V43" s="9" t="s">
        <v>183</v>
      </c>
      <c r="W43" s="13" t="n">
        <f aca="false">'04 DETAILED RATE ANALYSIS'!J963</f>
        <v>0</v>
      </c>
      <c r="X43" s="9" t="s">
        <v>112</v>
      </c>
      <c r="Y43" s="9" t="s">
        <v>113</v>
      </c>
      <c r="Z43" s="9" t="s">
        <v>114</v>
      </c>
      <c r="AA43" s="5" t="s">
        <v>283</v>
      </c>
      <c r="AB43" s="15" t="str">
        <f aca="false">IF(COUNTIF($A$5:$A$999,A43)&gt;1,"DUPLICATE","")</f>
        <v/>
      </c>
    </row>
    <row r="44" customFormat="false" ht="60" hidden="false" customHeight="true" outlineLevel="0" collapsed="false">
      <c r="A44" s="9" t="s">
        <v>292</v>
      </c>
      <c r="B44" s="9" t="s">
        <v>207</v>
      </c>
      <c r="C44" s="9" t="s">
        <v>288</v>
      </c>
      <c r="D44" s="9" t="s">
        <v>293</v>
      </c>
      <c r="E44" s="5" t="s">
        <v>294</v>
      </c>
      <c r="F44" s="5" t="s">
        <v>291</v>
      </c>
      <c r="G44" s="9" t="s">
        <v>212</v>
      </c>
      <c r="H44" s="9" t="str">
        <f aca="false">City</f>
        <v>Lahore</v>
      </c>
      <c r="I44" s="9" t="s">
        <v>110</v>
      </c>
      <c r="J44" s="13" t="n">
        <f aca="false">'04 DETAILED RATE ANALYSIS'!J972</f>
        <v>222.222222222222</v>
      </c>
      <c r="K44" s="13" t="n">
        <f aca="false">'04 DETAILED RATE ANALYSIS'!J975</f>
        <v>40.38</v>
      </c>
      <c r="L44" s="13" t="n">
        <f aca="false">'04 DETAILED RATE ANALYSIS'!J976</f>
        <v>0</v>
      </c>
      <c r="M44" s="13" t="n">
        <f aca="false">'04 DETAILED RATE ANALYSIS'!J977</f>
        <v>0</v>
      </c>
      <c r="N44" s="13" t="n">
        <f aca="false">'04 DETAILED RATE ANALYSIS'!J973</f>
        <v>14.9911111111111</v>
      </c>
      <c r="O44" s="13" t="n">
        <f aca="false">'04 DETAILED RATE ANALYSIS'!J978</f>
        <v>277.593333333333</v>
      </c>
      <c r="P44" s="13" t="n">
        <f aca="false">'04 DETAILED RATE ANALYSIS'!J979+'04 DETAILED RATE ANALYSIS'!J980</f>
        <v>22.2074666666667</v>
      </c>
      <c r="Q44" s="13" t="n">
        <f aca="false">'04 DETAILED RATE ANALYSIS'!J981</f>
        <v>27.7593333333333</v>
      </c>
      <c r="R44" s="13" t="n">
        <f aca="false">'04 DETAILED RATE ANALYSIS'!J983</f>
        <v>0</v>
      </c>
      <c r="S44" s="14" t="n">
        <f aca="false">'04 DETAILED RATE ANALYSIS'!J984</f>
        <v>328</v>
      </c>
      <c r="T44" s="13" t="n">
        <f aca="false">S44*100</f>
        <v>32800</v>
      </c>
      <c r="U44" s="15" t="str">
        <f aca="false">IF(W44&gt;0,"INCOMPLETE – "&amp;W44&amp;" blank/old input(s)","Market-derived + assumptions")</f>
        <v>Market-derived + assumptions</v>
      </c>
      <c r="V44" s="9" t="s">
        <v>183</v>
      </c>
      <c r="W44" s="13" t="n">
        <f aca="false">'04 DETAILED RATE ANALYSIS'!J985</f>
        <v>0</v>
      </c>
      <c r="X44" s="9" t="s">
        <v>112</v>
      </c>
      <c r="Y44" s="9" t="s">
        <v>113</v>
      </c>
      <c r="Z44" s="9" t="s">
        <v>114</v>
      </c>
      <c r="AA44" s="5" t="s">
        <v>283</v>
      </c>
      <c r="AB44" s="15" t="str">
        <f aca="false">IF(COUNTIF($A$5:$A$999,A44)&gt;1,"DUPLICATE","")</f>
        <v/>
      </c>
    </row>
    <row r="45" customFormat="false" ht="60" hidden="false" customHeight="true" outlineLevel="0" collapsed="false">
      <c r="A45" s="9" t="s">
        <v>295</v>
      </c>
      <c r="B45" s="9" t="s">
        <v>207</v>
      </c>
      <c r="C45" s="9" t="s">
        <v>279</v>
      </c>
      <c r="D45" s="9" t="s">
        <v>296</v>
      </c>
      <c r="E45" s="5" t="s">
        <v>297</v>
      </c>
      <c r="F45" s="5" t="s">
        <v>298</v>
      </c>
      <c r="G45" s="9" t="s">
        <v>212</v>
      </c>
      <c r="H45" s="9" t="str">
        <f aca="false">City</f>
        <v>Lahore</v>
      </c>
      <c r="I45" s="9" t="s">
        <v>110</v>
      </c>
      <c r="J45" s="13" t="n">
        <f aca="false">'04 DETAILED RATE ANALYSIS'!J994</f>
        <v>379.59464</v>
      </c>
      <c r="K45" s="13" t="n">
        <f aca="false">'04 DETAILED RATE ANALYSIS'!J997</f>
        <v>50.475</v>
      </c>
      <c r="L45" s="13" t="n">
        <f aca="false">'04 DETAILED RATE ANALYSIS'!J998</f>
        <v>0</v>
      </c>
      <c r="M45" s="13" t="n">
        <f aca="false">'04 DETAILED RATE ANALYSIS'!J999</f>
        <v>0</v>
      </c>
      <c r="N45" s="13" t="n">
        <f aca="false">'04 DETAILED RATE ANALYSIS'!J995</f>
        <v>24.6748096</v>
      </c>
      <c r="O45" s="13" t="n">
        <f aca="false">'04 DETAILED RATE ANALYSIS'!J1000</f>
        <v>454.7444496</v>
      </c>
      <c r="P45" s="13" t="n">
        <f aca="false">'04 DETAILED RATE ANALYSIS'!J1001+'04 DETAILED RATE ANALYSIS'!J1002</f>
        <v>36.379555968</v>
      </c>
      <c r="Q45" s="13" t="n">
        <f aca="false">'04 DETAILED RATE ANALYSIS'!J1003</f>
        <v>45.47444496</v>
      </c>
      <c r="R45" s="13" t="n">
        <f aca="false">'04 DETAILED RATE ANALYSIS'!J1005</f>
        <v>0</v>
      </c>
      <c r="S45" s="14" t="n">
        <f aca="false">'04 DETAILED RATE ANALYSIS'!J1006</f>
        <v>537</v>
      </c>
      <c r="T45" s="13" t="n">
        <f aca="false">S45*100</f>
        <v>53700</v>
      </c>
      <c r="U45" s="15" t="str">
        <f aca="false">IF(W45&gt;0,"INCOMPLETE – "&amp;W45&amp;" blank/old input(s)","Market-derived + assumptions")</f>
        <v>Market-derived + assumptions</v>
      </c>
      <c r="V45" s="9" t="s">
        <v>111</v>
      </c>
      <c r="W45" s="13" t="n">
        <f aca="false">'04 DETAILED RATE ANALYSIS'!J1007</f>
        <v>0</v>
      </c>
      <c r="X45" s="9" t="s">
        <v>112</v>
      </c>
      <c r="Y45" s="9" t="s">
        <v>113</v>
      </c>
      <c r="Z45" s="9" t="s">
        <v>114</v>
      </c>
      <c r="AA45" s="5" t="s">
        <v>299</v>
      </c>
      <c r="AB45" s="15" t="str">
        <f aca="false">IF(COUNTIF($A$5:$A$999,A45)&gt;1,"DUPLICATE","")</f>
        <v/>
      </c>
    </row>
    <row r="46" customFormat="false" ht="60" hidden="false" customHeight="true" outlineLevel="0" collapsed="false">
      <c r="A46" s="9" t="s">
        <v>300</v>
      </c>
      <c r="B46" s="9" t="s">
        <v>207</v>
      </c>
      <c r="C46" s="9" t="s">
        <v>279</v>
      </c>
      <c r="D46" s="9" t="s">
        <v>301</v>
      </c>
      <c r="E46" s="5" t="s">
        <v>302</v>
      </c>
      <c r="F46" s="5" t="s">
        <v>298</v>
      </c>
      <c r="G46" s="9" t="s">
        <v>212</v>
      </c>
      <c r="H46" s="9" t="str">
        <f aca="false">City</f>
        <v>Lahore</v>
      </c>
      <c r="I46" s="9" t="s">
        <v>110</v>
      </c>
      <c r="J46" s="13" t="n">
        <f aca="false">'04 DETAILED RATE ANALYSIS'!J1016</f>
        <v>134.59464</v>
      </c>
      <c r="K46" s="13" t="n">
        <f aca="false">'04 DETAILED RATE ANALYSIS'!J1019</f>
        <v>50.475</v>
      </c>
      <c r="L46" s="13" t="n">
        <f aca="false">'04 DETAILED RATE ANALYSIS'!J1020</f>
        <v>0</v>
      </c>
      <c r="M46" s="13" t="n">
        <f aca="false">'04 DETAILED RATE ANALYSIS'!J1021</f>
        <v>0</v>
      </c>
      <c r="N46" s="13" t="n">
        <f aca="false">'04 DETAILED RATE ANALYSIS'!J1017</f>
        <v>7.52480960000003</v>
      </c>
      <c r="O46" s="13" t="n">
        <f aca="false">'04 DETAILED RATE ANALYSIS'!J1022</f>
        <v>192.5944496</v>
      </c>
      <c r="P46" s="13" t="n">
        <f aca="false">'04 DETAILED RATE ANALYSIS'!J1023+'04 DETAILED RATE ANALYSIS'!J1024</f>
        <v>15.407555968</v>
      </c>
      <c r="Q46" s="13" t="n">
        <f aca="false">'04 DETAILED RATE ANALYSIS'!J1025</f>
        <v>19.25944496</v>
      </c>
      <c r="R46" s="13" t="n">
        <f aca="false">'04 DETAILED RATE ANALYSIS'!J1027</f>
        <v>0</v>
      </c>
      <c r="S46" s="14" t="n">
        <f aca="false">'04 DETAILED RATE ANALYSIS'!J1028</f>
        <v>227</v>
      </c>
      <c r="T46" s="13" t="n">
        <f aca="false">S46*100</f>
        <v>22700</v>
      </c>
      <c r="U46" s="15" t="str">
        <f aca="false">IF(W46&gt;0,"INCOMPLETE – "&amp;W46&amp;" blank/old input(s)","Market-derived + assumptions")</f>
        <v>Market-derived + assumptions</v>
      </c>
      <c r="V46" s="9" t="s">
        <v>111</v>
      </c>
      <c r="W46" s="13" t="n">
        <f aca="false">'04 DETAILED RATE ANALYSIS'!J1029</f>
        <v>0</v>
      </c>
      <c r="X46" s="9" t="s">
        <v>112</v>
      </c>
      <c r="Y46" s="9" t="s">
        <v>113</v>
      </c>
      <c r="Z46" s="9" t="s">
        <v>114</v>
      </c>
      <c r="AA46" s="5" t="s">
        <v>299</v>
      </c>
      <c r="AB46" s="15" t="str">
        <f aca="false">IF(COUNTIF($A$5:$A$999,A46)&gt;1,"DUPLICATE","")</f>
        <v/>
      </c>
    </row>
    <row r="47" customFormat="false" ht="60" hidden="false" customHeight="true" outlineLevel="0" collapsed="false">
      <c r="A47" s="9" t="s">
        <v>303</v>
      </c>
      <c r="B47" s="9" t="s">
        <v>207</v>
      </c>
      <c r="C47" s="9" t="s">
        <v>304</v>
      </c>
      <c r="D47" s="9" t="s">
        <v>305</v>
      </c>
      <c r="E47" s="5" t="s">
        <v>306</v>
      </c>
      <c r="F47" s="5" t="s">
        <v>307</v>
      </c>
      <c r="G47" s="9" t="s">
        <v>212</v>
      </c>
      <c r="H47" s="9" t="str">
        <f aca="false">City</f>
        <v>Lahore</v>
      </c>
      <c r="I47" s="9" t="s">
        <v>110</v>
      </c>
      <c r="J47" s="13" t="n">
        <f aca="false">'04 DETAILED RATE ANALYSIS'!J1036</f>
        <v>176.1</v>
      </c>
      <c r="K47" s="13" t="n">
        <f aca="false">'04 DETAILED RATE ANALYSIS'!J1039</f>
        <v>39.5866666666667</v>
      </c>
      <c r="L47" s="13" t="n">
        <f aca="false">'04 DETAILED RATE ANALYSIS'!J1040</f>
        <v>0</v>
      </c>
      <c r="M47" s="13" t="n">
        <f aca="false">'04 DETAILED RATE ANALYSIS'!J1041</f>
        <v>0</v>
      </c>
      <c r="N47" s="13" t="n">
        <f aca="false">'04 DETAILED RATE ANALYSIS'!J1037</f>
        <v>0</v>
      </c>
      <c r="O47" s="13" t="n">
        <f aca="false">'04 DETAILED RATE ANALYSIS'!J1042</f>
        <v>215.686666666667</v>
      </c>
      <c r="P47" s="13" t="n">
        <f aca="false">'04 DETAILED RATE ANALYSIS'!J1043+'04 DETAILED RATE ANALYSIS'!J1044</f>
        <v>17.2549333333333</v>
      </c>
      <c r="Q47" s="13" t="n">
        <f aca="false">'04 DETAILED RATE ANALYSIS'!J1045</f>
        <v>21.5686666666667</v>
      </c>
      <c r="R47" s="13" t="n">
        <f aca="false">'04 DETAILED RATE ANALYSIS'!J1047</f>
        <v>0</v>
      </c>
      <c r="S47" s="14" t="n">
        <f aca="false">'04 DETAILED RATE ANALYSIS'!J1048</f>
        <v>255</v>
      </c>
      <c r="T47" s="13" t="n">
        <f aca="false">S47*100</f>
        <v>25500</v>
      </c>
      <c r="U47" s="15" t="str">
        <f aca="false">IF(W47&gt;0,"INCOMPLETE – "&amp;W47&amp;" blank/old input(s)","Market-derived + assumptions")</f>
        <v>Market-derived + assumptions</v>
      </c>
      <c r="V47" s="9" t="s">
        <v>111</v>
      </c>
      <c r="W47" s="13" t="n">
        <f aca="false">'04 DETAILED RATE ANALYSIS'!J1049</f>
        <v>0</v>
      </c>
      <c r="X47" s="9" t="s">
        <v>112</v>
      </c>
      <c r="Y47" s="9" t="s">
        <v>113</v>
      </c>
      <c r="Z47" s="9" t="s">
        <v>114</v>
      </c>
      <c r="AA47" s="5" t="s">
        <v>308</v>
      </c>
      <c r="AB47" s="15" t="str">
        <f aca="false">IF(COUNTIF($A$5:$A$999,A47)&gt;1,"DUPLICATE","")</f>
        <v/>
      </c>
    </row>
    <row r="48" customFormat="false" ht="60" hidden="false" customHeight="true" outlineLevel="0" collapsed="false">
      <c r="A48" s="9" t="s">
        <v>309</v>
      </c>
      <c r="B48" s="9" t="s">
        <v>207</v>
      </c>
      <c r="C48" s="9" t="s">
        <v>304</v>
      </c>
      <c r="D48" s="9" t="s">
        <v>310</v>
      </c>
      <c r="E48" s="5" t="s">
        <v>311</v>
      </c>
      <c r="F48" s="5" t="s">
        <v>307</v>
      </c>
      <c r="G48" s="9" t="s">
        <v>212</v>
      </c>
      <c r="H48" s="9" t="str">
        <f aca="false">City</f>
        <v>Lahore</v>
      </c>
      <c r="I48" s="9" t="s">
        <v>110</v>
      </c>
      <c r="J48" s="13" t="n">
        <f aca="false">'04 DETAILED RATE ANALYSIS'!J1056</f>
        <v>212.19</v>
      </c>
      <c r="K48" s="13" t="n">
        <f aca="false">'04 DETAILED RATE ANALYSIS'!J1059</f>
        <v>39.5866666666667</v>
      </c>
      <c r="L48" s="13" t="n">
        <f aca="false">'04 DETAILED RATE ANALYSIS'!J1060</f>
        <v>0</v>
      </c>
      <c r="M48" s="13" t="n">
        <f aca="false">'04 DETAILED RATE ANALYSIS'!J1061</f>
        <v>0</v>
      </c>
      <c r="N48" s="13" t="n">
        <f aca="false">'04 DETAILED RATE ANALYSIS'!J1057</f>
        <v>0</v>
      </c>
      <c r="O48" s="13" t="n">
        <f aca="false">'04 DETAILED RATE ANALYSIS'!J1062</f>
        <v>251.776666666667</v>
      </c>
      <c r="P48" s="13" t="n">
        <f aca="false">'04 DETAILED RATE ANALYSIS'!J1063+'04 DETAILED RATE ANALYSIS'!J1064</f>
        <v>20.1421333333333</v>
      </c>
      <c r="Q48" s="13" t="n">
        <f aca="false">'04 DETAILED RATE ANALYSIS'!J1065</f>
        <v>25.1776666666667</v>
      </c>
      <c r="R48" s="13" t="n">
        <f aca="false">'04 DETAILED RATE ANALYSIS'!J1067</f>
        <v>0</v>
      </c>
      <c r="S48" s="14" t="n">
        <f aca="false">'04 DETAILED RATE ANALYSIS'!J1068</f>
        <v>297</v>
      </c>
      <c r="T48" s="13" t="n">
        <f aca="false">S48*100</f>
        <v>29700</v>
      </c>
      <c r="U48" s="15" t="str">
        <f aca="false">IF(W48&gt;0,"INCOMPLETE – "&amp;W48&amp;" blank/old input(s)","Market-derived + assumptions")</f>
        <v>Market-derived + assumptions</v>
      </c>
      <c r="V48" s="9" t="s">
        <v>111</v>
      </c>
      <c r="W48" s="13" t="n">
        <f aca="false">'04 DETAILED RATE ANALYSIS'!J1069</f>
        <v>0</v>
      </c>
      <c r="X48" s="9" t="s">
        <v>112</v>
      </c>
      <c r="Y48" s="9" t="s">
        <v>113</v>
      </c>
      <c r="Z48" s="9" t="s">
        <v>114</v>
      </c>
      <c r="AA48" s="5" t="s">
        <v>308</v>
      </c>
      <c r="AB48" s="15" t="str">
        <f aca="false">IF(COUNTIF($A$5:$A$999,A48)&gt;1,"DUPLICATE","")</f>
        <v/>
      </c>
    </row>
    <row r="49" customFormat="false" ht="60" hidden="false" customHeight="true" outlineLevel="0" collapsed="false">
      <c r="A49" s="9" t="s">
        <v>312</v>
      </c>
      <c r="B49" s="9" t="s">
        <v>207</v>
      </c>
      <c r="C49" s="9" t="s">
        <v>313</v>
      </c>
      <c r="D49" s="9" t="s">
        <v>314</v>
      </c>
      <c r="E49" s="5" t="s">
        <v>315</v>
      </c>
      <c r="F49" s="5" t="s">
        <v>316</v>
      </c>
      <c r="G49" s="9" t="s">
        <v>212</v>
      </c>
      <c r="H49" s="9" t="str">
        <f aca="false">City</f>
        <v>Lahore</v>
      </c>
      <c r="I49" s="9" t="s">
        <v>110</v>
      </c>
      <c r="J49" s="13" t="n">
        <f aca="false">'04 DETAILED RATE ANALYSIS'!J1078</f>
        <v>28.5076</v>
      </c>
      <c r="K49" s="13" t="n">
        <f aca="false">'04 DETAILED RATE ANALYSIS'!J1081</f>
        <v>19.1266666666667</v>
      </c>
      <c r="L49" s="13" t="n">
        <f aca="false">'04 DETAILED RATE ANALYSIS'!J1082</f>
        <v>0</v>
      </c>
      <c r="M49" s="13" t="n">
        <f aca="false">'04 DETAILED RATE ANALYSIS'!J1083</f>
        <v>0</v>
      </c>
      <c r="N49" s="13" t="n">
        <f aca="false">'04 DETAILED RATE ANALYSIS'!J1079</f>
        <v>1.42538</v>
      </c>
      <c r="O49" s="13" t="n">
        <f aca="false">'04 DETAILED RATE ANALYSIS'!J1084</f>
        <v>49.0596466666667</v>
      </c>
      <c r="P49" s="13" t="n">
        <f aca="false">'04 DETAILED RATE ANALYSIS'!J1085+'04 DETAILED RATE ANALYSIS'!J1086</f>
        <v>3.92477173333333</v>
      </c>
      <c r="Q49" s="13" t="n">
        <f aca="false">'04 DETAILED RATE ANALYSIS'!J1087</f>
        <v>4.90596466666667</v>
      </c>
      <c r="R49" s="13" t="n">
        <f aca="false">'04 DETAILED RATE ANALYSIS'!J1089</f>
        <v>0</v>
      </c>
      <c r="S49" s="14" t="n">
        <f aca="false">'04 DETAILED RATE ANALYSIS'!J1090</f>
        <v>58</v>
      </c>
      <c r="T49" s="13" t="n">
        <f aca="false">S49*100</f>
        <v>5800</v>
      </c>
      <c r="U49" s="15" t="str">
        <f aca="false">IF(W49&gt;0,"INCOMPLETE – "&amp;W49&amp;" blank/old input(s)","Market-derived + assumptions")</f>
        <v>Market-derived + assumptions</v>
      </c>
      <c r="V49" s="9" t="s">
        <v>183</v>
      </c>
      <c r="W49" s="13" t="n">
        <f aca="false">'04 DETAILED RATE ANALYSIS'!J1091</f>
        <v>0</v>
      </c>
      <c r="X49" s="9" t="s">
        <v>112</v>
      </c>
      <c r="Y49" s="9" t="s">
        <v>113</v>
      </c>
      <c r="Z49" s="9" t="s">
        <v>114</v>
      </c>
      <c r="AA49" s="5" t="s">
        <v>317</v>
      </c>
      <c r="AB49" s="15" t="str">
        <f aca="false">IF(COUNTIF($A$5:$A$999,A49)&gt;1,"DUPLICATE","")</f>
        <v/>
      </c>
    </row>
    <row r="50" customFormat="false" ht="60" hidden="false" customHeight="true" outlineLevel="0" collapsed="false">
      <c r="A50" s="9" t="s">
        <v>318</v>
      </c>
      <c r="B50" s="9" t="s">
        <v>207</v>
      </c>
      <c r="C50" s="9" t="s">
        <v>313</v>
      </c>
      <c r="D50" s="9" t="s">
        <v>319</v>
      </c>
      <c r="E50" s="5" t="s">
        <v>320</v>
      </c>
      <c r="F50" s="5" t="s">
        <v>321</v>
      </c>
      <c r="G50" s="9" t="s">
        <v>212</v>
      </c>
      <c r="H50" s="9" t="str">
        <f aca="false">City</f>
        <v>Lahore</v>
      </c>
      <c r="I50" s="9" t="s">
        <v>110</v>
      </c>
      <c r="J50" s="13" t="n">
        <f aca="false">'04 DETAILED RATE ANALYSIS'!J1099</f>
        <v>42.8075523809524</v>
      </c>
      <c r="K50" s="13" t="n">
        <f aca="false">'04 DETAILED RATE ANALYSIS'!J1102</f>
        <v>40.9857142857143</v>
      </c>
      <c r="L50" s="13" t="n">
        <f aca="false">'04 DETAILED RATE ANALYSIS'!J1103</f>
        <v>0</v>
      </c>
      <c r="M50" s="13" t="n">
        <f aca="false">'04 DETAILED RATE ANALYSIS'!J1104</f>
        <v>0</v>
      </c>
      <c r="N50" s="13" t="n">
        <f aca="false">'04 DETAILED RATE ANALYSIS'!J1100</f>
        <v>2.14037761904762</v>
      </c>
      <c r="O50" s="13" t="n">
        <f aca="false">'04 DETAILED RATE ANALYSIS'!J1105</f>
        <v>85.9336442857143</v>
      </c>
      <c r="P50" s="13" t="n">
        <f aca="false">'04 DETAILED RATE ANALYSIS'!J1106+'04 DETAILED RATE ANALYSIS'!J1107</f>
        <v>6.87469154285714</v>
      </c>
      <c r="Q50" s="13" t="n">
        <f aca="false">'04 DETAILED RATE ANALYSIS'!J1108</f>
        <v>8.59336442857143</v>
      </c>
      <c r="R50" s="13" t="n">
        <f aca="false">'04 DETAILED RATE ANALYSIS'!J1110</f>
        <v>0</v>
      </c>
      <c r="S50" s="14" t="n">
        <f aca="false">'04 DETAILED RATE ANALYSIS'!J1111</f>
        <v>101</v>
      </c>
      <c r="T50" s="13" t="n">
        <f aca="false">S50*100</f>
        <v>10100</v>
      </c>
      <c r="U50" s="15" t="str">
        <f aca="false">IF(W50&gt;0,"INCOMPLETE – "&amp;W50&amp;" blank/old input(s)","Market-derived + assumptions")</f>
        <v>Market-derived + assumptions</v>
      </c>
      <c r="V50" s="9" t="s">
        <v>111</v>
      </c>
      <c r="W50" s="13" t="n">
        <f aca="false">'04 DETAILED RATE ANALYSIS'!J1112</f>
        <v>0</v>
      </c>
      <c r="X50" s="9" t="s">
        <v>112</v>
      </c>
      <c r="Y50" s="9" t="s">
        <v>113</v>
      </c>
      <c r="Z50" s="9" t="s">
        <v>114</v>
      </c>
      <c r="AA50" s="5" t="s">
        <v>322</v>
      </c>
      <c r="AB50" s="15" t="str">
        <f aca="false">IF(COUNTIF($A$5:$A$999,A50)&gt;1,"DUPLICATE","")</f>
        <v/>
      </c>
    </row>
    <row r="51" customFormat="false" ht="60" hidden="false" customHeight="true" outlineLevel="0" collapsed="false">
      <c r="A51" s="9" t="s">
        <v>323</v>
      </c>
      <c r="B51" s="9" t="s">
        <v>324</v>
      </c>
      <c r="C51" s="9" t="s">
        <v>325</v>
      </c>
      <c r="D51" s="9" t="s">
        <v>326</v>
      </c>
      <c r="E51" s="5" t="s">
        <v>327</v>
      </c>
      <c r="F51" s="5" t="s">
        <v>328</v>
      </c>
      <c r="G51" s="9" t="s">
        <v>212</v>
      </c>
      <c r="H51" s="9" t="str">
        <f aca="false">City</f>
        <v>Lahore</v>
      </c>
      <c r="I51" s="9" t="s">
        <v>110</v>
      </c>
      <c r="J51" s="13" t="n">
        <f aca="false">'04 DETAILED RATE ANALYSIS'!J1119</f>
        <v>0</v>
      </c>
      <c r="K51" s="13" t="n">
        <f aca="false">'04 DETAILED RATE ANALYSIS'!J1122</f>
        <v>0</v>
      </c>
      <c r="L51" s="13" t="n">
        <f aca="false">'04 DETAILED RATE ANALYSIS'!J1123</f>
        <v>75</v>
      </c>
      <c r="M51" s="13" t="n">
        <f aca="false">'04 DETAILED RATE ANALYSIS'!J1124</f>
        <v>0</v>
      </c>
      <c r="N51" s="13" t="n">
        <f aca="false">'04 DETAILED RATE ANALYSIS'!J1120</f>
        <v>0</v>
      </c>
      <c r="O51" s="13" t="n">
        <f aca="false">'04 DETAILED RATE ANALYSIS'!J1125</f>
        <v>75</v>
      </c>
      <c r="P51" s="13" t="n">
        <f aca="false">'04 DETAILED RATE ANALYSIS'!J1126+'04 DETAILED RATE ANALYSIS'!J1127</f>
        <v>6</v>
      </c>
      <c r="Q51" s="13" t="n">
        <f aca="false">'04 DETAILED RATE ANALYSIS'!J1128</f>
        <v>7.5</v>
      </c>
      <c r="R51" s="13" t="n">
        <f aca="false">'04 DETAILED RATE ANALYSIS'!J1130</f>
        <v>0</v>
      </c>
      <c r="S51" s="14" t="n">
        <f aca="false">'04 DETAILED RATE ANALYSIS'!J1131</f>
        <v>89</v>
      </c>
      <c r="T51" s="13" t="n">
        <f aca="false">S51*100</f>
        <v>8900</v>
      </c>
      <c r="U51" s="15" t="str">
        <f aca="false">IF(W51&gt;0,"INCOMPLETE – "&amp;W51&amp;" blank/old input(s)","Market-derived + assumptions")</f>
        <v>Market-derived + assumptions</v>
      </c>
      <c r="V51" s="9" t="s">
        <v>111</v>
      </c>
      <c r="W51" s="13" t="n">
        <f aca="false">'04 DETAILED RATE ANALYSIS'!J1132</f>
        <v>0</v>
      </c>
      <c r="X51" s="9" t="s">
        <v>112</v>
      </c>
      <c r="Y51" s="9" t="s">
        <v>113</v>
      </c>
      <c r="Z51" s="9" t="s">
        <v>114</v>
      </c>
      <c r="AA51" s="5"/>
      <c r="AB51" s="15" t="str">
        <f aca="false">IF(COUNTIF($A$5:$A$999,A51)&gt;1,"DUPLICATE","")</f>
        <v/>
      </c>
    </row>
    <row r="52" customFormat="false" ht="60" hidden="false" customHeight="true" outlineLevel="0" collapsed="false">
      <c r="A52" s="9" t="s">
        <v>329</v>
      </c>
      <c r="B52" s="9" t="s">
        <v>324</v>
      </c>
      <c r="C52" s="9" t="s">
        <v>330</v>
      </c>
      <c r="D52" s="9" t="s">
        <v>331</v>
      </c>
      <c r="E52" s="5" t="s">
        <v>332</v>
      </c>
      <c r="F52" s="5" t="s">
        <v>333</v>
      </c>
      <c r="G52" s="9" t="s">
        <v>109</v>
      </c>
      <c r="H52" s="9" t="str">
        <f aca="false">City</f>
        <v>Lahore</v>
      </c>
      <c r="I52" s="9" t="s">
        <v>110</v>
      </c>
      <c r="J52" s="13" t="n">
        <f aca="false">'04 DETAILED RATE ANALYSIS'!J1138</f>
        <v>0</v>
      </c>
      <c r="K52" s="13" t="n">
        <f aca="false">'04 DETAILED RATE ANALYSIS'!J1141</f>
        <v>20.5066666666667</v>
      </c>
      <c r="L52" s="13" t="n">
        <f aca="false">'04 DETAILED RATE ANALYSIS'!J1142</f>
        <v>45</v>
      </c>
      <c r="M52" s="13" t="n">
        <f aca="false">'04 DETAILED RATE ANALYSIS'!J1143</f>
        <v>0</v>
      </c>
      <c r="N52" s="13" t="n">
        <f aca="false">'04 DETAILED RATE ANALYSIS'!J1139</f>
        <v>0</v>
      </c>
      <c r="O52" s="13" t="n">
        <f aca="false">'04 DETAILED RATE ANALYSIS'!J1144</f>
        <v>65.5066666666667</v>
      </c>
      <c r="P52" s="13" t="n">
        <f aca="false">'04 DETAILED RATE ANALYSIS'!J1145+'04 DETAILED RATE ANALYSIS'!J1146</f>
        <v>5.24053333333333</v>
      </c>
      <c r="Q52" s="13" t="n">
        <f aca="false">'04 DETAILED RATE ANALYSIS'!J1147</f>
        <v>6.55066666666667</v>
      </c>
      <c r="R52" s="13" t="n">
        <f aca="false">'04 DETAILED RATE ANALYSIS'!J1149</f>
        <v>0</v>
      </c>
      <c r="S52" s="14" t="n">
        <f aca="false">'04 DETAILED RATE ANALYSIS'!J1150</f>
        <v>77</v>
      </c>
      <c r="T52" s="13" t="n">
        <f aca="false">S52*100</f>
        <v>7700</v>
      </c>
      <c r="U52" s="15" t="str">
        <f aca="false">IF(W52&gt;0,"INCOMPLETE – "&amp;W52&amp;" blank/old input(s)","Market-derived + assumptions")</f>
        <v>Market-derived + assumptions</v>
      </c>
      <c r="V52" s="9" t="s">
        <v>111</v>
      </c>
      <c r="W52" s="13" t="n">
        <f aca="false">'04 DETAILED RATE ANALYSIS'!J1151</f>
        <v>0</v>
      </c>
      <c r="X52" s="9" t="s">
        <v>112</v>
      </c>
      <c r="Y52" s="9" t="s">
        <v>113</v>
      </c>
      <c r="Z52" s="9" t="s">
        <v>114</v>
      </c>
      <c r="AA52" s="5"/>
      <c r="AB52" s="15" t="str">
        <f aca="false">IF(COUNTIF($A$5:$A$999,A52)&gt;1,"DUPLICATE","")</f>
        <v/>
      </c>
    </row>
    <row r="53" customFormat="false" ht="60" hidden="false" customHeight="true" outlineLevel="0" collapsed="false">
      <c r="A53" s="9" t="s">
        <v>334</v>
      </c>
      <c r="B53" s="9" t="s">
        <v>104</v>
      </c>
      <c r="C53" s="9" t="s">
        <v>335</v>
      </c>
      <c r="D53" s="9" t="s">
        <v>336</v>
      </c>
      <c r="E53" s="5" t="s">
        <v>337</v>
      </c>
      <c r="F53" s="5" t="s">
        <v>338</v>
      </c>
      <c r="G53" s="9" t="s">
        <v>109</v>
      </c>
      <c r="H53" s="9" t="str">
        <f aca="false">City</f>
        <v>Lahore</v>
      </c>
      <c r="I53" s="9" t="s">
        <v>110</v>
      </c>
      <c r="J53" s="13" t="n">
        <f aca="false">'04 DETAILED RATE ANALYSIS'!J1157</f>
        <v>0</v>
      </c>
      <c r="K53" s="13" t="n">
        <f aca="false">'04 DETAILED RATE ANALYSIS'!J1160</f>
        <v>0</v>
      </c>
      <c r="L53" s="13" t="n">
        <f aca="false">'04 DETAILED RATE ANALYSIS'!J1161</f>
        <v>9.523</v>
      </c>
      <c r="M53" s="13" t="n">
        <f aca="false">'04 DETAILED RATE ANALYSIS'!J1162</f>
        <v>0</v>
      </c>
      <c r="N53" s="13" t="n">
        <f aca="false">'04 DETAILED RATE ANALYSIS'!J1158</f>
        <v>0</v>
      </c>
      <c r="O53" s="13" t="n">
        <f aca="false">'04 DETAILED RATE ANALYSIS'!J1163</f>
        <v>9.523</v>
      </c>
      <c r="P53" s="13" t="n">
        <f aca="false">'04 DETAILED RATE ANALYSIS'!J1164+'04 DETAILED RATE ANALYSIS'!J1165</f>
        <v>0.76184</v>
      </c>
      <c r="Q53" s="13" t="n">
        <f aca="false">'04 DETAILED RATE ANALYSIS'!J1166</f>
        <v>0.9523</v>
      </c>
      <c r="R53" s="13" t="n">
        <f aca="false">'04 DETAILED RATE ANALYSIS'!J1168</f>
        <v>0</v>
      </c>
      <c r="S53" s="14" t="n">
        <f aca="false">'04 DETAILED RATE ANALYSIS'!J1169</f>
        <v>11</v>
      </c>
      <c r="T53" s="13" t="n">
        <f aca="false">S53*100</f>
        <v>1100</v>
      </c>
      <c r="U53" s="15" t="str">
        <f aca="false">IF(W53&gt;0,"INCOMPLETE – "&amp;W53&amp;" blank/old input(s)","Market-derived + assumptions")</f>
        <v>Market-derived + assumptions</v>
      </c>
      <c r="V53" s="9" t="s">
        <v>111</v>
      </c>
      <c r="W53" s="13" t="n">
        <f aca="false">'04 DETAILED RATE ANALYSIS'!J1170</f>
        <v>0</v>
      </c>
      <c r="X53" s="9" t="s">
        <v>112</v>
      </c>
      <c r="Y53" s="9" t="s">
        <v>113</v>
      </c>
      <c r="Z53" s="9" t="s">
        <v>114</v>
      </c>
      <c r="AA53" s="5"/>
      <c r="AB53" s="15" t="str">
        <f aca="false">IF(COUNTIF($A$5:$A$999,A53)&gt;1,"DUPLICATE","")</f>
        <v/>
      </c>
    </row>
    <row r="54" customFormat="false" ht="60" hidden="false" customHeight="true" outlineLevel="0" collapsed="false">
      <c r="A54" s="9" t="s">
        <v>339</v>
      </c>
      <c r="B54" s="9" t="s">
        <v>104</v>
      </c>
      <c r="C54" s="9" t="s">
        <v>335</v>
      </c>
      <c r="D54" s="9" t="s">
        <v>340</v>
      </c>
      <c r="E54" s="5" t="s">
        <v>341</v>
      </c>
      <c r="F54" s="5" t="s">
        <v>342</v>
      </c>
      <c r="G54" s="9" t="s">
        <v>109</v>
      </c>
      <c r="H54" s="9" t="str">
        <f aca="false">City</f>
        <v>Lahore</v>
      </c>
      <c r="I54" s="9" t="s">
        <v>110</v>
      </c>
      <c r="J54" s="13" t="n">
        <f aca="false">'04 DETAILED RATE ANALYSIS'!J1176</f>
        <v>0</v>
      </c>
      <c r="K54" s="13" t="n">
        <f aca="false">'04 DETAILED RATE ANALYSIS'!J1179</f>
        <v>0</v>
      </c>
      <c r="L54" s="13" t="n">
        <f aca="false">'04 DETAILED RATE ANALYSIS'!J1180</f>
        <v>11.164</v>
      </c>
      <c r="M54" s="13" t="n">
        <f aca="false">'04 DETAILED RATE ANALYSIS'!J1181</f>
        <v>0</v>
      </c>
      <c r="N54" s="13" t="n">
        <f aca="false">'04 DETAILED RATE ANALYSIS'!J1177</f>
        <v>0</v>
      </c>
      <c r="O54" s="13" t="n">
        <f aca="false">'04 DETAILED RATE ANALYSIS'!J1182</f>
        <v>11.164</v>
      </c>
      <c r="P54" s="13" t="n">
        <f aca="false">'04 DETAILED RATE ANALYSIS'!J1183+'04 DETAILED RATE ANALYSIS'!J1184</f>
        <v>0.89312</v>
      </c>
      <c r="Q54" s="13" t="n">
        <f aca="false">'04 DETAILED RATE ANALYSIS'!J1185</f>
        <v>1.1164</v>
      </c>
      <c r="R54" s="13" t="n">
        <f aca="false">'04 DETAILED RATE ANALYSIS'!J1187</f>
        <v>0</v>
      </c>
      <c r="S54" s="14" t="n">
        <f aca="false">'04 DETAILED RATE ANALYSIS'!J1188</f>
        <v>13</v>
      </c>
      <c r="T54" s="13" t="n">
        <f aca="false">S54*100</f>
        <v>1300</v>
      </c>
      <c r="U54" s="15" t="str">
        <f aca="false">IF(W54&gt;0,"INCOMPLETE – "&amp;W54&amp;" blank/old input(s)","Market-derived + assumptions")</f>
        <v>Market-derived + assumptions</v>
      </c>
      <c r="V54" s="9" t="s">
        <v>111</v>
      </c>
      <c r="W54" s="13" t="n">
        <f aca="false">'04 DETAILED RATE ANALYSIS'!J1189</f>
        <v>0</v>
      </c>
      <c r="X54" s="9" t="s">
        <v>112</v>
      </c>
      <c r="Y54" s="9" t="s">
        <v>113</v>
      </c>
      <c r="Z54" s="9" t="s">
        <v>114</v>
      </c>
      <c r="AA54" s="5"/>
      <c r="AB54" s="15" t="str">
        <f aca="false">IF(COUNTIF($A$5:$A$999,A54)&gt;1,"DUPLICATE","")</f>
        <v/>
      </c>
    </row>
    <row r="55" customFormat="false" ht="60" hidden="false" customHeight="true" outlineLevel="0" collapsed="false">
      <c r="A55" s="9" t="s">
        <v>343</v>
      </c>
      <c r="B55" s="9" t="s">
        <v>104</v>
      </c>
      <c r="C55" s="9" t="s">
        <v>335</v>
      </c>
      <c r="D55" s="9" t="s">
        <v>344</v>
      </c>
      <c r="E55" s="5" t="s">
        <v>345</v>
      </c>
      <c r="F55" s="5" t="s">
        <v>346</v>
      </c>
      <c r="G55" s="9" t="s">
        <v>109</v>
      </c>
      <c r="H55" s="9" t="str">
        <f aca="false">City</f>
        <v>Lahore</v>
      </c>
      <c r="I55" s="9" t="s">
        <v>110</v>
      </c>
      <c r="J55" s="13" t="n">
        <f aca="false">'04 DETAILED RATE ANALYSIS'!J1194</f>
        <v>0</v>
      </c>
      <c r="K55" s="13" t="n">
        <f aca="false">'04 DETAILED RATE ANALYSIS'!J1197</f>
        <v>19.225</v>
      </c>
      <c r="L55" s="13" t="n">
        <f aca="false">'04 DETAILED RATE ANALYSIS'!J1198</f>
        <v>0</v>
      </c>
      <c r="M55" s="13" t="n">
        <f aca="false">'04 DETAILED RATE ANALYSIS'!J1199</f>
        <v>0</v>
      </c>
      <c r="N55" s="13" t="n">
        <f aca="false">'04 DETAILED RATE ANALYSIS'!J1195</f>
        <v>0</v>
      </c>
      <c r="O55" s="13" t="n">
        <f aca="false">'04 DETAILED RATE ANALYSIS'!J1200</f>
        <v>19.225</v>
      </c>
      <c r="P55" s="13" t="n">
        <f aca="false">'04 DETAILED RATE ANALYSIS'!J1201+'04 DETAILED RATE ANALYSIS'!J1202</f>
        <v>1.538</v>
      </c>
      <c r="Q55" s="13" t="n">
        <f aca="false">'04 DETAILED RATE ANALYSIS'!J1203</f>
        <v>1.9225</v>
      </c>
      <c r="R55" s="13" t="n">
        <f aca="false">'04 DETAILED RATE ANALYSIS'!J1205</f>
        <v>0</v>
      </c>
      <c r="S55" s="14" t="n">
        <f aca="false">'04 DETAILED RATE ANALYSIS'!J1206</f>
        <v>23</v>
      </c>
      <c r="T55" s="13" t="n">
        <f aca="false">S55*100</f>
        <v>2300</v>
      </c>
      <c r="U55" s="15" t="str">
        <f aca="false">IF(W55&gt;0,"INCOMPLETE – "&amp;W55&amp;" blank/old input(s)","Market-derived + assumptions")</f>
        <v>Market-derived + assumptions</v>
      </c>
      <c r="V55" s="9" t="s">
        <v>183</v>
      </c>
      <c r="W55" s="13" t="n">
        <f aca="false">'04 DETAILED RATE ANALYSIS'!J1207</f>
        <v>0</v>
      </c>
      <c r="X55" s="9" t="s">
        <v>112</v>
      </c>
      <c r="Y55" s="9" t="s">
        <v>113</v>
      </c>
      <c r="Z55" s="9" t="s">
        <v>114</v>
      </c>
      <c r="AA55" s="5"/>
      <c r="AB55" s="15" t="str">
        <f aca="false">IF(COUNTIF($A$5:$A$999,A55)&gt;1,"DUPLICATE","")</f>
        <v/>
      </c>
    </row>
    <row r="56" customFormat="false" ht="60" hidden="false" customHeight="true" outlineLevel="0" collapsed="false">
      <c r="A56" s="9" t="s">
        <v>347</v>
      </c>
      <c r="B56" s="9" t="s">
        <v>104</v>
      </c>
      <c r="C56" s="9" t="s">
        <v>335</v>
      </c>
      <c r="D56" s="9" t="s">
        <v>348</v>
      </c>
      <c r="E56" s="5" t="s">
        <v>349</v>
      </c>
      <c r="F56" s="5" t="s">
        <v>350</v>
      </c>
      <c r="G56" s="9" t="s">
        <v>109</v>
      </c>
      <c r="H56" s="9" t="str">
        <f aca="false">City</f>
        <v>Lahore</v>
      </c>
      <c r="I56" s="9" t="s">
        <v>110</v>
      </c>
      <c r="J56" s="13" t="n">
        <f aca="false">'04 DETAILED RATE ANALYSIS'!J1214</f>
        <v>0.686</v>
      </c>
      <c r="K56" s="13" t="n">
        <f aca="false">'04 DETAILED RATE ANALYSIS'!J1217</f>
        <v>8.20266666666667</v>
      </c>
      <c r="L56" s="13" t="n">
        <f aca="false">'04 DETAILED RATE ANALYSIS'!J1218</f>
        <v>2.011</v>
      </c>
      <c r="M56" s="13" t="n">
        <f aca="false">'04 DETAILED RATE ANALYSIS'!J1219</f>
        <v>0</v>
      </c>
      <c r="N56" s="13" t="n">
        <f aca="false">'04 DETAILED RATE ANALYSIS'!J1215</f>
        <v>0</v>
      </c>
      <c r="O56" s="13" t="n">
        <f aca="false">'04 DETAILED RATE ANALYSIS'!J1220</f>
        <v>10.8996666666667</v>
      </c>
      <c r="P56" s="13" t="n">
        <f aca="false">'04 DETAILED RATE ANALYSIS'!J1221+'04 DETAILED RATE ANALYSIS'!J1222</f>
        <v>0.871973333333333</v>
      </c>
      <c r="Q56" s="13" t="n">
        <f aca="false">'04 DETAILED RATE ANALYSIS'!J1223</f>
        <v>1.08996666666667</v>
      </c>
      <c r="R56" s="13" t="n">
        <f aca="false">'04 DETAILED RATE ANALYSIS'!J1225</f>
        <v>0</v>
      </c>
      <c r="S56" s="14" t="n">
        <f aca="false">'04 DETAILED RATE ANALYSIS'!J1226</f>
        <v>13</v>
      </c>
      <c r="T56" s="13" t="n">
        <f aca="false">S56*100</f>
        <v>1300</v>
      </c>
      <c r="U56" s="15" t="str">
        <f aca="false">IF(W56&gt;0,"INCOMPLETE – "&amp;W56&amp;" blank/old input(s)","Market-derived + assumptions")</f>
        <v>Market-derived + assumptions</v>
      </c>
      <c r="V56" s="9" t="s">
        <v>111</v>
      </c>
      <c r="W56" s="13" t="n">
        <f aca="false">'04 DETAILED RATE ANALYSIS'!J1227</f>
        <v>0</v>
      </c>
      <c r="X56" s="9" t="s">
        <v>112</v>
      </c>
      <c r="Y56" s="9" t="s">
        <v>113</v>
      </c>
      <c r="Z56" s="9" t="s">
        <v>114</v>
      </c>
      <c r="AA56" s="5"/>
      <c r="AB56" s="15" t="str">
        <f aca="false">IF(COUNTIF($A$5:$A$999,A56)&gt;1,"DUPLICATE","")</f>
        <v/>
      </c>
    </row>
    <row r="57" customFormat="false" ht="60" hidden="false" customHeight="true" outlineLevel="0" collapsed="false">
      <c r="A57" s="9" t="s">
        <v>351</v>
      </c>
      <c r="B57" s="9" t="s">
        <v>104</v>
      </c>
      <c r="C57" s="9" t="s">
        <v>335</v>
      </c>
      <c r="D57" s="9" t="s">
        <v>352</v>
      </c>
      <c r="E57" s="5" t="s">
        <v>353</v>
      </c>
      <c r="F57" s="5" t="s">
        <v>354</v>
      </c>
      <c r="G57" s="9" t="s">
        <v>109</v>
      </c>
      <c r="H57" s="9" t="str">
        <f aca="false">City</f>
        <v>Lahore</v>
      </c>
      <c r="I57" s="9" t="s">
        <v>110</v>
      </c>
      <c r="J57" s="13" t="n">
        <f aca="false">'04 DETAILED RATE ANALYSIS'!J1235</f>
        <v>63.086</v>
      </c>
      <c r="K57" s="13" t="n">
        <f aca="false">'04 DETAILED RATE ANALYSIS'!J1238</f>
        <v>6.83555555555556</v>
      </c>
      <c r="L57" s="13" t="n">
        <f aca="false">'04 DETAILED RATE ANALYSIS'!J1239</f>
        <v>2.011</v>
      </c>
      <c r="M57" s="13" t="n">
        <f aca="false">'04 DETAILED RATE ANALYSIS'!J1240</f>
        <v>0</v>
      </c>
      <c r="N57" s="13" t="n">
        <f aca="false">'04 DETAILED RATE ANALYSIS'!J1236</f>
        <v>0</v>
      </c>
      <c r="O57" s="13" t="n">
        <f aca="false">'04 DETAILED RATE ANALYSIS'!J1241</f>
        <v>71.9325555555556</v>
      </c>
      <c r="P57" s="13" t="n">
        <f aca="false">'04 DETAILED RATE ANALYSIS'!J1242+'04 DETAILED RATE ANALYSIS'!J1243</f>
        <v>5.75460444444444</v>
      </c>
      <c r="Q57" s="13" t="n">
        <f aca="false">'04 DETAILED RATE ANALYSIS'!J1244</f>
        <v>7.19325555555556</v>
      </c>
      <c r="R57" s="13" t="n">
        <f aca="false">'04 DETAILED RATE ANALYSIS'!J1246</f>
        <v>0</v>
      </c>
      <c r="S57" s="14" t="n">
        <f aca="false">'04 DETAILED RATE ANALYSIS'!J1247</f>
        <v>85</v>
      </c>
      <c r="T57" s="13" t="n">
        <f aca="false">S57*100</f>
        <v>8500</v>
      </c>
      <c r="U57" s="15" t="str">
        <f aca="false">IF(W57&gt;0,"INCOMPLETE – "&amp;W57&amp;" blank/old input(s)","Market-derived + assumptions")</f>
        <v>Market-derived + assumptions</v>
      </c>
      <c r="V57" s="9" t="s">
        <v>111</v>
      </c>
      <c r="W57" s="13" t="n">
        <f aca="false">'04 DETAILED RATE ANALYSIS'!J1248</f>
        <v>0</v>
      </c>
      <c r="X57" s="9" t="s">
        <v>112</v>
      </c>
      <c r="Y57" s="9" t="s">
        <v>113</v>
      </c>
      <c r="Z57" s="9" t="s">
        <v>114</v>
      </c>
      <c r="AA57" s="5"/>
      <c r="AB57" s="15" t="str">
        <f aca="false">IF(COUNTIF($A$5:$A$999,A57)&gt;1,"DUPLICATE","")</f>
        <v/>
      </c>
    </row>
    <row r="58" customFormat="false" ht="60" hidden="false" customHeight="true" outlineLevel="0" collapsed="false">
      <c r="A58" s="9" t="s">
        <v>355</v>
      </c>
      <c r="B58" s="9" t="s">
        <v>104</v>
      </c>
      <c r="C58" s="9" t="s">
        <v>335</v>
      </c>
      <c r="D58" s="9" t="s">
        <v>356</v>
      </c>
      <c r="E58" s="5" t="s">
        <v>357</v>
      </c>
      <c r="F58" s="5" t="s">
        <v>358</v>
      </c>
      <c r="G58" s="9" t="s">
        <v>109</v>
      </c>
      <c r="H58" s="9" t="str">
        <f aca="false">City</f>
        <v>Lahore</v>
      </c>
      <c r="I58" s="9" t="s">
        <v>110</v>
      </c>
      <c r="J58" s="13" t="n">
        <f aca="false">'04 DETAILED RATE ANALYSIS'!J1254</f>
        <v>0</v>
      </c>
      <c r="K58" s="13" t="n">
        <f aca="false">'04 DETAILED RATE ANALYSIS'!J1257</f>
        <v>0</v>
      </c>
      <c r="L58" s="13" t="n">
        <f aca="false">'04 DETAILED RATE ANALYSIS'!J1258</f>
        <v>45</v>
      </c>
      <c r="M58" s="13" t="n">
        <f aca="false">'04 DETAILED RATE ANALYSIS'!J1259</f>
        <v>0</v>
      </c>
      <c r="N58" s="13" t="n">
        <f aca="false">'04 DETAILED RATE ANALYSIS'!J1255</f>
        <v>0</v>
      </c>
      <c r="O58" s="13" t="n">
        <f aca="false">'04 DETAILED RATE ANALYSIS'!J1260</f>
        <v>45</v>
      </c>
      <c r="P58" s="13" t="n">
        <f aca="false">'04 DETAILED RATE ANALYSIS'!J1261+'04 DETAILED RATE ANALYSIS'!J1262</f>
        <v>3.6</v>
      </c>
      <c r="Q58" s="13" t="n">
        <f aca="false">'04 DETAILED RATE ANALYSIS'!J1263</f>
        <v>4.5</v>
      </c>
      <c r="R58" s="13" t="n">
        <f aca="false">'04 DETAILED RATE ANALYSIS'!J1265</f>
        <v>0</v>
      </c>
      <c r="S58" s="14" t="n">
        <f aca="false">'04 DETAILED RATE ANALYSIS'!J1266</f>
        <v>53</v>
      </c>
      <c r="T58" s="13" t="n">
        <f aca="false">S58*100</f>
        <v>5300</v>
      </c>
      <c r="U58" s="15" t="str">
        <f aca="false">IF(W58&gt;0,"INCOMPLETE – "&amp;W58&amp;" blank/old input(s)","Market-derived + assumptions")</f>
        <v>Market-derived + assumptions</v>
      </c>
      <c r="V58" s="9" t="s">
        <v>111</v>
      </c>
      <c r="W58" s="13" t="n">
        <f aca="false">'04 DETAILED RATE ANALYSIS'!J1267</f>
        <v>0</v>
      </c>
      <c r="X58" s="9" t="s">
        <v>112</v>
      </c>
      <c r="Y58" s="9" t="s">
        <v>113</v>
      </c>
      <c r="Z58" s="9" t="s">
        <v>114</v>
      </c>
      <c r="AA58" s="5"/>
      <c r="AB58" s="15" t="str">
        <f aca="false">IF(COUNTIF($A$5:$A$999,A58)&gt;1,"DUPLICATE","")</f>
        <v/>
      </c>
    </row>
    <row r="59" customFormat="false" ht="60" hidden="false" customHeight="true" outlineLevel="0" collapsed="false">
      <c r="A59" s="9" t="s">
        <v>359</v>
      </c>
      <c r="B59" s="9" t="s">
        <v>104</v>
      </c>
      <c r="C59" s="9" t="s">
        <v>335</v>
      </c>
      <c r="D59" s="9" t="s">
        <v>360</v>
      </c>
      <c r="E59" s="5" t="s">
        <v>361</v>
      </c>
      <c r="F59" s="5" t="s">
        <v>362</v>
      </c>
      <c r="G59" s="9" t="s">
        <v>212</v>
      </c>
      <c r="H59" s="9" t="str">
        <f aca="false">City</f>
        <v>Lahore</v>
      </c>
      <c r="I59" s="9" t="s">
        <v>110</v>
      </c>
      <c r="J59" s="13" t="n">
        <f aca="false">'04 DETAILED RATE ANALYSIS'!J1273</f>
        <v>7.5</v>
      </c>
      <c r="K59" s="13" t="n">
        <f aca="false">'04 DETAILED RATE ANALYSIS'!J1276</f>
        <v>1.538</v>
      </c>
      <c r="L59" s="13" t="n">
        <f aca="false">'04 DETAILED RATE ANALYSIS'!J1277</f>
        <v>0</v>
      </c>
      <c r="M59" s="13" t="n">
        <f aca="false">'04 DETAILED RATE ANALYSIS'!J1278</f>
        <v>0</v>
      </c>
      <c r="N59" s="13" t="n">
        <f aca="false">'04 DETAILED RATE ANALYSIS'!J1274</f>
        <v>0</v>
      </c>
      <c r="O59" s="13" t="n">
        <f aca="false">'04 DETAILED RATE ANALYSIS'!J1279</f>
        <v>9.038</v>
      </c>
      <c r="P59" s="13" t="n">
        <f aca="false">'04 DETAILED RATE ANALYSIS'!J1280+'04 DETAILED RATE ANALYSIS'!J1281</f>
        <v>0.72304</v>
      </c>
      <c r="Q59" s="13" t="n">
        <f aca="false">'04 DETAILED RATE ANALYSIS'!J1282</f>
        <v>0.9038</v>
      </c>
      <c r="R59" s="13" t="n">
        <f aca="false">'04 DETAILED RATE ANALYSIS'!J1284</f>
        <v>0</v>
      </c>
      <c r="S59" s="14" t="n">
        <f aca="false">'04 DETAILED RATE ANALYSIS'!J1285</f>
        <v>11</v>
      </c>
      <c r="T59" s="13" t="n">
        <f aca="false">S59*100</f>
        <v>1100</v>
      </c>
      <c r="U59" s="15" t="str">
        <f aca="false">IF(W59&gt;0,"INCOMPLETE – "&amp;W59&amp;" blank/old input(s)","Market-derived + assumptions")</f>
        <v>Market-derived + assumptions</v>
      </c>
      <c r="V59" s="9" t="s">
        <v>111</v>
      </c>
      <c r="W59" s="13" t="n">
        <f aca="false">'04 DETAILED RATE ANALYSIS'!J1286</f>
        <v>0</v>
      </c>
      <c r="X59" s="9" t="s">
        <v>112</v>
      </c>
      <c r="Y59" s="9" t="s">
        <v>113</v>
      </c>
      <c r="Z59" s="9" t="s">
        <v>114</v>
      </c>
      <c r="AA59" s="5"/>
      <c r="AB59" s="15" t="str">
        <f aca="false">IF(COUNTIF($A$5:$A$999,A59)&gt;1,"DUPLICATE","")</f>
        <v/>
      </c>
    </row>
    <row r="60" customFormat="false" ht="60" hidden="false" customHeight="true" outlineLevel="0" collapsed="false">
      <c r="A60" s="9" t="s">
        <v>363</v>
      </c>
      <c r="B60" s="9" t="s">
        <v>207</v>
      </c>
      <c r="C60" s="9" t="s">
        <v>364</v>
      </c>
      <c r="D60" s="9" t="s">
        <v>365</v>
      </c>
      <c r="E60" s="5" t="s">
        <v>366</v>
      </c>
      <c r="F60" s="5" t="s">
        <v>367</v>
      </c>
      <c r="G60" s="9" t="s">
        <v>368</v>
      </c>
      <c r="H60" s="9" t="str">
        <f aca="false">City</f>
        <v>Lahore</v>
      </c>
      <c r="I60" s="9" t="s">
        <v>110</v>
      </c>
      <c r="J60" s="13" t="n">
        <f aca="false">'04 DETAILED RATE ANALYSIS'!J1299</f>
        <v>42743.184</v>
      </c>
      <c r="K60" s="13" t="n">
        <f aca="false">'04 DETAILED RATE ANALYSIS'!J1302</f>
        <v>3169</v>
      </c>
      <c r="L60" s="13" t="n">
        <f aca="false">'04 DETAILED RATE ANALYSIS'!J1303</f>
        <v>0</v>
      </c>
      <c r="M60" s="13" t="n">
        <f aca="false">'04 DETAILED RATE ANALYSIS'!J1304</f>
        <v>0</v>
      </c>
      <c r="N60" s="13" t="n">
        <f aca="false">'04 DETAILED RATE ANALYSIS'!J1300</f>
        <v>1823.8434</v>
      </c>
      <c r="O60" s="13" t="n">
        <f aca="false">'04 DETAILED RATE ANALYSIS'!J1305</f>
        <v>47736.0274</v>
      </c>
      <c r="P60" s="13" t="n">
        <f aca="false">'04 DETAILED RATE ANALYSIS'!J1306+'04 DETAILED RATE ANALYSIS'!J1307</f>
        <v>3818.882192</v>
      </c>
      <c r="Q60" s="13" t="n">
        <f aca="false">'04 DETAILED RATE ANALYSIS'!J1308</f>
        <v>4773.60274</v>
      </c>
      <c r="R60" s="13" t="n">
        <f aca="false">'04 DETAILED RATE ANALYSIS'!J1310</f>
        <v>0</v>
      </c>
      <c r="S60" s="14" t="n">
        <f aca="false">'04 DETAILED RATE ANALYSIS'!J1311</f>
        <v>56329</v>
      </c>
      <c r="T60" s="13" t="n">
        <f aca="false">S60*100</f>
        <v>5632900</v>
      </c>
      <c r="U60" s="15" t="str">
        <f aca="false">IF(W60&gt;0,"INCOMPLETE – "&amp;W60&amp;" blank/old input(s)","Market-derived + assumptions")</f>
        <v>Market-derived + assumptions</v>
      </c>
      <c r="V60" s="9" t="s">
        <v>111</v>
      </c>
      <c r="W60" s="13" t="n">
        <f aca="false">'04 DETAILED RATE ANALYSIS'!J1312</f>
        <v>0</v>
      </c>
      <c r="X60" s="9" t="s">
        <v>112</v>
      </c>
      <c r="Y60" s="9" t="s">
        <v>113</v>
      </c>
      <c r="Z60" s="9" t="s">
        <v>114</v>
      </c>
      <c r="AA60" s="5"/>
      <c r="AB60" s="15" t="str">
        <f aca="false">IF(COUNTIF($A$5:$A$999,A60)&gt;1,"DUPLICATE","")</f>
        <v/>
      </c>
    </row>
    <row r="61" customFormat="false" ht="60" hidden="false" customHeight="true" outlineLevel="0" collapsed="false">
      <c r="A61" s="9" t="s">
        <v>369</v>
      </c>
      <c r="B61" s="9" t="s">
        <v>207</v>
      </c>
      <c r="C61" s="9" t="s">
        <v>364</v>
      </c>
      <c r="D61" s="9" t="s">
        <v>370</v>
      </c>
      <c r="E61" s="5" t="s">
        <v>371</v>
      </c>
      <c r="F61" s="5" t="s">
        <v>372</v>
      </c>
      <c r="G61" s="9" t="s">
        <v>368</v>
      </c>
      <c r="H61" s="9" t="str">
        <f aca="false">City</f>
        <v>Lahore</v>
      </c>
      <c r="I61" s="9" t="s">
        <v>110</v>
      </c>
      <c r="J61" s="13" t="n">
        <f aca="false">'04 DETAILED RATE ANALYSIS'!J1319</f>
        <v>59000</v>
      </c>
      <c r="K61" s="13" t="n">
        <f aca="false">'04 DETAILED RATE ANALYSIS'!J1322</f>
        <v>1969</v>
      </c>
      <c r="L61" s="13" t="n">
        <f aca="false">'04 DETAILED RATE ANALYSIS'!J1323</f>
        <v>0</v>
      </c>
      <c r="M61" s="13" t="n">
        <f aca="false">'04 DETAILED RATE ANALYSIS'!J1324</f>
        <v>0</v>
      </c>
      <c r="N61" s="13" t="n">
        <f aca="false">'04 DETAILED RATE ANALYSIS'!J1320</f>
        <v>0</v>
      </c>
      <c r="O61" s="13" t="n">
        <f aca="false">'04 DETAILED RATE ANALYSIS'!J1325</f>
        <v>60969</v>
      </c>
      <c r="P61" s="13" t="n">
        <f aca="false">'04 DETAILED RATE ANALYSIS'!J1326+'04 DETAILED RATE ANALYSIS'!J1327</f>
        <v>4877.52</v>
      </c>
      <c r="Q61" s="13" t="n">
        <f aca="false">'04 DETAILED RATE ANALYSIS'!J1328</f>
        <v>6096.9</v>
      </c>
      <c r="R61" s="13" t="n">
        <f aca="false">'04 DETAILED RATE ANALYSIS'!J1330</f>
        <v>0</v>
      </c>
      <c r="S61" s="14" t="n">
        <f aca="false">'04 DETAILED RATE ANALYSIS'!J1331</f>
        <v>71943</v>
      </c>
      <c r="T61" s="13" t="n">
        <f aca="false">S61*100</f>
        <v>7194300</v>
      </c>
      <c r="U61" s="15" t="str">
        <f aca="false">IF(W61&gt;0,"INCOMPLETE – "&amp;W61&amp;" blank/old input(s)","Market-derived + assumptions")</f>
        <v>Market-derived + assumptions</v>
      </c>
      <c r="V61" s="9" t="s">
        <v>111</v>
      </c>
      <c r="W61" s="13" t="n">
        <f aca="false">'04 DETAILED RATE ANALYSIS'!J1332</f>
        <v>0</v>
      </c>
      <c r="X61" s="9" t="s">
        <v>112</v>
      </c>
      <c r="Y61" s="9" t="s">
        <v>113</v>
      </c>
      <c r="Z61" s="9" t="s">
        <v>114</v>
      </c>
      <c r="AA61" s="5"/>
      <c r="AB61" s="15" t="str">
        <f aca="false">IF(COUNTIF($A$5:$A$999,A61)&gt;1,"DUPLICATE","")</f>
        <v/>
      </c>
    </row>
    <row r="62" customFormat="false" ht="60" hidden="false" customHeight="true" outlineLevel="0" collapsed="false">
      <c r="A62" s="9" t="s">
        <v>373</v>
      </c>
      <c r="B62" s="9" t="s">
        <v>207</v>
      </c>
      <c r="C62" s="9" t="s">
        <v>374</v>
      </c>
      <c r="D62" s="9" t="s">
        <v>375</v>
      </c>
      <c r="E62" s="5" t="s">
        <v>376</v>
      </c>
      <c r="F62" s="5" t="s">
        <v>377</v>
      </c>
      <c r="G62" s="9" t="s">
        <v>212</v>
      </c>
      <c r="H62" s="9" t="str">
        <f aca="false">City</f>
        <v>Lahore</v>
      </c>
      <c r="I62" s="9" t="s">
        <v>110</v>
      </c>
      <c r="J62" s="13" t="n">
        <f aca="false">'04 DETAILED RATE ANALYSIS'!J1340</f>
        <v>1405.93333333333</v>
      </c>
      <c r="K62" s="13" t="n">
        <f aca="false">'04 DETAILED RATE ANALYSIS'!J1343</f>
        <v>0</v>
      </c>
      <c r="L62" s="13" t="n">
        <f aca="false">'04 DETAILED RATE ANALYSIS'!J1344</f>
        <v>0</v>
      </c>
      <c r="M62" s="13" t="n">
        <f aca="false">'04 DETAILED RATE ANALYSIS'!J1345</f>
        <v>0</v>
      </c>
      <c r="N62" s="13" t="n">
        <f aca="false">'04 DETAILED RATE ANALYSIS'!J1341</f>
        <v>0</v>
      </c>
      <c r="O62" s="13" t="n">
        <f aca="false">'04 DETAILED RATE ANALYSIS'!J1346</f>
        <v>1405.93333333333</v>
      </c>
      <c r="P62" s="13" t="n">
        <f aca="false">'04 DETAILED RATE ANALYSIS'!J1347+'04 DETAILED RATE ANALYSIS'!J1348</f>
        <v>112.474666666667</v>
      </c>
      <c r="Q62" s="13" t="n">
        <f aca="false">'04 DETAILED RATE ANALYSIS'!J1349</f>
        <v>140.593333333333</v>
      </c>
      <c r="R62" s="13" t="n">
        <f aca="false">'04 DETAILED RATE ANALYSIS'!J1351</f>
        <v>0</v>
      </c>
      <c r="S62" s="14" t="n">
        <f aca="false">'04 DETAILED RATE ANALYSIS'!J1352</f>
        <v>1659</v>
      </c>
      <c r="T62" s="13" t="n">
        <f aca="false">S62*100</f>
        <v>165900</v>
      </c>
      <c r="U62" s="15" t="str">
        <f aca="false">IF(W62&gt;0,"INCOMPLETE – "&amp;W62&amp;" blank/old input(s)","Market-derived + assumptions")</f>
        <v>Market-derived + assumptions</v>
      </c>
      <c r="V62" s="9" t="s">
        <v>111</v>
      </c>
      <c r="W62" s="13" t="n">
        <f aca="false">'04 DETAILED RATE ANALYSIS'!J1353</f>
        <v>0</v>
      </c>
      <c r="X62" s="9" t="s">
        <v>112</v>
      </c>
      <c r="Y62" s="9" t="s">
        <v>113</v>
      </c>
      <c r="Z62" s="9" t="s">
        <v>114</v>
      </c>
      <c r="AA62" s="5"/>
      <c r="AB62" s="15" t="str">
        <f aca="false">IF(COUNTIF($A$5:$A$999,A62)&gt;1,"DUPLICATE","")</f>
        <v/>
      </c>
    </row>
    <row r="63" customFormat="false" ht="60" hidden="false" customHeight="true" outlineLevel="0" collapsed="false">
      <c r="A63" s="9" t="s">
        <v>378</v>
      </c>
      <c r="B63" s="9" t="s">
        <v>207</v>
      </c>
      <c r="C63" s="9" t="s">
        <v>374</v>
      </c>
      <c r="D63" s="9" t="s">
        <v>379</v>
      </c>
      <c r="E63" s="5" t="s">
        <v>380</v>
      </c>
      <c r="F63" s="5" t="s">
        <v>377</v>
      </c>
      <c r="G63" s="9" t="s">
        <v>212</v>
      </c>
      <c r="H63" s="9" t="str">
        <f aca="false">City</f>
        <v>Lahore</v>
      </c>
      <c r="I63" s="9" t="s">
        <v>110</v>
      </c>
      <c r="J63" s="13" t="n">
        <f aca="false">'04 DETAILED RATE ANALYSIS'!J1361</f>
        <v>2855.93333333333</v>
      </c>
      <c r="K63" s="13" t="n">
        <f aca="false">'04 DETAILED RATE ANALYSIS'!J1364</f>
        <v>0</v>
      </c>
      <c r="L63" s="13" t="n">
        <f aca="false">'04 DETAILED RATE ANALYSIS'!J1365</f>
        <v>0</v>
      </c>
      <c r="M63" s="13" t="n">
        <f aca="false">'04 DETAILED RATE ANALYSIS'!J1366</f>
        <v>0</v>
      </c>
      <c r="N63" s="13" t="n">
        <f aca="false">'04 DETAILED RATE ANALYSIS'!J1362</f>
        <v>0</v>
      </c>
      <c r="O63" s="13" t="n">
        <f aca="false">'04 DETAILED RATE ANALYSIS'!J1367</f>
        <v>2855.93333333333</v>
      </c>
      <c r="P63" s="13" t="n">
        <f aca="false">'04 DETAILED RATE ANALYSIS'!J1368+'04 DETAILED RATE ANALYSIS'!J1369</f>
        <v>228.474666666667</v>
      </c>
      <c r="Q63" s="13" t="n">
        <f aca="false">'04 DETAILED RATE ANALYSIS'!J1370</f>
        <v>285.593333333333</v>
      </c>
      <c r="R63" s="13" t="n">
        <f aca="false">'04 DETAILED RATE ANALYSIS'!J1372</f>
        <v>0</v>
      </c>
      <c r="S63" s="14" t="n">
        <f aca="false">'04 DETAILED RATE ANALYSIS'!J1373</f>
        <v>3370</v>
      </c>
      <c r="T63" s="13" t="n">
        <f aca="false">S63*100</f>
        <v>337000</v>
      </c>
      <c r="U63" s="15" t="str">
        <f aca="false">IF(W63&gt;0,"INCOMPLETE – "&amp;W63&amp;" blank/old input(s)","Market-derived + assumptions")</f>
        <v>Market-derived + assumptions</v>
      </c>
      <c r="V63" s="9" t="s">
        <v>111</v>
      </c>
      <c r="W63" s="13" t="n">
        <f aca="false">'04 DETAILED RATE ANALYSIS'!J1374</f>
        <v>0</v>
      </c>
      <c r="X63" s="9" t="s">
        <v>112</v>
      </c>
      <c r="Y63" s="9" t="s">
        <v>113</v>
      </c>
      <c r="Z63" s="9" t="s">
        <v>114</v>
      </c>
      <c r="AA63" s="5"/>
      <c r="AB63" s="15" t="str">
        <f aca="false">IF(COUNTIF($A$5:$A$999,A63)&gt;1,"DUPLICATE","")</f>
        <v/>
      </c>
    </row>
    <row r="64" customFormat="false" ht="60" hidden="false" customHeight="true" outlineLevel="0" collapsed="false">
      <c r="A64" s="9" t="s">
        <v>381</v>
      </c>
      <c r="B64" s="9" t="s">
        <v>207</v>
      </c>
      <c r="C64" s="9" t="s">
        <v>382</v>
      </c>
      <c r="D64" s="9" t="s">
        <v>383</v>
      </c>
      <c r="E64" s="5" t="s">
        <v>384</v>
      </c>
      <c r="F64" s="5" t="s">
        <v>385</v>
      </c>
      <c r="G64" s="9" t="s">
        <v>386</v>
      </c>
      <c r="H64" s="9" t="str">
        <f aca="false">City</f>
        <v>Lahore</v>
      </c>
      <c r="I64" s="9" t="s">
        <v>110</v>
      </c>
      <c r="J64" s="13" t="n">
        <f aca="false">'04 DETAILED RATE ANALYSIS'!J1382</f>
        <v>4671</v>
      </c>
      <c r="K64" s="13" t="n">
        <f aca="false">'04 DETAILED RATE ANALYSIS'!J1385</f>
        <v>950.7</v>
      </c>
      <c r="L64" s="13" t="n">
        <f aca="false">'04 DETAILED RATE ANALYSIS'!J1386</f>
        <v>0</v>
      </c>
      <c r="M64" s="13" t="n">
        <f aca="false">'04 DETAILED RATE ANALYSIS'!J1387</f>
        <v>0</v>
      </c>
      <c r="N64" s="13" t="n">
        <f aca="false">'04 DETAILED RATE ANALYSIS'!J1383</f>
        <v>412.5</v>
      </c>
      <c r="O64" s="13" t="n">
        <f aca="false">'04 DETAILED RATE ANALYSIS'!J1388</f>
        <v>6034.2</v>
      </c>
      <c r="P64" s="13" t="n">
        <f aca="false">'04 DETAILED RATE ANALYSIS'!J1389+'04 DETAILED RATE ANALYSIS'!J1390</f>
        <v>482.736</v>
      </c>
      <c r="Q64" s="13" t="n">
        <f aca="false">'04 DETAILED RATE ANALYSIS'!J1391</f>
        <v>603.42</v>
      </c>
      <c r="R64" s="13" t="n">
        <f aca="false">'04 DETAILED RATE ANALYSIS'!J1393</f>
        <v>0</v>
      </c>
      <c r="S64" s="14" t="n">
        <f aca="false">'04 DETAILED RATE ANALYSIS'!J1394</f>
        <v>7120</v>
      </c>
      <c r="T64" s="13" t="n">
        <f aca="false">S64*100</f>
        <v>712000</v>
      </c>
      <c r="U64" s="15" t="str">
        <f aca="false">IF(W64&gt;0,"INCOMPLETE – "&amp;W64&amp;" blank/old input(s)","Market-derived + assumptions")</f>
        <v>Market-derived + assumptions</v>
      </c>
      <c r="V64" s="9" t="s">
        <v>111</v>
      </c>
      <c r="W64" s="13" t="n">
        <f aca="false">'04 DETAILED RATE ANALYSIS'!J1395</f>
        <v>0</v>
      </c>
      <c r="X64" s="9" t="s">
        <v>112</v>
      </c>
      <c r="Y64" s="9" t="s">
        <v>113</v>
      </c>
      <c r="Z64" s="9" t="s">
        <v>114</v>
      </c>
      <c r="AA64" s="5"/>
      <c r="AB64" s="15" t="str">
        <f aca="false">IF(COUNTIF($A$5:$A$999,A64)&gt;1,"DUPLICATE","")</f>
        <v/>
      </c>
    </row>
    <row r="65" customFormat="false" ht="60" hidden="false" customHeight="true" outlineLevel="0" collapsed="false">
      <c r="A65" s="9" t="s">
        <v>387</v>
      </c>
      <c r="B65" s="9" t="s">
        <v>388</v>
      </c>
      <c r="C65" s="9" t="s">
        <v>389</v>
      </c>
      <c r="D65" s="9" t="s">
        <v>390</v>
      </c>
      <c r="E65" s="5" t="s">
        <v>391</v>
      </c>
      <c r="F65" s="5" t="s">
        <v>392</v>
      </c>
      <c r="G65" s="9" t="s">
        <v>212</v>
      </c>
      <c r="H65" s="9" t="str">
        <f aca="false">City</f>
        <v>Lahore</v>
      </c>
      <c r="I65" s="9" t="s">
        <v>110</v>
      </c>
      <c r="J65" s="13" t="n">
        <f aca="false">'04 DETAILED RATE ANALYSIS'!J1402</f>
        <v>4535</v>
      </c>
      <c r="K65" s="13" t="n">
        <f aca="false">'04 DETAILED RATE ANALYSIS'!J1405</f>
        <v>0</v>
      </c>
      <c r="L65" s="13" t="n">
        <f aca="false">'04 DETAILED RATE ANALYSIS'!J1406</f>
        <v>3.75</v>
      </c>
      <c r="M65" s="13" t="n">
        <f aca="false">'04 DETAILED RATE ANALYSIS'!J1407</f>
        <v>0</v>
      </c>
      <c r="N65" s="13" t="n">
        <f aca="false">'04 DETAILED RATE ANALYSIS'!J1403</f>
        <v>0</v>
      </c>
      <c r="O65" s="13" t="n">
        <f aca="false">'04 DETAILED RATE ANALYSIS'!J1408</f>
        <v>4538.75</v>
      </c>
      <c r="P65" s="13" t="n">
        <f aca="false">'04 DETAILED RATE ANALYSIS'!J1409+'04 DETAILED RATE ANALYSIS'!J1410</f>
        <v>363.1</v>
      </c>
      <c r="Q65" s="13" t="n">
        <f aca="false">'04 DETAILED RATE ANALYSIS'!J1411</f>
        <v>453.875</v>
      </c>
      <c r="R65" s="13" t="n">
        <f aca="false">'04 DETAILED RATE ANALYSIS'!J1413</f>
        <v>0</v>
      </c>
      <c r="S65" s="14" t="n">
        <f aca="false">'04 DETAILED RATE ANALYSIS'!J1414</f>
        <v>5356</v>
      </c>
      <c r="T65" s="13" t="n">
        <f aca="false">S65*100</f>
        <v>535600</v>
      </c>
      <c r="U65" s="15" t="str">
        <f aca="false">IF(W65&gt;0,"INCOMPLETE – "&amp;W65&amp;" blank/old input(s)","Market-derived + assumptions")</f>
        <v>Market-derived + assumptions</v>
      </c>
      <c r="V65" s="9" t="s">
        <v>111</v>
      </c>
      <c r="W65" s="13" t="n">
        <f aca="false">'04 DETAILED RATE ANALYSIS'!J1415</f>
        <v>0</v>
      </c>
      <c r="X65" s="9" t="s">
        <v>112</v>
      </c>
      <c r="Y65" s="9" t="s">
        <v>113</v>
      </c>
      <c r="Z65" s="9" t="s">
        <v>114</v>
      </c>
      <c r="AA65" s="5"/>
      <c r="AB65" s="15" t="str">
        <f aca="false">IF(COUNTIF($A$5:$A$999,A65)&gt;1,"DUPLICATE","")</f>
        <v/>
      </c>
    </row>
    <row r="66" customFormat="false" ht="60" hidden="false" customHeight="true" outlineLevel="0" collapsed="false">
      <c r="A66" s="9" t="s">
        <v>393</v>
      </c>
      <c r="B66" s="9" t="s">
        <v>388</v>
      </c>
      <c r="C66" s="9" t="s">
        <v>394</v>
      </c>
      <c r="D66" s="9" t="s">
        <v>395</v>
      </c>
      <c r="E66" s="5" t="s">
        <v>396</v>
      </c>
      <c r="F66" s="5" t="s">
        <v>397</v>
      </c>
      <c r="G66" s="9" t="s">
        <v>212</v>
      </c>
      <c r="H66" s="9" t="str">
        <f aca="false">City</f>
        <v>Lahore</v>
      </c>
      <c r="I66" s="9" t="s">
        <v>110</v>
      </c>
      <c r="J66" s="13" t="n">
        <f aca="false">'04 DETAILED RATE ANALYSIS'!J1426</f>
        <v>1713.625</v>
      </c>
      <c r="K66" s="13" t="n">
        <f aca="false">'04 DETAILED RATE ANALYSIS'!J1429</f>
        <v>93.45</v>
      </c>
      <c r="L66" s="13" t="n">
        <f aca="false">'04 DETAILED RATE ANALYSIS'!J1430</f>
        <v>3.75</v>
      </c>
      <c r="M66" s="13" t="n">
        <f aca="false">'04 DETAILED RATE ANALYSIS'!J1431</f>
        <v>0</v>
      </c>
      <c r="N66" s="13" t="n">
        <f aca="false">'04 DETAILED RATE ANALYSIS'!J1427</f>
        <v>0</v>
      </c>
      <c r="O66" s="13" t="n">
        <f aca="false">'04 DETAILED RATE ANALYSIS'!J1432</f>
        <v>1810.825</v>
      </c>
      <c r="P66" s="13" t="n">
        <f aca="false">'04 DETAILED RATE ANALYSIS'!J1433+'04 DETAILED RATE ANALYSIS'!J1434</f>
        <v>144.866</v>
      </c>
      <c r="Q66" s="13" t="n">
        <f aca="false">'04 DETAILED RATE ANALYSIS'!J1435</f>
        <v>181.0825</v>
      </c>
      <c r="R66" s="13" t="n">
        <f aca="false">'04 DETAILED RATE ANALYSIS'!J1437</f>
        <v>0</v>
      </c>
      <c r="S66" s="14" t="n">
        <f aca="false">'04 DETAILED RATE ANALYSIS'!J1438</f>
        <v>2137</v>
      </c>
      <c r="T66" s="13" t="n">
        <f aca="false">S66*100</f>
        <v>213700</v>
      </c>
      <c r="U66" s="15" t="str">
        <f aca="false">IF(W66&gt;0,"INCOMPLETE – "&amp;W66&amp;" blank/old input(s)","Market-derived + assumptions")</f>
        <v>Market-derived + assumptions</v>
      </c>
      <c r="V66" s="9" t="s">
        <v>111</v>
      </c>
      <c r="W66" s="13" t="n">
        <f aca="false">'04 DETAILED RATE ANALYSIS'!J1439</f>
        <v>0</v>
      </c>
      <c r="X66" s="9" t="s">
        <v>112</v>
      </c>
      <c r="Y66" s="9" t="s">
        <v>113</v>
      </c>
      <c r="Z66" s="9" t="s">
        <v>114</v>
      </c>
      <c r="AA66" s="5"/>
      <c r="AB66" s="15" t="str">
        <f aca="false">IF(COUNTIF($A$5:$A$999,A66)&gt;1,"DUPLICATE","")</f>
        <v/>
      </c>
    </row>
    <row r="67" customFormat="false" ht="60" hidden="false" customHeight="true" outlineLevel="0" collapsed="false">
      <c r="A67" s="9" t="s">
        <v>398</v>
      </c>
      <c r="B67" s="9" t="s">
        <v>388</v>
      </c>
      <c r="C67" s="9" t="s">
        <v>394</v>
      </c>
      <c r="D67" s="9" t="s">
        <v>399</v>
      </c>
      <c r="E67" s="5" t="s">
        <v>400</v>
      </c>
      <c r="F67" s="5" t="s">
        <v>401</v>
      </c>
      <c r="G67" s="9" t="s">
        <v>212</v>
      </c>
      <c r="H67" s="9" t="str">
        <f aca="false">City</f>
        <v>Lahore</v>
      </c>
      <c r="I67" s="9" t="s">
        <v>110</v>
      </c>
      <c r="J67" s="13" t="n">
        <f aca="false">'04 DETAILED RATE ANALYSIS'!J1449</f>
        <v>1586.48066666667</v>
      </c>
      <c r="K67" s="13" t="n">
        <f aca="false">'04 DETAILED RATE ANALYSIS'!J1452</f>
        <v>124.6</v>
      </c>
      <c r="L67" s="13" t="n">
        <f aca="false">'04 DETAILED RATE ANALYSIS'!J1453</f>
        <v>3.75</v>
      </c>
      <c r="M67" s="13" t="n">
        <f aca="false">'04 DETAILED RATE ANALYSIS'!J1454</f>
        <v>0</v>
      </c>
      <c r="N67" s="13" t="n">
        <f aca="false">'04 DETAILED RATE ANALYSIS'!J1450</f>
        <v>0</v>
      </c>
      <c r="O67" s="13" t="n">
        <f aca="false">'04 DETAILED RATE ANALYSIS'!J1455</f>
        <v>1714.83066666667</v>
      </c>
      <c r="P67" s="13" t="n">
        <f aca="false">'04 DETAILED RATE ANALYSIS'!J1456+'04 DETAILED RATE ANALYSIS'!J1457</f>
        <v>137.186453333333</v>
      </c>
      <c r="Q67" s="13" t="n">
        <f aca="false">'04 DETAILED RATE ANALYSIS'!J1458</f>
        <v>171.483066666667</v>
      </c>
      <c r="R67" s="13" t="n">
        <f aca="false">'04 DETAILED RATE ANALYSIS'!J1460</f>
        <v>0</v>
      </c>
      <c r="S67" s="14" t="n">
        <f aca="false">'04 DETAILED RATE ANALYSIS'!J1461</f>
        <v>2024</v>
      </c>
      <c r="T67" s="13" t="n">
        <f aca="false">S67*100</f>
        <v>202400</v>
      </c>
      <c r="U67" s="15" t="str">
        <f aca="false">IF(W67&gt;0,"INCOMPLETE – "&amp;W67&amp;" blank/old input(s)","Market-derived + assumptions")</f>
        <v>Market-derived + assumptions</v>
      </c>
      <c r="V67" s="9" t="s">
        <v>111</v>
      </c>
      <c r="W67" s="13" t="n">
        <f aca="false">'04 DETAILED RATE ANALYSIS'!J1462</f>
        <v>0</v>
      </c>
      <c r="X67" s="9" t="s">
        <v>112</v>
      </c>
      <c r="Y67" s="9" t="s">
        <v>113</v>
      </c>
      <c r="Z67" s="9" t="s">
        <v>114</v>
      </c>
      <c r="AA67" s="5"/>
      <c r="AB67" s="15" t="str">
        <f aca="false">IF(COUNTIF($A$5:$A$999,A67)&gt;1,"DUPLICATE","")</f>
        <v/>
      </c>
    </row>
    <row r="68" customFormat="false" ht="60" hidden="false" customHeight="true" outlineLevel="0" collapsed="false">
      <c r="A68" s="9" t="s">
        <v>402</v>
      </c>
      <c r="B68" s="9" t="s">
        <v>403</v>
      </c>
      <c r="C68" s="9" t="s">
        <v>404</v>
      </c>
      <c r="D68" s="9" t="s">
        <v>405</v>
      </c>
      <c r="E68" s="5" t="s">
        <v>406</v>
      </c>
      <c r="F68" s="5" t="s">
        <v>407</v>
      </c>
      <c r="G68" s="9" t="s">
        <v>212</v>
      </c>
      <c r="H68" s="9" t="str">
        <f aca="false">City</f>
        <v>Lahore</v>
      </c>
      <c r="I68" s="9" t="s">
        <v>110</v>
      </c>
      <c r="J68" s="13" t="n">
        <f aca="false">'04 DETAILED RATE ANALYSIS'!J1471</f>
        <v>160.40208</v>
      </c>
      <c r="K68" s="13" t="n">
        <f aca="false">'04 DETAILED RATE ANALYSIS'!J1474</f>
        <v>17.5866666666667</v>
      </c>
      <c r="L68" s="13" t="n">
        <f aca="false">'04 DETAILED RATE ANALYSIS'!J1475</f>
        <v>0.3352337</v>
      </c>
      <c r="M68" s="13" t="n">
        <f aca="false">'04 DETAILED RATE ANALYSIS'!J1476</f>
        <v>0</v>
      </c>
      <c r="N68" s="13" t="n">
        <f aca="false">'04 DETAILED RATE ANALYSIS'!J1472</f>
        <v>10.5</v>
      </c>
      <c r="O68" s="13" t="n">
        <f aca="false">'04 DETAILED RATE ANALYSIS'!J1477</f>
        <v>188.823980366667</v>
      </c>
      <c r="P68" s="13" t="n">
        <f aca="false">'04 DETAILED RATE ANALYSIS'!J1478+'04 DETAILED RATE ANALYSIS'!J1479</f>
        <v>15.1059184293333</v>
      </c>
      <c r="Q68" s="13" t="n">
        <f aca="false">'04 DETAILED RATE ANALYSIS'!J1480</f>
        <v>18.8823980366667</v>
      </c>
      <c r="R68" s="13" t="n">
        <f aca="false">'04 DETAILED RATE ANALYSIS'!J1482</f>
        <v>0</v>
      </c>
      <c r="S68" s="14" t="n">
        <f aca="false">'04 DETAILED RATE ANALYSIS'!J1483</f>
        <v>223</v>
      </c>
      <c r="T68" s="13" t="n">
        <f aca="false">S68*100</f>
        <v>22300</v>
      </c>
      <c r="U68" s="15" t="str">
        <f aca="false">IF(W68&gt;0,"INCOMPLETE – "&amp;W68&amp;" blank/old input(s)","Market-derived + assumptions")</f>
        <v>Market-derived + assumptions</v>
      </c>
      <c r="V68" s="9" t="s">
        <v>183</v>
      </c>
      <c r="W68" s="13" t="n">
        <f aca="false">'04 DETAILED RATE ANALYSIS'!J1484</f>
        <v>0</v>
      </c>
      <c r="X68" s="9" t="s">
        <v>112</v>
      </c>
      <c r="Y68" s="9" t="s">
        <v>113</v>
      </c>
      <c r="Z68" s="9" t="s">
        <v>114</v>
      </c>
      <c r="AA68" s="5"/>
      <c r="AB68" s="15" t="str">
        <f aca="false">IF(COUNTIF($A$5:$A$999,A68)&gt;1,"DUPLICATE","")</f>
        <v/>
      </c>
    </row>
    <row r="69" customFormat="false" ht="60" hidden="false" customHeight="true" outlineLevel="0" collapsed="false">
      <c r="A69" s="9" t="s">
        <v>408</v>
      </c>
      <c r="B69" s="9" t="s">
        <v>403</v>
      </c>
      <c r="C69" s="9" t="s">
        <v>409</v>
      </c>
      <c r="D69" s="9" t="s">
        <v>410</v>
      </c>
      <c r="E69" s="5" t="s">
        <v>411</v>
      </c>
      <c r="F69" s="5" t="s">
        <v>412</v>
      </c>
      <c r="G69" s="9" t="s">
        <v>386</v>
      </c>
      <c r="H69" s="9" t="str">
        <f aca="false">City</f>
        <v>Lahore</v>
      </c>
      <c r="I69" s="9" t="s">
        <v>110</v>
      </c>
      <c r="J69" s="13" t="n">
        <f aca="false">'04 DETAILED RATE ANALYSIS'!J1494</f>
        <v>468.5</v>
      </c>
      <c r="K69" s="13" t="n">
        <f aca="false">'04 DETAILED RATE ANALYSIS'!J1497</f>
        <v>87.9333333333333</v>
      </c>
      <c r="L69" s="13" t="n">
        <f aca="false">'04 DETAILED RATE ANALYSIS'!J1498</f>
        <v>0</v>
      </c>
      <c r="M69" s="13" t="n">
        <f aca="false">'04 DETAILED RATE ANALYSIS'!J1499</f>
        <v>0</v>
      </c>
      <c r="N69" s="13" t="n">
        <f aca="false">'04 DETAILED RATE ANALYSIS'!J1495</f>
        <v>23.425</v>
      </c>
      <c r="O69" s="13" t="n">
        <f aca="false">'04 DETAILED RATE ANALYSIS'!J1500</f>
        <v>579.858333333333</v>
      </c>
      <c r="P69" s="13" t="n">
        <f aca="false">'04 DETAILED RATE ANALYSIS'!J1501+'04 DETAILED RATE ANALYSIS'!J1502</f>
        <v>46.3886666666667</v>
      </c>
      <c r="Q69" s="13" t="n">
        <f aca="false">'04 DETAILED RATE ANALYSIS'!J1503</f>
        <v>57.9858333333333</v>
      </c>
      <c r="R69" s="13" t="n">
        <f aca="false">'04 DETAILED RATE ANALYSIS'!J1505</f>
        <v>0</v>
      </c>
      <c r="S69" s="14" t="n">
        <f aca="false">'04 DETAILED RATE ANALYSIS'!J1506</f>
        <v>684</v>
      </c>
      <c r="T69" s="13" t="n">
        <f aca="false">S69*100</f>
        <v>68400</v>
      </c>
      <c r="U69" s="15" t="str">
        <f aca="false">IF(W69&gt;0,"INCOMPLETE – "&amp;W69&amp;" blank/old input(s)","Market-derived + assumptions")</f>
        <v>Market-derived + assumptions</v>
      </c>
      <c r="V69" s="9" t="s">
        <v>111</v>
      </c>
      <c r="W69" s="13" t="n">
        <f aca="false">'04 DETAILED RATE ANALYSIS'!J1507</f>
        <v>0</v>
      </c>
      <c r="X69" s="9" t="s">
        <v>112</v>
      </c>
      <c r="Y69" s="9" t="s">
        <v>113</v>
      </c>
      <c r="Z69" s="9" t="s">
        <v>114</v>
      </c>
      <c r="AA69" s="5"/>
      <c r="AB69" s="15" t="str">
        <f aca="false">IF(COUNTIF($A$5:$A$999,A69)&gt;1,"DUPLICATE","")</f>
        <v/>
      </c>
    </row>
    <row r="70" customFormat="false" ht="60" hidden="false" customHeight="true" outlineLevel="0" collapsed="false">
      <c r="A70" s="9" t="s">
        <v>413</v>
      </c>
      <c r="B70" s="9" t="s">
        <v>403</v>
      </c>
      <c r="C70" s="9" t="s">
        <v>414</v>
      </c>
      <c r="D70" s="9" t="s">
        <v>415</v>
      </c>
      <c r="E70" s="5" t="s">
        <v>416</v>
      </c>
      <c r="F70" s="5" t="s">
        <v>417</v>
      </c>
      <c r="G70" s="9" t="s">
        <v>109</v>
      </c>
      <c r="H70" s="9" t="str">
        <f aca="false">City</f>
        <v>Lahore</v>
      </c>
      <c r="I70" s="9" t="s">
        <v>110</v>
      </c>
      <c r="J70" s="13" t="n">
        <f aca="false">'04 DETAILED RATE ANALYSIS'!J1515</f>
        <v>126.029</v>
      </c>
      <c r="K70" s="13" t="n">
        <f aca="false">'04 DETAILED RATE ANALYSIS'!J1518</f>
        <v>1.538</v>
      </c>
      <c r="L70" s="13" t="n">
        <f aca="false">'04 DETAILED RATE ANALYSIS'!J1519</f>
        <v>2.011</v>
      </c>
      <c r="M70" s="13" t="n">
        <f aca="false">'04 DETAILED RATE ANALYSIS'!J1520</f>
        <v>0</v>
      </c>
      <c r="N70" s="13" t="n">
        <f aca="false">'04 DETAILED RATE ANALYSIS'!J1516</f>
        <v>0</v>
      </c>
      <c r="O70" s="13" t="n">
        <f aca="false">'04 DETAILED RATE ANALYSIS'!J1521</f>
        <v>129.578</v>
      </c>
      <c r="P70" s="13" t="n">
        <f aca="false">'04 DETAILED RATE ANALYSIS'!J1522+'04 DETAILED RATE ANALYSIS'!J1523</f>
        <v>10.36624</v>
      </c>
      <c r="Q70" s="13" t="n">
        <f aca="false">'04 DETAILED RATE ANALYSIS'!J1524</f>
        <v>12.9578</v>
      </c>
      <c r="R70" s="13" t="n">
        <f aca="false">'04 DETAILED RATE ANALYSIS'!J1526</f>
        <v>0</v>
      </c>
      <c r="S70" s="14" t="n">
        <f aca="false">'04 DETAILED RATE ANALYSIS'!J1527</f>
        <v>153</v>
      </c>
      <c r="T70" s="13" t="n">
        <f aca="false">S70*100</f>
        <v>15300</v>
      </c>
      <c r="U70" s="15" t="str">
        <f aca="false">IF(W70&gt;0,"INCOMPLETE – "&amp;W70&amp;" blank/old input(s)","Market-derived + assumptions")</f>
        <v>Market-derived + assumptions</v>
      </c>
      <c r="V70" s="9" t="s">
        <v>111</v>
      </c>
      <c r="W70" s="13" t="n">
        <f aca="false">'04 DETAILED RATE ANALYSIS'!J1528</f>
        <v>0</v>
      </c>
      <c r="X70" s="9" t="s">
        <v>112</v>
      </c>
      <c r="Y70" s="9" t="s">
        <v>113</v>
      </c>
      <c r="Z70" s="9" t="s">
        <v>114</v>
      </c>
      <c r="AA70" s="5"/>
      <c r="AB70" s="15" t="str">
        <f aca="false">IF(COUNTIF($A$5:$A$999,A70)&gt;1,"DUPLICATE","")</f>
        <v/>
      </c>
    </row>
    <row r="71" customFormat="false" ht="60" hidden="false" customHeight="true" outlineLevel="0" collapsed="false">
      <c r="A71" s="9" t="s">
        <v>418</v>
      </c>
      <c r="B71" s="9" t="s">
        <v>403</v>
      </c>
      <c r="C71" s="9" t="s">
        <v>414</v>
      </c>
      <c r="D71" s="9" t="s">
        <v>419</v>
      </c>
      <c r="E71" s="5" t="s">
        <v>420</v>
      </c>
      <c r="F71" s="5" t="s">
        <v>421</v>
      </c>
      <c r="G71" s="9" t="s">
        <v>212</v>
      </c>
      <c r="H71" s="9" t="str">
        <f aca="false">City</f>
        <v>Lahore</v>
      </c>
      <c r="I71" s="9" t="s">
        <v>110</v>
      </c>
      <c r="J71" s="13" t="n">
        <f aca="false">'04 DETAILED RATE ANALYSIS'!J1533</f>
        <v>142.31</v>
      </c>
      <c r="K71" s="13" t="n">
        <f aca="false">'04 DETAILED RATE ANALYSIS'!J1536</f>
        <v>0</v>
      </c>
      <c r="L71" s="13" t="n">
        <f aca="false">'04 DETAILED RATE ANALYSIS'!J1537</f>
        <v>0</v>
      </c>
      <c r="M71" s="13" t="n">
        <f aca="false">'04 DETAILED RATE ANALYSIS'!J1538</f>
        <v>0</v>
      </c>
      <c r="N71" s="13" t="n">
        <f aca="false">'04 DETAILED RATE ANALYSIS'!J1534</f>
        <v>0</v>
      </c>
      <c r="O71" s="13" t="n">
        <f aca="false">'04 DETAILED RATE ANALYSIS'!J1539</f>
        <v>142.31</v>
      </c>
      <c r="P71" s="13" t="n">
        <f aca="false">'04 DETAILED RATE ANALYSIS'!J1540+'04 DETAILED RATE ANALYSIS'!J1541</f>
        <v>11.3848</v>
      </c>
      <c r="Q71" s="13" t="n">
        <f aca="false">'04 DETAILED RATE ANALYSIS'!J1542</f>
        <v>14.231</v>
      </c>
      <c r="R71" s="13" t="n">
        <f aca="false">'04 DETAILED RATE ANALYSIS'!J1544</f>
        <v>0</v>
      </c>
      <c r="S71" s="14" t="n">
        <f aca="false">'04 DETAILED RATE ANALYSIS'!J1545</f>
        <v>168</v>
      </c>
      <c r="T71" s="13" t="n">
        <f aca="false">S71*100</f>
        <v>16800</v>
      </c>
      <c r="U71" s="15" t="str">
        <f aca="false">IF(W71&gt;0,"INCOMPLETE – "&amp;W71&amp;" blank/old input(s)","Market-derived + assumptions")</f>
        <v>Market-derived + assumptions</v>
      </c>
      <c r="V71" s="9" t="s">
        <v>111</v>
      </c>
      <c r="W71" s="13" t="n">
        <f aca="false">'04 DETAILED RATE ANALYSIS'!J1546</f>
        <v>0</v>
      </c>
      <c r="X71" s="9" t="s">
        <v>112</v>
      </c>
      <c r="Y71" s="9" t="s">
        <v>113</v>
      </c>
      <c r="Z71" s="9" t="s">
        <v>114</v>
      </c>
      <c r="AA71" s="5"/>
      <c r="AB71" s="15" t="str">
        <f aca="false">IF(COUNTIF($A$5:$A$999,A71)&gt;1,"DUPLICATE","")</f>
        <v/>
      </c>
    </row>
    <row r="72" customFormat="false" ht="60" hidden="false" customHeight="true" outlineLevel="0" collapsed="false">
      <c r="A72" s="9" t="s">
        <v>422</v>
      </c>
      <c r="B72" s="9" t="s">
        <v>403</v>
      </c>
      <c r="C72" s="9" t="s">
        <v>423</v>
      </c>
      <c r="D72" s="9" t="s">
        <v>424</v>
      </c>
      <c r="E72" s="5" t="s">
        <v>425</v>
      </c>
      <c r="F72" s="5" t="s">
        <v>426</v>
      </c>
      <c r="G72" s="9" t="s">
        <v>368</v>
      </c>
      <c r="H72" s="9" t="str">
        <f aca="false">City</f>
        <v>Lahore</v>
      </c>
      <c r="I72" s="9" t="s">
        <v>110</v>
      </c>
      <c r="J72" s="13" t="n">
        <f aca="false">'04 DETAILED RATE ANALYSIS'!J1557</f>
        <v>30534.8319285714</v>
      </c>
      <c r="K72" s="13" t="n">
        <f aca="false">'04 DETAILED RATE ANALYSIS'!J1560</f>
        <v>15828</v>
      </c>
      <c r="L72" s="13" t="n">
        <f aca="false">'04 DETAILED RATE ANALYSIS'!J1561</f>
        <v>0</v>
      </c>
      <c r="M72" s="13" t="n">
        <f aca="false">'04 DETAILED RATE ANALYSIS'!J1562</f>
        <v>0</v>
      </c>
      <c r="N72" s="13" t="n">
        <f aca="false">'04 DETAILED RATE ANALYSIS'!J1558</f>
        <v>1019.44237642857</v>
      </c>
      <c r="O72" s="13" t="n">
        <f aca="false">'04 DETAILED RATE ANALYSIS'!J1563</f>
        <v>47382.274305</v>
      </c>
      <c r="P72" s="13" t="n">
        <f aca="false">'04 DETAILED RATE ANALYSIS'!J1564+'04 DETAILED RATE ANALYSIS'!J1565</f>
        <v>3790.5819444</v>
      </c>
      <c r="Q72" s="13" t="n">
        <f aca="false">'04 DETAILED RATE ANALYSIS'!J1566</f>
        <v>4738.2274305</v>
      </c>
      <c r="R72" s="13" t="n">
        <f aca="false">'04 DETAILED RATE ANALYSIS'!J1568</f>
        <v>0</v>
      </c>
      <c r="S72" s="14" t="n">
        <f aca="false">'04 DETAILED RATE ANALYSIS'!J1569</f>
        <v>55911</v>
      </c>
      <c r="T72" s="13" t="n">
        <f aca="false">S72*100</f>
        <v>5591100</v>
      </c>
      <c r="U72" s="15" t="str">
        <f aca="false">IF(W72&gt;0,"INCOMPLETE – "&amp;W72&amp;" blank/old input(s)","Market-derived + assumptions")</f>
        <v>Market-derived + assumptions</v>
      </c>
      <c r="V72" s="9" t="s">
        <v>183</v>
      </c>
      <c r="W72" s="13" t="n">
        <f aca="false">'04 DETAILED RATE ANALYSIS'!J1570</f>
        <v>0</v>
      </c>
      <c r="X72" s="9" t="s">
        <v>112</v>
      </c>
      <c r="Y72" s="9" t="s">
        <v>113</v>
      </c>
      <c r="Z72" s="9" t="s">
        <v>114</v>
      </c>
      <c r="AA72" s="5"/>
      <c r="AB72" s="15" t="str">
        <f aca="false">IF(COUNTIF($A$5:$A$999,A72)&gt;1,"DUPLICATE","")</f>
        <v/>
      </c>
    </row>
    <row r="73" customFormat="false" ht="60" hidden="false" customHeight="true" outlineLevel="0" collapsed="false">
      <c r="A73" s="9" t="s">
        <v>427</v>
      </c>
      <c r="B73" s="9" t="s">
        <v>403</v>
      </c>
      <c r="C73" s="9" t="s">
        <v>428</v>
      </c>
      <c r="D73" s="9" t="s">
        <v>429</v>
      </c>
      <c r="E73" s="5" t="s">
        <v>430</v>
      </c>
      <c r="F73" s="5" t="s">
        <v>431</v>
      </c>
      <c r="G73" s="9" t="s">
        <v>212</v>
      </c>
      <c r="H73" s="9" t="str">
        <f aca="false">City</f>
        <v>Lahore</v>
      </c>
      <c r="I73" s="9" t="s">
        <v>110</v>
      </c>
      <c r="J73" s="13" t="n">
        <f aca="false">'04 DETAILED RATE ANALYSIS'!J1576</f>
        <v>9.45</v>
      </c>
      <c r="K73" s="13" t="n">
        <f aca="false">'04 DETAILED RATE ANALYSIS'!J1579</f>
        <v>3.076</v>
      </c>
      <c r="L73" s="13" t="n">
        <f aca="false">'04 DETAILED RATE ANALYSIS'!J1580</f>
        <v>0</v>
      </c>
      <c r="M73" s="13" t="n">
        <f aca="false">'04 DETAILED RATE ANALYSIS'!J1581</f>
        <v>0</v>
      </c>
      <c r="N73" s="13" t="n">
        <f aca="false">'04 DETAILED RATE ANALYSIS'!J1577</f>
        <v>0</v>
      </c>
      <c r="O73" s="13" t="n">
        <f aca="false">'04 DETAILED RATE ANALYSIS'!J1582</f>
        <v>12.526</v>
      </c>
      <c r="P73" s="13" t="n">
        <f aca="false">'04 DETAILED RATE ANALYSIS'!J1583+'04 DETAILED RATE ANALYSIS'!J1584</f>
        <v>1.00208</v>
      </c>
      <c r="Q73" s="13" t="n">
        <f aca="false">'04 DETAILED RATE ANALYSIS'!J1585</f>
        <v>1.2526</v>
      </c>
      <c r="R73" s="13" t="n">
        <f aca="false">'04 DETAILED RATE ANALYSIS'!J1587</f>
        <v>0</v>
      </c>
      <c r="S73" s="14" t="n">
        <f aca="false">'04 DETAILED RATE ANALYSIS'!J1588</f>
        <v>15</v>
      </c>
      <c r="T73" s="13" t="n">
        <f aca="false">S73*100</f>
        <v>1500</v>
      </c>
      <c r="U73" s="15" t="str">
        <f aca="false">IF(W73&gt;0,"INCOMPLETE – "&amp;W73&amp;" blank/old input(s)","Market-derived + assumptions")</f>
        <v>Market-derived + assumptions</v>
      </c>
      <c r="V73" s="9" t="s">
        <v>111</v>
      </c>
      <c r="W73" s="13" t="n">
        <f aca="false">'04 DETAILED RATE ANALYSIS'!J1589</f>
        <v>0</v>
      </c>
      <c r="X73" s="9" t="s">
        <v>112</v>
      </c>
      <c r="Y73" s="9" t="s">
        <v>113</v>
      </c>
      <c r="Z73" s="9" t="s">
        <v>114</v>
      </c>
      <c r="AA73" s="5"/>
      <c r="AB73" s="15" t="str">
        <f aca="false">IF(COUNTIF($A$5:$A$999,A73)&gt;1,"DUPLICATE","")</f>
        <v/>
      </c>
    </row>
    <row r="74" customFormat="false" ht="60" hidden="false" customHeight="true" outlineLevel="0" collapsed="false">
      <c r="A74" s="9" t="s">
        <v>432</v>
      </c>
      <c r="B74" s="9" t="s">
        <v>433</v>
      </c>
      <c r="C74" s="9" t="s">
        <v>434</v>
      </c>
      <c r="D74" s="9" t="s">
        <v>435</v>
      </c>
      <c r="E74" s="5" t="s">
        <v>436</v>
      </c>
      <c r="F74" s="5" t="s">
        <v>437</v>
      </c>
      <c r="G74" s="9" t="s">
        <v>386</v>
      </c>
      <c r="H74" s="9" t="str">
        <f aca="false">City</f>
        <v>Lahore</v>
      </c>
      <c r="I74" s="9" t="s">
        <v>110</v>
      </c>
      <c r="J74" s="13" t="n">
        <f aca="false">'04 DETAILED RATE ANALYSIS'!J1600</f>
        <v>151.541260162602</v>
      </c>
      <c r="K74" s="13" t="n">
        <f aca="false">'04 DETAILED RATE ANALYSIS'!J1603</f>
        <v>91.9555555555556</v>
      </c>
      <c r="L74" s="13" t="n">
        <f aca="false">'04 DETAILED RATE ANALYSIS'!J1604</f>
        <v>0</v>
      </c>
      <c r="M74" s="13" t="n">
        <f aca="false">'04 DETAILED RATE ANALYSIS'!J1605</f>
        <v>0</v>
      </c>
      <c r="N74" s="13" t="n">
        <f aca="false">'04 DETAILED RATE ANALYSIS'!J1601</f>
        <v>4.9375</v>
      </c>
      <c r="O74" s="13" t="n">
        <f aca="false">'04 DETAILED RATE ANALYSIS'!J1606</f>
        <v>248.434315718157</v>
      </c>
      <c r="P74" s="13" t="n">
        <f aca="false">'04 DETAILED RATE ANALYSIS'!J1607+'04 DETAILED RATE ANALYSIS'!J1608</f>
        <v>19.8747452574526</v>
      </c>
      <c r="Q74" s="13" t="n">
        <f aca="false">'04 DETAILED RATE ANALYSIS'!J1609</f>
        <v>24.8434315718157</v>
      </c>
      <c r="R74" s="13" t="n">
        <f aca="false">'04 DETAILED RATE ANALYSIS'!J1611</f>
        <v>0</v>
      </c>
      <c r="S74" s="14" t="n">
        <f aca="false">'04 DETAILED RATE ANALYSIS'!J1612</f>
        <v>293</v>
      </c>
      <c r="T74" s="13" t="n">
        <f aca="false">S74*100</f>
        <v>29300</v>
      </c>
      <c r="U74" s="15" t="str">
        <f aca="false">IF(W74&gt;0,"INCOMPLETE – "&amp;W74&amp;" blank/old input(s)","Market-derived + assumptions")</f>
        <v>INCOMPLETE – 1 blank/old input(s)</v>
      </c>
      <c r="V74" s="9" t="s">
        <v>111</v>
      </c>
      <c r="W74" s="13" t="n">
        <f aca="false">'04 DETAILED RATE ANALYSIS'!J1613</f>
        <v>1</v>
      </c>
      <c r="X74" s="9" t="s">
        <v>112</v>
      </c>
      <c r="Y74" s="9" t="s">
        <v>113</v>
      </c>
      <c r="Z74" s="9" t="s">
        <v>114</v>
      </c>
      <c r="AA74" s="5"/>
      <c r="AB74" s="15" t="str">
        <f aca="false">IF(COUNTIF($A$5:$A$999,A74)&gt;1,"DUPLICATE","")</f>
        <v/>
      </c>
    </row>
    <row r="75" customFormat="false" ht="60" hidden="false" customHeight="true" outlineLevel="0" collapsed="false">
      <c r="A75" s="9" t="s">
        <v>438</v>
      </c>
      <c r="B75" s="9" t="s">
        <v>433</v>
      </c>
      <c r="C75" s="9" t="s">
        <v>434</v>
      </c>
      <c r="D75" s="9" t="s">
        <v>439</v>
      </c>
      <c r="E75" s="5" t="s">
        <v>440</v>
      </c>
      <c r="F75" s="5" t="s">
        <v>437</v>
      </c>
      <c r="G75" s="9" t="s">
        <v>386</v>
      </c>
      <c r="H75" s="9" t="str">
        <f aca="false">City</f>
        <v>Lahore</v>
      </c>
      <c r="I75" s="9" t="s">
        <v>110</v>
      </c>
      <c r="J75" s="13" t="n">
        <f aca="false">'04 DETAILED RATE ANALYSIS'!J1624</f>
        <v>203.242784552846</v>
      </c>
      <c r="K75" s="13" t="n">
        <f aca="false">'04 DETAILED RATE ANALYSIS'!J1627</f>
        <v>91.9555555555556</v>
      </c>
      <c r="L75" s="13" t="n">
        <f aca="false">'04 DETAILED RATE ANALYSIS'!J1628</f>
        <v>0</v>
      </c>
      <c r="M75" s="13" t="n">
        <f aca="false">'04 DETAILED RATE ANALYSIS'!J1629</f>
        <v>0</v>
      </c>
      <c r="N75" s="13" t="n">
        <f aca="false">'04 DETAILED RATE ANALYSIS'!J1625</f>
        <v>7.26900000000001</v>
      </c>
      <c r="O75" s="13" t="n">
        <f aca="false">'04 DETAILED RATE ANALYSIS'!J1630</f>
        <v>302.467340108401</v>
      </c>
      <c r="P75" s="13" t="n">
        <f aca="false">'04 DETAILED RATE ANALYSIS'!J1631+'04 DETAILED RATE ANALYSIS'!J1632</f>
        <v>24.1973872086721</v>
      </c>
      <c r="Q75" s="13" t="n">
        <f aca="false">'04 DETAILED RATE ANALYSIS'!J1633</f>
        <v>30.2467340108401</v>
      </c>
      <c r="R75" s="13" t="n">
        <f aca="false">'04 DETAILED RATE ANALYSIS'!J1635</f>
        <v>0</v>
      </c>
      <c r="S75" s="14" t="n">
        <f aca="false">'04 DETAILED RATE ANALYSIS'!J1636</f>
        <v>357</v>
      </c>
      <c r="T75" s="13" t="n">
        <f aca="false">S75*100</f>
        <v>35700</v>
      </c>
      <c r="U75" s="15" t="str">
        <f aca="false">IF(W75&gt;0,"INCOMPLETE – "&amp;W75&amp;" blank/old input(s)","Market-derived + assumptions")</f>
        <v>INCOMPLETE – 1 blank/old input(s)</v>
      </c>
      <c r="V75" s="9" t="s">
        <v>111</v>
      </c>
      <c r="W75" s="13" t="n">
        <f aca="false">'04 DETAILED RATE ANALYSIS'!J1637</f>
        <v>1</v>
      </c>
      <c r="X75" s="9" t="s">
        <v>112</v>
      </c>
      <c r="Y75" s="9" t="s">
        <v>113</v>
      </c>
      <c r="Z75" s="9" t="s">
        <v>114</v>
      </c>
      <c r="AA75" s="5"/>
      <c r="AB75" s="15" t="str">
        <f aca="false">IF(COUNTIF($A$5:$A$999,A75)&gt;1,"DUPLICATE","")</f>
        <v/>
      </c>
    </row>
    <row r="76" customFormat="false" ht="60" hidden="false" customHeight="true" outlineLevel="0" collapsed="false">
      <c r="A76" s="9" t="s">
        <v>441</v>
      </c>
      <c r="B76" s="9" t="s">
        <v>433</v>
      </c>
      <c r="C76" s="9" t="s">
        <v>434</v>
      </c>
      <c r="D76" s="9" t="s">
        <v>442</v>
      </c>
      <c r="E76" s="5" t="s">
        <v>443</v>
      </c>
      <c r="F76" s="5" t="s">
        <v>437</v>
      </c>
      <c r="G76" s="9" t="s">
        <v>386</v>
      </c>
      <c r="H76" s="9" t="str">
        <f aca="false">City</f>
        <v>Lahore</v>
      </c>
      <c r="I76" s="9" t="s">
        <v>110</v>
      </c>
      <c r="J76" s="13" t="n">
        <f aca="false">'04 DETAILED RATE ANALYSIS'!J1648</f>
        <v>313.629491869919</v>
      </c>
      <c r="K76" s="13" t="n">
        <f aca="false">'04 DETAILED RATE ANALYSIS'!J1651</f>
        <v>91.9555555555556</v>
      </c>
      <c r="L76" s="13" t="n">
        <f aca="false">'04 DETAILED RATE ANALYSIS'!J1652</f>
        <v>0</v>
      </c>
      <c r="M76" s="13" t="n">
        <f aca="false">'04 DETAILED RATE ANALYSIS'!J1653</f>
        <v>0</v>
      </c>
      <c r="N76" s="13" t="n">
        <f aca="false">'04 DETAILED RATE ANALYSIS'!J1649</f>
        <v>12.1305</v>
      </c>
      <c r="O76" s="13" t="n">
        <f aca="false">'04 DETAILED RATE ANALYSIS'!J1654</f>
        <v>417.715547425474</v>
      </c>
      <c r="P76" s="13" t="n">
        <f aca="false">'04 DETAILED RATE ANALYSIS'!J1655+'04 DETAILED RATE ANALYSIS'!J1656</f>
        <v>33.4172437940379</v>
      </c>
      <c r="Q76" s="13" t="n">
        <f aca="false">'04 DETAILED RATE ANALYSIS'!J1657</f>
        <v>41.7715547425474</v>
      </c>
      <c r="R76" s="13" t="n">
        <f aca="false">'04 DETAILED RATE ANALYSIS'!J1659</f>
        <v>0</v>
      </c>
      <c r="S76" s="14" t="n">
        <f aca="false">'04 DETAILED RATE ANALYSIS'!J1660</f>
        <v>493</v>
      </c>
      <c r="T76" s="13" t="n">
        <f aca="false">S76*100</f>
        <v>49300</v>
      </c>
      <c r="U76" s="15" t="str">
        <f aca="false">IF(W76&gt;0,"INCOMPLETE – "&amp;W76&amp;" blank/old input(s)","Market-derived + assumptions")</f>
        <v>INCOMPLETE – 1 blank/old input(s)</v>
      </c>
      <c r="V76" s="9" t="s">
        <v>111</v>
      </c>
      <c r="W76" s="13" t="n">
        <f aca="false">'04 DETAILED RATE ANALYSIS'!J1661</f>
        <v>1</v>
      </c>
      <c r="X76" s="9" t="s">
        <v>112</v>
      </c>
      <c r="Y76" s="9" t="s">
        <v>113</v>
      </c>
      <c r="Z76" s="9" t="s">
        <v>114</v>
      </c>
      <c r="AA76" s="5"/>
      <c r="AB76" s="15" t="str">
        <f aca="false">IF(COUNTIF($A$5:$A$999,A76)&gt;1,"DUPLICATE","")</f>
        <v/>
      </c>
    </row>
    <row r="77" customFormat="false" ht="60" hidden="false" customHeight="true" outlineLevel="0" collapsed="false">
      <c r="A77" s="9" t="s">
        <v>444</v>
      </c>
      <c r="B77" s="9" t="s">
        <v>433</v>
      </c>
      <c r="C77" s="9" t="s">
        <v>434</v>
      </c>
      <c r="D77" s="9" t="s">
        <v>445</v>
      </c>
      <c r="E77" s="5" t="s">
        <v>446</v>
      </c>
      <c r="F77" s="5" t="s">
        <v>437</v>
      </c>
      <c r="G77" s="9" t="s">
        <v>386</v>
      </c>
      <c r="H77" s="9" t="str">
        <f aca="false">City</f>
        <v>Lahore</v>
      </c>
      <c r="I77" s="9" t="s">
        <v>110</v>
      </c>
      <c r="J77" s="13" t="n">
        <f aca="false">'04 DETAILED RATE ANALYSIS'!J1672</f>
        <v>456.693699186992</v>
      </c>
      <c r="K77" s="13" t="n">
        <f aca="false">'04 DETAILED RATE ANALYSIS'!J1675</f>
        <v>118.228571428571</v>
      </c>
      <c r="L77" s="13" t="n">
        <f aca="false">'04 DETAILED RATE ANALYSIS'!J1676</f>
        <v>0</v>
      </c>
      <c r="M77" s="13" t="n">
        <f aca="false">'04 DETAILED RATE ANALYSIS'!J1677</f>
        <v>0</v>
      </c>
      <c r="N77" s="13" t="n">
        <f aca="false">'04 DETAILED RATE ANALYSIS'!J1673</f>
        <v>18.348</v>
      </c>
      <c r="O77" s="13" t="n">
        <f aca="false">'04 DETAILED RATE ANALYSIS'!J1678</f>
        <v>593.270270615563</v>
      </c>
      <c r="P77" s="13" t="n">
        <f aca="false">'04 DETAILED RATE ANALYSIS'!J1679+'04 DETAILED RATE ANALYSIS'!J1680</f>
        <v>47.4616216492451</v>
      </c>
      <c r="Q77" s="13" t="n">
        <f aca="false">'04 DETAILED RATE ANALYSIS'!J1681</f>
        <v>59.3270270615563</v>
      </c>
      <c r="R77" s="13" t="n">
        <f aca="false">'04 DETAILED RATE ANALYSIS'!J1683</f>
        <v>0</v>
      </c>
      <c r="S77" s="14" t="n">
        <f aca="false">'04 DETAILED RATE ANALYSIS'!J1684</f>
        <v>700</v>
      </c>
      <c r="T77" s="13" t="n">
        <f aca="false">S77*100</f>
        <v>70000</v>
      </c>
      <c r="U77" s="15" t="str">
        <f aca="false">IF(W77&gt;0,"INCOMPLETE – "&amp;W77&amp;" blank/old input(s)","Market-derived + assumptions")</f>
        <v>INCOMPLETE – 1 blank/old input(s)</v>
      </c>
      <c r="V77" s="9" t="s">
        <v>111</v>
      </c>
      <c r="W77" s="13" t="n">
        <f aca="false">'04 DETAILED RATE ANALYSIS'!J1685</f>
        <v>1</v>
      </c>
      <c r="X77" s="9" t="s">
        <v>112</v>
      </c>
      <c r="Y77" s="9" t="s">
        <v>113</v>
      </c>
      <c r="Z77" s="9" t="s">
        <v>114</v>
      </c>
      <c r="AA77" s="5"/>
      <c r="AB77" s="15" t="str">
        <f aca="false">IF(COUNTIF($A$5:$A$999,A77)&gt;1,"DUPLICATE","")</f>
        <v/>
      </c>
    </row>
    <row r="78" customFormat="false" ht="60" hidden="false" customHeight="true" outlineLevel="0" collapsed="false">
      <c r="A78" s="9" t="s">
        <v>447</v>
      </c>
      <c r="B78" s="9" t="s">
        <v>433</v>
      </c>
      <c r="C78" s="9" t="s">
        <v>434</v>
      </c>
      <c r="D78" s="9" t="s">
        <v>448</v>
      </c>
      <c r="E78" s="5" t="s">
        <v>449</v>
      </c>
      <c r="F78" s="5" t="s">
        <v>437</v>
      </c>
      <c r="G78" s="9" t="s">
        <v>386</v>
      </c>
      <c r="H78" s="9" t="str">
        <f aca="false">City</f>
        <v>Lahore</v>
      </c>
      <c r="I78" s="9" t="s">
        <v>110</v>
      </c>
      <c r="J78" s="13" t="n">
        <f aca="false">'04 DETAILED RATE ANALYSIS'!J1696</f>
        <v>738.705528455285</v>
      </c>
      <c r="K78" s="13" t="n">
        <f aca="false">'04 DETAILED RATE ANALYSIS'!J1699</f>
        <v>118.228571428571</v>
      </c>
      <c r="L78" s="13" t="n">
        <f aca="false">'04 DETAILED RATE ANALYSIS'!J1700</f>
        <v>0</v>
      </c>
      <c r="M78" s="13" t="n">
        <f aca="false">'04 DETAILED RATE ANALYSIS'!J1701</f>
        <v>0</v>
      </c>
      <c r="N78" s="13" t="n">
        <f aca="false">'04 DETAILED RATE ANALYSIS'!J1697</f>
        <v>29.1525</v>
      </c>
      <c r="O78" s="13" t="n">
        <f aca="false">'04 DETAILED RATE ANALYSIS'!J1702</f>
        <v>886.086599883856</v>
      </c>
      <c r="P78" s="13" t="n">
        <f aca="false">'04 DETAILED RATE ANALYSIS'!J1703+'04 DETAILED RATE ANALYSIS'!J1704</f>
        <v>70.8869279907085</v>
      </c>
      <c r="Q78" s="13" t="n">
        <f aca="false">'04 DETAILED RATE ANALYSIS'!J1705</f>
        <v>88.6086599883856</v>
      </c>
      <c r="R78" s="13" t="n">
        <f aca="false">'04 DETAILED RATE ANALYSIS'!J1707</f>
        <v>0</v>
      </c>
      <c r="S78" s="14" t="n">
        <f aca="false">'04 DETAILED RATE ANALYSIS'!J1708</f>
        <v>1046</v>
      </c>
      <c r="T78" s="13" t="n">
        <f aca="false">S78*100</f>
        <v>104600</v>
      </c>
      <c r="U78" s="15" t="str">
        <f aca="false">IF(W78&gt;0,"INCOMPLETE – "&amp;W78&amp;" blank/old input(s)","Market-derived + assumptions")</f>
        <v>INCOMPLETE – 1 blank/old input(s)</v>
      </c>
      <c r="V78" s="9" t="s">
        <v>111</v>
      </c>
      <c r="W78" s="13" t="n">
        <f aca="false">'04 DETAILED RATE ANALYSIS'!J1709</f>
        <v>1</v>
      </c>
      <c r="X78" s="9" t="s">
        <v>112</v>
      </c>
      <c r="Y78" s="9" t="s">
        <v>113</v>
      </c>
      <c r="Z78" s="9" t="s">
        <v>114</v>
      </c>
      <c r="AA78" s="5"/>
      <c r="AB78" s="15" t="str">
        <f aca="false">IF(COUNTIF($A$5:$A$999,A78)&gt;1,"DUPLICATE","")</f>
        <v/>
      </c>
    </row>
    <row r="79" customFormat="false" ht="60" hidden="false" customHeight="true" outlineLevel="0" collapsed="false">
      <c r="A79" s="9" t="s">
        <v>450</v>
      </c>
      <c r="B79" s="9" t="s">
        <v>433</v>
      </c>
      <c r="C79" s="9" t="s">
        <v>434</v>
      </c>
      <c r="D79" s="9" t="s">
        <v>451</v>
      </c>
      <c r="E79" s="5" t="s">
        <v>452</v>
      </c>
      <c r="F79" s="5" t="s">
        <v>437</v>
      </c>
      <c r="G79" s="9" t="s">
        <v>386</v>
      </c>
      <c r="H79" s="9" t="str">
        <f aca="false">City</f>
        <v>Lahore</v>
      </c>
      <c r="I79" s="9" t="s">
        <v>110</v>
      </c>
      <c r="J79" s="13" t="n">
        <f aca="false">'04 DETAILED RATE ANALYSIS'!J1720</f>
        <v>1201.07796747967</v>
      </c>
      <c r="K79" s="13" t="n">
        <f aca="false">'04 DETAILED RATE ANALYSIS'!J1723</f>
        <v>118.228571428571</v>
      </c>
      <c r="L79" s="13" t="n">
        <f aca="false">'04 DETAILED RATE ANALYSIS'!J1724</f>
        <v>0</v>
      </c>
      <c r="M79" s="13" t="n">
        <f aca="false">'04 DETAILED RATE ANALYSIS'!J1725</f>
        <v>0</v>
      </c>
      <c r="N79" s="13" t="n">
        <f aca="false">'04 DETAILED RATE ANALYSIS'!J1721</f>
        <v>47.8815000000002</v>
      </c>
      <c r="O79" s="13" t="n">
        <f aca="false">'04 DETAILED RATE ANALYSIS'!J1726</f>
        <v>1367.18803890825</v>
      </c>
      <c r="P79" s="13" t="n">
        <f aca="false">'04 DETAILED RATE ANALYSIS'!J1727+'04 DETAILED RATE ANALYSIS'!J1728</f>
        <v>109.37504311266</v>
      </c>
      <c r="Q79" s="13" t="n">
        <f aca="false">'04 DETAILED RATE ANALYSIS'!J1729</f>
        <v>136.718803890825</v>
      </c>
      <c r="R79" s="13" t="n">
        <f aca="false">'04 DETAILED RATE ANALYSIS'!J1731</f>
        <v>0</v>
      </c>
      <c r="S79" s="14" t="n">
        <f aca="false">'04 DETAILED RATE ANALYSIS'!J1732</f>
        <v>1613</v>
      </c>
      <c r="T79" s="13" t="n">
        <f aca="false">S79*100</f>
        <v>161300</v>
      </c>
      <c r="U79" s="15" t="str">
        <f aca="false">IF(W79&gt;0,"INCOMPLETE – "&amp;W79&amp;" blank/old input(s)","Market-derived + assumptions")</f>
        <v>INCOMPLETE – 1 blank/old input(s)</v>
      </c>
      <c r="V79" s="9" t="s">
        <v>111</v>
      </c>
      <c r="W79" s="13" t="n">
        <f aca="false">'04 DETAILED RATE ANALYSIS'!J1733</f>
        <v>1</v>
      </c>
      <c r="X79" s="9" t="s">
        <v>112</v>
      </c>
      <c r="Y79" s="9" t="s">
        <v>113</v>
      </c>
      <c r="Z79" s="9" t="s">
        <v>114</v>
      </c>
      <c r="AA79" s="5"/>
      <c r="AB79" s="15" t="str">
        <f aca="false">IF(COUNTIF($A$5:$A$999,A79)&gt;1,"DUPLICATE","")</f>
        <v/>
      </c>
    </row>
    <row r="80" customFormat="false" ht="60" hidden="false" customHeight="true" outlineLevel="0" collapsed="false">
      <c r="A80" s="9" t="s">
        <v>453</v>
      </c>
      <c r="B80" s="9" t="s">
        <v>433</v>
      </c>
      <c r="C80" s="9" t="s">
        <v>434</v>
      </c>
      <c r="D80" s="9" t="s">
        <v>454</v>
      </c>
      <c r="E80" s="5" t="s">
        <v>455</v>
      </c>
      <c r="F80" s="5" t="s">
        <v>437</v>
      </c>
      <c r="G80" s="9" t="s">
        <v>386</v>
      </c>
      <c r="H80" s="9" t="str">
        <f aca="false">City</f>
        <v>Lahore</v>
      </c>
      <c r="I80" s="9" t="s">
        <v>110</v>
      </c>
      <c r="J80" s="13" t="n">
        <f aca="false">'04 DETAILED RATE ANALYSIS'!J1744</f>
        <v>1756.64040650407</v>
      </c>
      <c r="K80" s="13" t="n">
        <f aca="false">'04 DETAILED RATE ANALYSIS'!J1747</f>
        <v>165.52</v>
      </c>
      <c r="L80" s="13" t="n">
        <f aca="false">'04 DETAILED RATE ANALYSIS'!J1748</f>
        <v>0</v>
      </c>
      <c r="M80" s="13" t="n">
        <f aca="false">'04 DETAILED RATE ANALYSIS'!J1749</f>
        <v>0</v>
      </c>
      <c r="N80" s="13" t="n">
        <f aca="false">'04 DETAILED RATE ANALYSIS'!J1745</f>
        <v>67.3425</v>
      </c>
      <c r="O80" s="13" t="n">
        <f aca="false">'04 DETAILED RATE ANALYSIS'!J1750</f>
        <v>1989.50290650406</v>
      </c>
      <c r="P80" s="13" t="n">
        <f aca="false">'04 DETAILED RATE ANALYSIS'!J1751+'04 DETAILED RATE ANALYSIS'!J1752</f>
        <v>159.160232520325</v>
      </c>
      <c r="Q80" s="13" t="n">
        <f aca="false">'04 DETAILED RATE ANALYSIS'!J1753</f>
        <v>198.950290650407</v>
      </c>
      <c r="R80" s="13" t="n">
        <f aca="false">'04 DETAILED RATE ANALYSIS'!J1755</f>
        <v>0</v>
      </c>
      <c r="S80" s="14" t="n">
        <f aca="false">'04 DETAILED RATE ANALYSIS'!J1756</f>
        <v>2348</v>
      </c>
      <c r="T80" s="13" t="n">
        <f aca="false">S80*100</f>
        <v>234800</v>
      </c>
      <c r="U80" s="15" t="str">
        <f aca="false">IF(W80&gt;0,"INCOMPLETE – "&amp;W80&amp;" blank/old input(s)","Market-derived + assumptions")</f>
        <v>INCOMPLETE – 1 blank/old input(s)</v>
      </c>
      <c r="V80" s="9" t="s">
        <v>111</v>
      </c>
      <c r="W80" s="13" t="n">
        <f aca="false">'04 DETAILED RATE ANALYSIS'!J1757</f>
        <v>1</v>
      </c>
      <c r="X80" s="9" t="s">
        <v>112</v>
      </c>
      <c r="Y80" s="9" t="s">
        <v>113</v>
      </c>
      <c r="Z80" s="9" t="s">
        <v>114</v>
      </c>
      <c r="AA80" s="5"/>
      <c r="AB80" s="15" t="str">
        <f aca="false">IF(COUNTIF($A$5:$A$999,A80)&gt;1,"DUPLICATE","")</f>
        <v/>
      </c>
    </row>
    <row r="81" customFormat="false" ht="60" hidden="false" customHeight="true" outlineLevel="0" collapsed="false">
      <c r="A81" s="9" t="s">
        <v>456</v>
      </c>
      <c r="B81" s="9" t="s">
        <v>433</v>
      </c>
      <c r="C81" s="9" t="s">
        <v>434</v>
      </c>
      <c r="D81" s="9" t="s">
        <v>457</v>
      </c>
      <c r="E81" s="5" t="s">
        <v>458</v>
      </c>
      <c r="F81" s="5" t="s">
        <v>437</v>
      </c>
      <c r="G81" s="9" t="s">
        <v>386</v>
      </c>
      <c r="H81" s="9" t="str">
        <f aca="false">City</f>
        <v>Lahore</v>
      </c>
      <c r="I81" s="9" t="s">
        <v>110</v>
      </c>
      <c r="J81" s="13" t="n">
        <f aca="false">'04 DETAILED RATE ANALYSIS'!J1768</f>
        <v>2680.98918699187</v>
      </c>
      <c r="K81" s="13" t="n">
        <f aca="false">'04 DETAILED RATE ANALYSIS'!J1771</f>
        <v>206.9</v>
      </c>
      <c r="L81" s="13" t="n">
        <f aca="false">'04 DETAILED RATE ANALYSIS'!J1772</f>
        <v>0</v>
      </c>
      <c r="M81" s="13" t="n">
        <f aca="false">'04 DETAILED RATE ANALYSIS'!J1773</f>
        <v>0</v>
      </c>
      <c r="N81" s="13" t="n">
        <f aca="false">'04 DETAILED RATE ANALYSIS'!J1769</f>
        <v>99.3599999999997</v>
      </c>
      <c r="O81" s="13" t="n">
        <f aca="false">'04 DETAILED RATE ANALYSIS'!J1774</f>
        <v>2987.24918699187</v>
      </c>
      <c r="P81" s="13" t="n">
        <f aca="false">'04 DETAILED RATE ANALYSIS'!J1775+'04 DETAILED RATE ANALYSIS'!J1776</f>
        <v>238.97993495935</v>
      </c>
      <c r="Q81" s="13" t="n">
        <f aca="false">'04 DETAILED RATE ANALYSIS'!J1777</f>
        <v>298.724918699187</v>
      </c>
      <c r="R81" s="13" t="n">
        <f aca="false">'04 DETAILED RATE ANALYSIS'!J1779</f>
        <v>0</v>
      </c>
      <c r="S81" s="14" t="n">
        <f aca="false">'04 DETAILED RATE ANALYSIS'!J1780</f>
        <v>3525</v>
      </c>
      <c r="T81" s="13" t="n">
        <f aca="false">S81*100</f>
        <v>352500</v>
      </c>
      <c r="U81" s="15" t="str">
        <f aca="false">IF(W81&gt;0,"INCOMPLETE – "&amp;W81&amp;" blank/old input(s)","Market-derived + assumptions")</f>
        <v>INCOMPLETE – 1 blank/old input(s)</v>
      </c>
      <c r="V81" s="9" t="s">
        <v>111</v>
      </c>
      <c r="W81" s="13" t="n">
        <f aca="false">'04 DETAILED RATE ANALYSIS'!J1781</f>
        <v>1</v>
      </c>
      <c r="X81" s="9" t="s">
        <v>112</v>
      </c>
      <c r="Y81" s="9" t="s">
        <v>113</v>
      </c>
      <c r="Z81" s="9" t="s">
        <v>114</v>
      </c>
      <c r="AA81" s="5"/>
      <c r="AB81" s="15" t="str">
        <f aca="false">IF(COUNTIF($A$5:$A$999,A81)&gt;1,"DUPLICATE","")</f>
        <v/>
      </c>
    </row>
    <row r="82" customFormat="false" ht="60" hidden="false" customHeight="true" outlineLevel="0" collapsed="false">
      <c r="A82" s="9" t="s">
        <v>459</v>
      </c>
      <c r="B82" s="9" t="s">
        <v>433</v>
      </c>
      <c r="C82" s="9" t="s">
        <v>434</v>
      </c>
      <c r="D82" s="9" t="s">
        <v>460</v>
      </c>
      <c r="E82" s="5" t="s">
        <v>461</v>
      </c>
      <c r="F82" s="5" t="s">
        <v>437</v>
      </c>
      <c r="G82" s="9" t="s">
        <v>386</v>
      </c>
      <c r="H82" s="9" t="str">
        <f aca="false">City</f>
        <v>Lahore</v>
      </c>
      <c r="I82" s="9" t="s">
        <v>110</v>
      </c>
      <c r="J82" s="13" t="n">
        <f aca="false">'04 DETAILED RATE ANALYSIS'!J1792</f>
        <v>4125.80674796748</v>
      </c>
      <c r="K82" s="13" t="n">
        <f aca="false">'04 DETAILED RATE ANALYSIS'!J1795</f>
        <v>243.411764705882</v>
      </c>
      <c r="L82" s="13" t="n">
        <f aca="false">'04 DETAILED RATE ANALYSIS'!J1796</f>
        <v>0</v>
      </c>
      <c r="M82" s="13" t="n">
        <f aca="false">'04 DETAILED RATE ANALYSIS'!J1797</f>
        <v>0</v>
      </c>
      <c r="N82" s="13" t="n">
        <f aca="false">'04 DETAILED RATE ANALYSIS'!J1793</f>
        <v>141.8775</v>
      </c>
      <c r="O82" s="13" t="n">
        <f aca="false">'04 DETAILED RATE ANALYSIS'!J1798</f>
        <v>4511.09601267336</v>
      </c>
      <c r="P82" s="13" t="n">
        <f aca="false">'04 DETAILED RATE ANALYSIS'!J1799+'04 DETAILED RATE ANALYSIS'!J1800</f>
        <v>360.887681013869</v>
      </c>
      <c r="Q82" s="13" t="n">
        <f aca="false">'04 DETAILED RATE ANALYSIS'!J1801</f>
        <v>451.109601267336</v>
      </c>
      <c r="R82" s="13" t="n">
        <f aca="false">'04 DETAILED RATE ANALYSIS'!J1803</f>
        <v>0</v>
      </c>
      <c r="S82" s="14" t="n">
        <f aca="false">'04 DETAILED RATE ANALYSIS'!J1804</f>
        <v>5323</v>
      </c>
      <c r="T82" s="13" t="n">
        <f aca="false">S82*100</f>
        <v>532300</v>
      </c>
      <c r="U82" s="15" t="str">
        <f aca="false">IF(W82&gt;0,"INCOMPLETE – "&amp;W82&amp;" blank/old input(s)","Market-derived + assumptions")</f>
        <v>INCOMPLETE – 1 blank/old input(s)</v>
      </c>
      <c r="V82" s="9" t="s">
        <v>111</v>
      </c>
      <c r="W82" s="13" t="n">
        <f aca="false">'04 DETAILED RATE ANALYSIS'!J1805</f>
        <v>1</v>
      </c>
      <c r="X82" s="9" t="s">
        <v>112</v>
      </c>
      <c r="Y82" s="9" t="s">
        <v>113</v>
      </c>
      <c r="Z82" s="9" t="s">
        <v>114</v>
      </c>
      <c r="AA82" s="5"/>
      <c r="AB82" s="15" t="str">
        <f aca="false">IF(COUNTIF($A$5:$A$999,A82)&gt;1,"DUPLICATE","")</f>
        <v/>
      </c>
    </row>
    <row r="83" customFormat="false" ht="60" hidden="false" customHeight="true" outlineLevel="0" collapsed="false">
      <c r="A83" s="9" t="s">
        <v>462</v>
      </c>
      <c r="B83" s="9" t="s">
        <v>433</v>
      </c>
      <c r="C83" s="9" t="s">
        <v>423</v>
      </c>
      <c r="D83" s="9" t="s">
        <v>463</v>
      </c>
      <c r="E83" s="5" t="s">
        <v>464</v>
      </c>
      <c r="F83" s="5" t="s">
        <v>465</v>
      </c>
      <c r="G83" s="9" t="s">
        <v>386</v>
      </c>
      <c r="H83" s="9" t="str">
        <f aca="false">City</f>
        <v>Lahore</v>
      </c>
      <c r="I83" s="9" t="s">
        <v>110</v>
      </c>
      <c r="J83" s="13" t="n">
        <f aca="false">'04 DETAILED RATE ANALYSIS'!J1816</f>
        <v>219.5556</v>
      </c>
      <c r="K83" s="13" t="n">
        <f aca="false">'04 DETAILED RATE ANALYSIS'!J1819</f>
        <v>118.228571428571</v>
      </c>
      <c r="L83" s="13" t="n">
        <f aca="false">'04 DETAILED RATE ANALYSIS'!J1820</f>
        <v>0</v>
      </c>
      <c r="M83" s="13" t="n">
        <f aca="false">'04 DETAILED RATE ANALYSIS'!J1821</f>
        <v>0</v>
      </c>
      <c r="N83" s="13" t="n">
        <f aca="false">'04 DETAILED RATE ANALYSIS'!J1817</f>
        <v>8</v>
      </c>
      <c r="O83" s="13" t="n">
        <f aca="false">'04 DETAILED RATE ANALYSIS'!J1822</f>
        <v>345.784171428571</v>
      </c>
      <c r="P83" s="13" t="n">
        <f aca="false">'04 DETAILED RATE ANALYSIS'!J1823+'04 DETAILED RATE ANALYSIS'!J1824</f>
        <v>27.6627337142857</v>
      </c>
      <c r="Q83" s="13" t="n">
        <f aca="false">'04 DETAILED RATE ANALYSIS'!J1825</f>
        <v>34.5784171428571</v>
      </c>
      <c r="R83" s="13" t="n">
        <f aca="false">'04 DETAILED RATE ANALYSIS'!J1827</f>
        <v>0</v>
      </c>
      <c r="S83" s="14" t="n">
        <f aca="false">'04 DETAILED RATE ANALYSIS'!J1828</f>
        <v>408</v>
      </c>
      <c r="T83" s="13" t="n">
        <f aca="false">S83*100</f>
        <v>40800</v>
      </c>
      <c r="U83" s="15" t="str">
        <f aca="false">IF(W83&gt;0,"INCOMPLETE – "&amp;W83&amp;" blank/old input(s)","Market-derived + assumptions")</f>
        <v>INCOMPLETE – 1 blank/old input(s)</v>
      </c>
      <c r="V83" s="9" t="s">
        <v>111</v>
      </c>
      <c r="W83" s="13" t="n">
        <f aca="false">'04 DETAILED RATE ANALYSIS'!J1829</f>
        <v>1</v>
      </c>
      <c r="X83" s="9" t="s">
        <v>112</v>
      </c>
      <c r="Y83" s="9" t="s">
        <v>113</v>
      </c>
      <c r="Z83" s="9" t="s">
        <v>114</v>
      </c>
      <c r="AA83" s="5"/>
      <c r="AB83" s="15" t="str">
        <f aca="false">IF(COUNTIF($A$5:$A$999,A83)&gt;1,"DUPLICATE","")</f>
        <v/>
      </c>
    </row>
    <row r="84" customFormat="false" ht="60" hidden="false" customHeight="true" outlineLevel="0" collapsed="false">
      <c r="A84" s="9" t="s">
        <v>466</v>
      </c>
      <c r="B84" s="9" t="s">
        <v>433</v>
      </c>
      <c r="C84" s="9" t="s">
        <v>423</v>
      </c>
      <c r="D84" s="9" t="s">
        <v>467</v>
      </c>
      <c r="E84" s="5" t="s">
        <v>468</v>
      </c>
      <c r="F84" s="5" t="s">
        <v>465</v>
      </c>
      <c r="G84" s="9" t="s">
        <v>386</v>
      </c>
      <c r="H84" s="9" t="str">
        <f aca="false">City</f>
        <v>Lahore</v>
      </c>
      <c r="I84" s="9" t="s">
        <v>110</v>
      </c>
      <c r="J84" s="13" t="n">
        <f aca="false">'04 DETAILED RATE ANALYSIS'!J1840</f>
        <v>363.5556</v>
      </c>
      <c r="K84" s="13" t="n">
        <f aca="false">'04 DETAILED RATE ANALYSIS'!J1843</f>
        <v>258.625</v>
      </c>
      <c r="L84" s="13" t="n">
        <f aca="false">'04 DETAILED RATE ANALYSIS'!J1844</f>
        <v>0</v>
      </c>
      <c r="M84" s="13" t="n">
        <f aca="false">'04 DETAILED RATE ANALYSIS'!J1845</f>
        <v>0</v>
      </c>
      <c r="N84" s="13" t="n">
        <f aca="false">'04 DETAILED RATE ANALYSIS'!J1841</f>
        <v>15.2</v>
      </c>
      <c r="O84" s="13" t="n">
        <f aca="false">'04 DETAILED RATE ANALYSIS'!J1846</f>
        <v>637.3806</v>
      </c>
      <c r="P84" s="13" t="n">
        <f aca="false">'04 DETAILED RATE ANALYSIS'!J1847+'04 DETAILED RATE ANALYSIS'!J1848</f>
        <v>50.990448</v>
      </c>
      <c r="Q84" s="13" t="n">
        <f aca="false">'04 DETAILED RATE ANALYSIS'!J1849</f>
        <v>63.73806</v>
      </c>
      <c r="R84" s="13" t="n">
        <f aca="false">'04 DETAILED RATE ANALYSIS'!J1851</f>
        <v>0</v>
      </c>
      <c r="S84" s="14" t="n">
        <f aca="false">'04 DETAILED RATE ANALYSIS'!J1852</f>
        <v>752</v>
      </c>
      <c r="T84" s="13" t="n">
        <f aca="false">S84*100</f>
        <v>75200</v>
      </c>
      <c r="U84" s="15" t="str">
        <f aca="false">IF(W84&gt;0,"INCOMPLETE – "&amp;W84&amp;" blank/old input(s)","Market-derived + assumptions")</f>
        <v>INCOMPLETE – 1 blank/old input(s)</v>
      </c>
      <c r="V84" s="9" t="s">
        <v>111</v>
      </c>
      <c r="W84" s="13" t="n">
        <f aca="false">'04 DETAILED RATE ANALYSIS'!J1853</f>
        <v>1</v>
      </c>
      <c r="X84" s="9" t="s">
        <v>112</v>
      </c>
      <c r="Y84" s="9" t="s">
        <v>113</v>
      </c>
      <c r="Z84" s="9" t="s">
        <v>114</v>
      </c>
      <c r="AA84" s="5"/>
      <c r="AB84" s="15" t="str">
        <f aca="false">IF(COUNTIF($A$5:$A$999,A84)&gt;1,"DUPLICATE","")</f>
        <v/>
      </c>
    </row>
    <row r="85" customFormat="false" ht="60" hidden="false" customHeight="true" outlineLevel="0" collapsed="false">
      <c r="A85" s="9" t="s">
        <v>469</v>
      </c>
      <c r="B85" s="9" t="s">
        <v>433</v>
      </c>
      <c r="C85" s="9" t="s">
        <v>423</v>
      </c>
      <c r="D85" s="9" t="s">
        <v>470</v>
      </c>
      <c r="E85" s="5" t="s">
        <v>471</v>
      </c>
      <c r="F85" s="5" t="s">
        <v>465</v>
      </c>
      <c r="G85" s="9" t="s">
        <v>386</v>
      </c>
      <c r="H85" s="9" t="str">
        <f aca="false">City</f>
        <v>Lahore</v>
      </c>
      <c r="I85" s="9" t="s">
        <v>110</v>
      </c>
      <c r="J85" s="13" t="n">
        <f aca="false">'04 DETAILED RATE ANALYSIS'!J1864</f>
        <v>674.575</v>
      </c>
      <c r="K85" s="13" t="n">
        <f aca="false">'04 DETAILED RATE ANALYSIS'!J1867</f>
        <v>275.866666666667</v>
      </c>
      <c r="L85" s="13" t="n">
        <f aca="false">'04 DETAILED RATE ANALYSIS'!J1868</f>
        <v>0</v>
      </c>
      <c r="M85" s="13" t="n">
        <f aca="false">'04 DETAILED RATE ANALYSIS'!J1869</f>
        <v>0</v>
      </c>
      <c r="N85" s="13" t="n">
        <f aca="false">'04 DETAILED RATE ANALYSIS'!J1865</f>
        <v>24.85</v>
      </c>
      <c r="O85" s="13" t="n">
        <f aca="false">'04 DETAILED RATE ANALYSIS'!J1870</f>
        <v>975.291666666667</v>
      </c>
      <c r="P85" s="13" t="n">
        <f aca="false">'04 DETAILED RATE ANALYSIS'!J1871+'04 DETAILED RATE ANALYSIS'!J1872</f>
        <v>78.0233333333333</v>
      </c>
      <c r="Q85" s="13" t="n">
        <f aca="false">'04 DETAILED RATE ANALYSIS'!J1873</f>
        <v>97.5291666666667</v>
      </c>
      <c r="R85" s="13" t="n">
        <f aca="false">'04 DETAILED RATE ANALYSIS'!J1875</f>
        <v>0</v>
      </c>
      <c r="S85" s="14" t="n">
        <f aca="false">'04 DETAILED RATE ANALYSIS'!J1876</f>
        <v>1151</v>
      </c>
      <c r="T85" s="13" t="n">
        <f aca="false">S85*100</f>
        <v>115100</v>
      </c>
      <c r="U85" s="15" t="str">
        <f aca="false">IF(W85&gt;0,"INCOMPLETE – "&amp;W85&amp;" blank/old input(s)","Market-derived + assumptions")</f>
        <v>INCOMPLETE – 1 blank/old input(s)</v>
      </c>
      <c r="V85" s="9" t="s">
        <v>111</v>
      </c>
      <c r="W85" s="13" t="n">
        <f aca="false">'04 DETAILED RATE ANALYSIS'!J1877</f>
        <v>1</v>
      </c>
      <c r="X85" s="9" t="s">
        <v>112</v>
      </c>
      <c r="Y85" s="9" t="s">
        <v>113</v>
      </c>
      <c r="Z85" s="9" t="s">
        <v>114</v>
      </c>
      <c r="AA85" s="5"/>
      <c r="AB85" s="15" t="str">
        <f aca="false">IF(COUNTIF($A$5:$A$999,A85)&gt;1,"DUPLICATE","")</f>
        <v/>
      </c>
    </row>
    <row r="86" customFormat="false" ht="60" hidden="false" customHeight="true" outlineLevel="0" collapsed="false">
      <c r="A86" s="9" t="s">
        <v>472</v>
      </c>
      <c r="B86" s="9" t="s">
        <v>433</v>
      </c>
      <c r="C86" s="9" t="s">
        <v>473</v>
      </c>
      <c r="D86" s="9" t="s">
        <v>474</v>
      </c>
      <c r="E86" s="5" t="s">
        <v>475</v>
      </c>
      <c r="F86" s="5" t="s">
        <v>476</v>
      </c>
      <c r="G86" s="9" t="s">
        <v>368</v>
      </c>
      <c r="H86" s="9" t="str">
        <f aca="false">City</f>
        <v>Lahore</v>
      </c>
      <c r="I86" s="9" t="s">
        <v>110</v>
      </c>
      <c r="J86" s="13" t="n">
        <f aca="false">'04 DETAILED RATE ANALYSIS'!J1885</f>
        <v>31896</v>
      </c>
      <c r="K86" s="13" t="n">
        <f aca="false">'04 DETAILED RATE ANALYSIS'!J1888</f>
        <v>4985.5421686747</v>
      </c>
      <c r="L86" s="13" t="n">
        <f aca="false">'04 DETAILED RATE ANALYSIS'!J1889</f>
        <v>0</v>
      </c>
      <c r="M86" s="13" t="n">
        <f aca="false">'04 DETAILED RATE ANALYSIS'!J1890</f>
        <v>0</v>
      </c>
      <c r="N86" s="13" t="n">
        <f aca="false">'04 DETAILED RATE ANALYSIS'!J1886</f>
        <v>0</v>
      </c>
      <c r="O86" s="13" t="n">
        <f aca="false">'04 DETAILED RATE ANALYSIS'!J1891</f>
        <v>36881.5421686747</v>
      </c>
      <c r="P86" s="13" t="n">
        <f aca="false">'04 DETAILED RATE ANALYSIS'!J1892+'04 DETAILED RATE ANALYSIS'!J1893</f>
        <v>2950.52337349398</v>
      </c>
      <c r="Q86" s="13" t="n">
        <f aca="false">'04 DETAILED RATE ANALYSIS'!J1894</f>
        <v>3688.15421686747</v>
      </c>
      <c r="R86" s="13" t="n">
        <f aca="false">'04 DETAILED RATE ANALYSIS'!J1896</f>
        <v>0</v>
      </c>
      <c r="S86" s="14" t="n">
        <f aca="false">'04 DETAILED RATE ANALYSIS'!J1897</f>
        <v>43520</v>
      </c>
      <c r="T86" s="13" t="n">
        <f aca="false">S86*100</f>
        <v>4352000</v>
      </c>
      <c r="U86" s="15" t="str">
        <f aca="false">IF(W86&gt;0,"INCOMPLETE – "&amp;W86&amp;" blank/old input(s)","Market-derived + assumptions")</f>
        <v>Market-derived + assumptions</v>
      </c>
      <c r="V86" s="9" t="s">
        <v>111</v>
      </c>
      <c r="W86" s="13" t="n">
        <f aca="false">'04 DETAILED RATE ANALYSIS'!J1898</f>
        <v>0</v>
      </c>
      <c r="X86" s="9" t="s">
        <v>112</v>
      </c>
      <c r="Y86" s="9" t="s">
        <v>113</v>
      </c>
      <c r="Z86" s="9" t="s">
        <v>114</v>
      </c>
      <c r="AA86" s="5"/>
      <c r="AB86" s="15" t="str">
        <f aca="false">IF(COUNTIF($A$5:$A$999,A86)&gt;1,"DUPLICATE","")</f>
        <v/>
      </c>
    </row>
    <row r="87" customFormat="false" ht="60" hidden="false" customHeight="true" outlineLevel="0" collapsed="false">
      <c r="A87" s="9" t="s">
        <v>477</v>
      </c>
      <c r="B87" s="9" t="s">
        <v>433</v>
      </c>
      <c r="C87" s="9" t="s">
        <v>473</v>
      </c>
      <c r="D87" s="9" t="s">
        <v>478</v>
      </c>
      <c r="E87" s="5" t="s">
        <v>479</v>
      </c>
      <c r="F87" s="5" t="s">
        <v>476</v>
      </c>
      <c r="G87" s="9" t="s">
        <v>368</v>
      </c>
      <c r="H87" s="9" t="str">
        <f aca="false">City</f>
        <v>Lahore</v>
      </c>
      <c r="I87" s="9" t="s">
        <v>110</v>
      </c>
      <c r="J87" s="13" t="n">
        <f aca="false">'04 DETAILED RATE ANALYSIS'!J1906</f>
        <v>16364</v>
      </c>
      <c r="K87" s="13" t="n">
        <f aca="false">'04 DETAILED RATE ANALYSIS'!J1909</f>
        <v>4597.77777777778</v>
      </c>
      <c r="L87" s="13" t="n">
        <f aca="false">'04 DETAILED RATE ANALYSIS'!J1910</f>
        <v>0</v>
      </c>
      <c r="M87" s="13" t="n">
        <f aca="false">'04 DETAILED RATE ANALYSIS'!J1911</f>
        <v>0</v>
      </c>
      <c r="N87" s="13" t="n">
        <f aca="false">'04 DETAILED RATE ANALYSIS'!J1907</f>
        <v>0</v>
      </c>
      <c r="O87" s="13" t="n">
        <f aca="false">'04 DETAILED RATE ANALYSIS'!J1912</f>
        <v>20961.7777777778</v>
      </c>
      <c r="P87" s="13" t="n">
        <f aca="false">'04 DETAILED RATE ANALYSIS'!J1913+'04 DETAILED RATE ANALYSIS'!J1914</f>
        <v>1676.94222222222</v>
      </c>
      <c r="Q87" s="13" t="n">
        <f aca="false">'04 DETAILED RATE ANALYSIS'!J1915</f>
        <v>2096.17777777778</v>
      </c>
      <c r="R87" s="13" t="n">
        <f aca="false">'04 DETAILED RATE ANALYSIS'!J1917</f>
        <v>0</v>
      </c>
      <c r="S87" s="14" t="n">
        <f aca="false">'04 DETAILED RATE ANALYSIS'!J1918</f>
        <v>24735</v>
      </c>
      <c r="T87" s="13" t="n">
        <f aca="false">S87*100</f>
        <v>2473500</v>
      </c>
      <c r="U87" s="15" t="str">
        <f aca="false">IF(W87&gt;0,"INCOMPLETE – "&amp;W87&amp;" blank/old input(s)","Market-derived + assumptions")</f>
        <v>Market-derived + assumptions</v>
      </c>
      <c r="V87" s="9" t="s">
        <v>111</v>
      </c>
      <c r="W87" s="13" t="n">
        <f aca="false">'04 DETAILED RATE ANALYSIS'!J1919</f>
        <v>0</v>
      </c>
      <c r="X87" s="9" t="s">
        <v>112</v>
      </c>
      <c r="Y87" s="9" t="s">
        <v>113</v>
      </c>
      <c r="Z87" s="9" t="s">
        <v>114</v>
      </c>
      <c r="AA87" s="5"/>
      <c r="AB87" s="15" t="str">
        <f aca="false">IF(COUNTIF($A$5:$A$999,A87)&gt;1,"DUPLICATE","")</f>
        <v/>
      </c>
    </row>
    <row r="88" customFormat="false" ht="60" hidden="false" customHeight="true" outlineLevel="0" collapsed="false">
      <c r="A88" s="9" t="s">
        <v>480</v>
      </c>
      <c r="B88" s="9" t="s">
        <v>481</v>
      </c>
      <c r="C88" s="9" t="s">
        <v>482</v>
      </c>
      <c r="D88" s="9" t="s">
        <v>483</v>
      </c>
      <c r="E88" s="5" t="s">
        <v>484</v>
      </c>
      <c r="F88" s="5" t="s">
        <v>485</v>
      </c>
      <c r="G88" s="9" t="s">
        <v>386</v>
      </c>
      <c r="H88" s="9" t="str">
        <f aca="false">City</f>
        <v>Lahore</v>
      </c>
      <c r="I88" s="9" t="s">
        <v>110</v>
      </c>
      <c r="J88" s="13" t="n">
        <f aca="false">'04 DETAILED RATE ANALYSIS'!J1929</f>
        <v>489.0975</v>
      </c>
      <c r="K88" s="13" t="n">
        <f aca="false">'04 DETAILED RATE ANALYSIS'!J1932</f>
        <v>179.913043478261</v>
      </c>
      <c r="L88" s="13" t="n">
        <f aca="false">'04 DETAILED RATE ANALYSIS'!J1933</f>
        <v>0</v>
      </c>
      <c r="M88" s="13" t="n">
        <f aca="false">'04 DETAILED RATE ANALYSIS'!J1934</f>
        <v>0</v>
      </c>
      <c r="N88" s="13" t="n">
        <f aca="false">'04 DETAILED RATE ANALYSIS'!J1930</f>
        <v>15.48</v>
      </c>
      <c r="O88" s="13" t="n">
        <f aca="false">'04 DETAILED RATE ANALYSIS'!J1935</f>
        <v>684.490543478261</v>
      </c>
      <c r="P88" s="13" t="n">
        <f aca="false">'04 DETAILED RATE ANALYSIS'!J1936+'04 DETAILED RATE ANALYSIS'!J1937</f>
        <v>54.7592434782609</v>
      </c>
      <c r="Q88" s="13" t="n">
        <f aca="false">'04 DETAILED RATE ANALYSIS'!J1938</f>
        <v>68.4490543478261</v>
      </c>
      <c r="R88" s="13" t="n">
        <f aca="false">'04 DETAILED RATE ANALYSIS'!J1940</f>
        <v>0</v>
      </c>
      <c r="S88" s="14" t="n">
        <f aca="false">'04 DETAILED RATE ANALYSIS'!J1941</f>
        <v>808</v>
      </c>
      <c r="T88" s="13" t="n">
        <f aca="false">S88*100</f>
        <v>80800</v>
      </c>
      <c r="U88" s="15" t="str">
        <f aca="false">IF(W88&gt;0,"INCOMPLETE – "&amp;W88&amp;" blank/old input(s)","Market-derived + assumptions")</f>
        <v>INCOMPLETE – 2 blank/old input(s)</v>
      </c>
      <c r="V88" s="9" t="s">
        <v>111</v>
      </c>
      <c r="W88" s="13" t="n">
        <f aca="false">'04 DETAILED RATE ANALYSIS'!J1942</f>
        <v>2</v>
      </c>
      <c r="X88" s="9" t="s">
        <v>112</v>
      </c>
      <c r="Y88" s="9" t="s">
        <v>113</v>
      </c>
      <c r="Z88" s="9" t="s">
        <v>114</v>
      </c>
      <c r="AA88" s="5"/>
      <c r="AB88" s="15" t="str">
        <f aca="false">IF(COUNTIF($A$5:$A$999,A88)&gt;1,"DUPLICATE","")</f>
        <v/>
      </c>
    </row>
    <row r="89" customFormat="false" ht="60" hidden="false" customHeight="true" outlineLevel="0" collapsed="false">
      <c r="A89" s="9" t="s">
        <v>486</v>
      </c>
      <c r="B89" s="9" t="s">
        <v>481</v>
      </c>
      <c r="C89" s="9" t="s">
        <v>482</v>
      </c>
      <c r="D89" s="9" t="s">
        <v>487</v>
      </c>
      <c r="E89" s="5" t="s">
        <v>488</v>
      </c>
      <c r="F89" s="5" t="s">
        <v>485</v>
      </c>
      <c r="G89" s="9" t="s">
        <v>386</v>
      </c>
      <c r="H89" s="9" t="str">
        <f aca="false">City</f>
        <v>Lahore</v>
      </c>
      <c r="I89" s="9" t="s">
        <v>110</v>
      </c>
      <c r="J89" s="13" t="n">
        <f aca="false">'04 DETAILED RATE ANALYSIS'!J1952</f>
        <v>996.7575</v>
      </c>
      <c r="K89" s="13" t="n">
        <f aca="false">'04 DETAILED RATE ANALYSIS'!J1955</f>
        <v>295.571428571429</v>
      </c>
      <c r="L89" s="13" t="n">
        <f aca="false">'04 DETAILED RATE ANALYSIS'!J1956</f>
        <v>0</v>
      </c>
      <c r="M89" s="13" t="n">
        <f aca="false">'04 DETAILED RATE ANALYSIS'!J1957</f>
        <v>0</v>
      </c>
      <c r="N89" s="13" t="n">
        <f aca="false">'04 DETAILED RATE ANALYSIS'!J1953</f>
        <v>32.596</v>
      </c>
      <c r="O89" s="13" t="n">
        <f aca="false">'04 DETAILED RATE ANALYSIS'!J1958</f>
        <v>1324.92492857143</v>
      </c>
      <c r="P89" s="13" t="n">
        <f aca="false">'04 DETAILED RATE ANALYSIS'!J1959+'04 DETAILED RATE ANALYSIS'!J1960</f>
        <v>105.993994285714</v>
      </c>
      <c r="Q89" s="13" t="n">
        <f aca="false">'04 DETAILED RATE ANALYSIS'!J1961</f>
        <v>132.492492857143</v>
      </c>
      <c r="R89" s="13" t="n">
        <f aca="false">'04 DETAILED RATE ANALYSIS'!J1963</f>
        <v>0</v>
      </c>
      <c r="S89" s="14" t="n">
        <f aca="false">'04 DETAILED RATE ANALYSIS'!J1964</f>
        <v>1563</v>
      </c>
      <c r="T89" s="13" t="n">
        <f aca="false">S89*100</f>
        <v>156300</v>
      </c>
      <c r="U89" s="15" t="str">
        <f aca="false">IF(W89&gt;0,"INCOMPLETE – "&amp;W89&amp;" blank/old input(s)","Market-derived + assumptions")</f>
        <v>INCOMPLETE – 2 blank/old input(s)</v>
      </c>
      <c r="V89" s="9" t="s">
        <v>111</v>
      </c>
      <c r="W89" s="13" t="n">
        <f aca="false">'04 DETAILED RATE ANALYSIS'!J1965</f>
        <v>2</v>
      </c>
      <c r="X89" s="9" t="s">
        <v>112</v>
      </c>
      <c r="Y89" s="9" t="s">
        <v>113</v>
      </c>
      <c r="Z89" s="9" t="s">
        <v>114</v>
      </c>
      <c r="AA89" s="5"/>
      <c r="AB89" s="15" t="str">
        <f aca="false">IF(COUNTIF($A$5:$A$999,A89)&gt;1,"DUPLICATE","")</f>
        <v/>
      </c>
    </row>
    <row r="90" customFormat="false" ht="60" hidden="false" customHeight="true" outlineLevel="0" collapsed="false">
      <c r="A90" s="9" t="s">
        <v>489</v>
      </c>
      <c r="B90" s="9" t="s">
        <v>481</v>
      </c>
      <c r="C90" s="9" t="s">
        <v>482</v>
      </c>
      <c r="D90" s="9" t="s">
        <v>490</v>
      </c>
      <c r="E90" s="5" t="s">
        <v>491</v>
      </c>
      <c r="F90" s="5" t="s">
        <v>485</v>
      </c>
      <c r="G90" s="9" t="s">
        <v>386</v>
      </c>
      <c r="H90" s="9" t="str">
        <f aca="false">City</f>
        <v>Lahore</v>
      </c>
      <c r="I90" s="9" t="s">
        <v>110</v>
      </c>
      <c r="J90" s="13" t="n">
        <f aca="false">'04 DETAILED RATE ANALYSIS'!J1975</f>
        <v>2816.0075</v>
      </c>
      <c r="K90" s="13" t="n">
        <f aca="false">'04 DETAILED RATE ANALYSIS'!J1978</f>
        <v>551.733333333333</v>
      </c>
      <c r="L90" s="13" t="n">
        <f aca="false">'04 DETAILED RATE ANALYSIS'!J1979</f>
        <v>0</v>
      </c>
      <c r="M90" s="13" t="n">
        <f aca="false">'04 DETAILED RATE ANALYSIS'!J1980</f>
        <v>0</v>
      </c>
      <c r="N90" s="13" t="n">
        <f aca="false">'04 DETAILED RATE ANALYSIS'!J1976</f>
        <v>93.933</v>
      </c>
      <c r="O90" s="13" t="n">
        <f aca="false">'04 DETAILED RATE ANALYSIS'!J1981</f>
        <v>3461.67383333333</v>
      </c>
      <c r="P90" s="13" t="n">
        <f aca="false">'04 DETAILED RATE ANALYSIS'!J1982+'04 DETAILED RATE ANALYSIS'!J1983</f>
        <v>276.933906666667</v>
      </c>
      <c r="Q90" s="13" t="n">
        <f aca="false">'04 DETAILED RATE ANALYSIS'!J1984</f>
        <v>346.167383333333</v>
      </c>
      <c r="R90" s="13" t="n">
        <f aca="false">'04 DETAILED RATE ANALYSIS'!J1986</f>
        <v>0</v>
      </c>
      <c r="S90" s="14" t="n">
        <f aca="false">'04 DETAILED RATE ANALYSIS'!J1987</f>
        <v>4085</v>
      </c>
      <c r="T90" s="13" t="n">
        <f aca="false">S90*100</f>
        <v>408500</v>
      </c>
      <c r="U90" s="15" t="str">
        <f aca="false">IF(W90&gt;0,"INCOMPLETE – "&amp;W90&amp;" blank/old input(s)","Market-derived + assumptions")</f>
        <v>INCOMPLETE – 2 blank/old input(s)</v>
      </c>
      <c r="V90" s="9" t="s">
        <v>111</v>
      </c>
      <c r="W90" s="13" t="n">
        <f aca="false">'04 DETAILED RATE ANALYSIS'!J1988</f>
        <v>2</v>
      </c>
      <c r="X90" s="9" t="s">
        <v>112</v>
      </c>
      <c r="Y90" s="9" t="s">
        <v>113</v>
      </c>
      <c r="Z90" s="9" t="s">
        <v>114</v>
      </c>
      <c r="AA90" s="5"/>
      <c r="AB90" s="15" t="str">
        <f aca="false">IF(COUNTIF($A$5:$A$999,A90)&gt;1,"DUPLICATE","")</f>
        <v/>
      </c>
    </row>
    <row r="91" customFormat="false" ht="60" hidden="false" customHeight="true" outlineLevel="0" collapsed="false">
      <c r="A91" s="9" t="s">
        <v>492</v>
      </c>
      <c r="B91" s="9" t="s">
        <v>481</v>
      </c>
      <c r="C91" s="9" t="s">
        <v>493</v>
      </c>
      <c r="D91" s="9" t="s">
        <v>494</v>
      </c>
      <c r="E91" s="5" t="s">
        <v>495</v>
      </c>
      <c r="F91" s="5" t="s">
        <v>496</v>
      </c>
      <c r="G91" s="9" t="s">
        <v>368</v>
      </c>
      <c r="H91" s="9" t="str">
        <f aca="false">City</f>
        <v>Lahore</v>
      </c>
      <c r="I91" s="9" t="s">
        <v>110</v>
      </c>
      <c r="J91" s="13" t="n">
        <f aca="false">'04 DETAILED RATE ANALYSIS'!J1996</f>
        <v>2863.8</v>
      </c>
      <c r="K91" s="13" t="n">
        <f aca="false">'04 DETAILED RATE ANALYSIS'!J1999</f>
        <v>713.448275862069</v>
      </c>
      <c r="L91" s="13" t="n">
        <f aca="false">'04 DETAILED RATE ANALYSIS'!J2000</f>
        <v>0</v>
      </c>
      <c r="M91" s="13" t="n">
        <f aca="false">'04 DETAILED RATE ANALYSIS'!J2001</f>
        <v>0</v>
      </c>
      <c r="N91" s="13" t="n">
        <f aca="false">'04 DETAILED RATE ANALYSIS'!J1997</f>
        <v>0</v>
      </c>
      <c r="O91" s="13" t="n">
        <f aca="false">'04 DETAILED RATE ANALYSIS'!J2002</f>
        <v>3577.24827586207</v>
      </c>
      <c r="P91" s="13" t="n">
        <f aca="false">'04 DETAILED RATE ANALYSIS'!J2003+'04 DETAILED RATE ANALYSIS'!J2004</f>
        <v>286.179862068966</v>
      </c>
      <c r="Q91" s="13" t="n">
        <f aca="false">'04 DETAILED RATE ANALYSIS'!J2005</f>
        <v>357.724827586207</v>
      </c>
      <c r="R91" s="13" t="n">
        <f aca="false">'04 DETAILED RATE ANALYSIS'!J2007</f>
        <v>0</v>
      </c>
      <c r="S91" s="14" t="n">
        <f aca="false">'04 DETAILED RATE ANALYSIS'!J2008</f>
        <v>4221</v>
      </c>
      <c r="T91" s="13" t="n">
        <f aca="false">S91*100</f>
        <v>422100</v>
      </c>
      <c r="U91" s="15" t="str">
        <f aca="false">IF(W91&gt;0,"INCOMPLETE – "&amp;W91&amp;" blank/old input(s)","Market-derived + assumptions")</f>
        <v>INCOMPLETE – 1 blank/old input(s)</v>
      </c>
      <c r="V91" s="9" t="s">
        <v>111</v>
      </c>
      <c r="W91" s="13" t="n">
        <f aca="false">'04 DETAILED RATE ANALYSIS'!J2009</f>
        <v>1</v>
      </c>
      <c r="X91" s="9" t="s">
        <v>112</v>
      </c>
      <c r="Y91" s="9" t="s">
        <v>113</v>
      </c>
      <c r="Z91" s="9" t="s">
        <v>114</v>
      </c>
      <c r="AA91" s="5"/>
      <c r="AB91" s="15" t="str">
        <f aca="false">IF(COUNTIF($A$5:$A$999,A91)&gt;1,"DUPLICATE","")</f>
        <v/>
      </c>
    </row>
    <row r="92" customFormat="false" ht="60" hidden="false" customHeight="true" outlineLevel="0" collapsed="false">
      <c r="A92" s="9" t="s">
        <v>497</v>
      </c>
      <c r="B92" s="9" t="s">
        <v>481</v>
      </c>
      <c r="C92" s="9" t="s">
        <v>498</v>
      </c>
      <c r="D92" s="9" t="s">
        <v>499</v>
      </c>
      <c r="E92" s="5" t="s">
        <v>500</v>
      </c>
      <c r="F92" s="5" t="s">
        <v>501</v>
      </c>
      <c r="G92" s="9" t="s">
        <v>368</v>
      </c>
      <c r="H92" s="9" t="str">
        <f aca="false">City</f>
        <v>Lahore</v>
      </c>
      <c r="I92" s="9" t="s">
        <v>110</v>
      </c>
      <c r="J92" s="13" t="n">
        <f aca="false">'04 DETAILED RATE ANALYSIS'!J2016</f>
        <v>103085</v>
      </c>
      <c r="K92" s="13" t="n">
        <f aca="false">'04 DETAILED RATE ANALYSIS'!J2019</f>
        <v>2069</v>
      </c>
      <c r="L92" s="13" t="n">
        <f aca="false">'04 DETAILED RATE ANALYSIS'!J2020</f>
        <v>0</v>
      </c>
      <c r="M92" s="13" t="n">
        <f aca="false">'04 DETAILED RATE ANALYSIS'!J2021</f>
        <v>0</v>
      </c>
      <c r="N92" s="13" t="n">
        <f aca="false">'04 DETAILED RATE ANALYSIS'!J2017</f>
        <v>0</v>
      </c>
      <c r="O92" s="13" t="n">
        <f aca="false">'04 DETAILED RATE ANALYSIS'!J2022</f>
        <v>105154</v>
      </c>
      <c r="P92" s="13" t="n">
        <f aca="false">'04 DETAILED RATE ANALYSIS'!J2023+'04 DETAILED RATE ANALYSIS'!J2024</f>
        <v>8412.32</v>
      </c>
      <c r="Q92" s="13" t="n">
        <f aca="false">'04 DETAILED RATE ANALYSIS'!J2025</f>
        <v>10515.4</v>
      </c>
      <c r="R92" s="13" t="n">
        <f aca="false">'04 DETAILED RATE ANALYSIS'!J2027</f>
        <v>0</v>
      </c>
      <c r="S92" s="14" t="n">
        <f aca="false">'04 DETAILED RATE ANALYSIS'!J2028</f>
        <v>124082</v>
      </c>
      <c r="T92" s="13" t="n">
        <f aca="false">S92*100</f>
        <v>12408200</v>
      </c>
      <c r="U92" s="15" t="str">
        <f aca="false">IF(W92&gt;0,"INCOMPLETE – "&amp;W92&amp;" blank/old input(s)","Market-derived + assumptions")</f>
        <v>Market-derived + assumptions</v>
      </c>
      <c r="V92" s="9" t="s">
        <v>111</v>
      </c>
      <c r="W92" s="13" t="n">
        <f aca="false">'04 DETAILED RATE ANALYSIS'!J2029</f>
        <v>0</v>
      </c>
      <c r="X92" s="9" t="s">
        <v>112</v>
      </c>
      <c r="Y92" s="9" t="s">
        <v>113</v>
      </c>
      <c r="Z92" s="9" t="s">
        <v>114</v>
      </c>
      <c r="AA92" s="5"/>
      <c r="AB92" s="15" t="str">
        <f aca="false">IF(COUNTIF($A$5:$A$999,A92)&gt;1,"DUPLICATE","")</f>
        <v/>
      </c>
    </row>
    <row r="93" customFormat="false" ht="60" hidden="false" customHeight="true" outlineLevel="0" collapsed="false">
      <c r="A93" s="9" t="s">
        <v>502</v>
      </c>
      <c r="B93" s="9" t="s">
        <v>503</v>
      </c>
      <c r="C93" s="9" t="s">
        <v>504</v>
      </c>
      <c r="D93" s="9" t="s">
        <v>505</v>
      </c>
      <c r="E93" s="5" t="s">
        <v>506</v>
      </c>
      <c r="F93" s="5" t="s">
        <v>507</v>
      </c>
      <c r="G93" s="9" t="s">
        <v>386</v>
      </c>
      <c r="H93" s="9" t="str">
        <f aca="false">City</f>
        <v>Lahore</v>
      </c>
      <c r="I93" s="9" t="s">
        <v>110</v>
      </c>
      <c r="J93" s="13" t="n">
        <f aca="false">'04 DETAILED RATE ANALYSIS'!J2038</f>
        <v>48.58</v>
      </c>
      <c r="K93" s="13" t="n">
        <f aca="false">'04 DETAILED RATE ANALYSIS'!J2041</f>
        <v>43.38</v>
      </c>
      <c r="L93" s="13" t="n">
        <f aca="false">'04 DETAILED RATE ANALYSIS'!J2042</f>
        <v>0</v>
      </c>
      <c r="M93" s="13" t="n">
        <f aca="false">'04 DETAILED RATE ANALYSIS'!J2043</f>
        <v>0</v>
      </c>
      <c r="N93" s="13" t="n">
        <f aca="false">'04 DETAILED RATE ANALYSIS'!J2039</f>
        <v>2.2</v>
      </c>
      <c r="O93" s="13" t="n">
        <f aca="false">'04 DETAILED RATE ANALYSIS'!J2044</f>
        <v>94.16</v>
      </c>
      <c r="P93" s="13" t="n">
        <f aca="false">'04 DETAILED RATE ANALYSIS'!J2045+'04 DETAILED RATE ANALYSIS'!J2046</f>
        <v>7.5328</v>
      </c>
      <c r="Q93" s="13" t="n">
        <f aca="false">'04 DETAILED RATE ANALYSIS'!J2047</f>
        <v>9.416</v>
      </c>
      <c r="R93" s="13" t="n">
        <f aca="false">'04 DETAILED RATE ANALYSIS'!J2049</f>
        <v>0</v>
      </c>
      <c r="S93" s="14" t="n">
        <f aca="false">'04 DETAILED RATE ANALYSIS'!J2050</f>
        <v>111</v>
      </c>
      <c r="T93" s="13" t="n">
        <f aca="false">S93*100</f>
        <v>11100</v>
      </c>
      <c r="U93" s="15" t="str">
        <f aca="false">IF(W93&gt;0,"INCOMPLETE – "&amp;W93&amp;" blank/old input(s)","Market-derived + assumptions")</f>
        <v>Market-derived + assumptions</v>
      </c>
      <c r="V93" s="9" t="s">
        <v>111</v>
      </c>
      <c r="W93" s="13" t="n">
        <f aca="false">'04 DETAILED RATE ANALYSIS'!J2051</f>
        <v>0</v>
      </c>
      <c r="X93" s="9" t="s">
        <v>112</v>
      </c>
      <c r="Y93" s="9" t="s">
        <v>113</v>
      </c>
      <c r="Z93" s="9" t="s">
        <v>114</v>
      </c>
      <c r="AA93" s="5"/>
      <c r="AB93" s="15" t="str">
        <f aca="false">IF(COUNTIF($A$5:$A$999,A93)&gt;1,"DUPLICATE","")</f>
        <v/>
      </c>
    </row>
    <row r="94" customFormat="false" ht="60" hidden="false" customHeight="true" outlineLevel="0" collapsed="false">
      <c r="A94" s="9" t="s">
        <v>508</v>
      </c>
      <c r="B94" s="9" t="s">
        <v>503</v>
      </c>
      <c r="C94" s="9" t="s">
        <v>504</v>
      </c>
      <c r="D94" s="9" t="s">
        <v>509</v>
      </c>
      <c r="E94" s="5" t="s">
        <v>510</v>
      </c>
      <c r="F94" s="5" t="s">
        <v>507</v>
      </c>
      <c r="G94" s="9" t="s">
        <v>386</v>
      </c>
      <c r="H94" s="9" t="str">
        <f aca="false">City</f>
        <v>Lahore</v>
      </c>
      <c r="I94" s="9" t="s">
        <v>110</v>
      </c>
      <c r="J94" s="13" t="n">
        <f aca="false">'04 DETAILED RATE ANALYSIS'!J2060</f>
        <v>67.1</v>
      </c>
      <c r="K94" s="13" t="n">
        <f aca="false">'04 DETAILED RATE ANALYSIS'!J2063</f>
        <v>43.38</v>
      </c>
      <c r="L94" s="13" t="n">
        <f aca="false">'04 DETAILED RATE ANALYSIS'!J2064</f>
        <v>0</v>
      </c>
      <c r="M94" s="13" t="n">
        <f aca="false">'04 DETAILED RATE ANALYSIS'!J2065</f>
        <v>0</v>
      </c>
      <c r="N94" s="13" t="n">
        <f aca="false">'04 DETAILED RATE ANALYSIS'!J2061</f>
        <v>3.02000000000001</v>
      </c>
      <c r="O94" s="13" t="n">
        <f aca="false">'04 DETAILED RATE ANALYSIS'!J2066</f>
        <v>113.5</v>
      </c>
      <c r="P94" s="13" t="n">
        <f aca="false">'04 DETAILED RATE ANALYSIS'!J2067+'04 DETAILED RATE ANALYSIS'!J2068</f>
        <v>9.08</v>
      </c>
      <c r="Q94" s="13" t="n">
        <f aca="false">'04 DETAILED RATE ANALYSIS'!J2069</f>
        <v>11.35</v>
      </c>
      <c r="R94" s="13" t="n">
        <f aca="false">'04 DETAILED RATE ANALYSIS'!J2071</f>
        <v>0</v>
      </c>
      <c r="S94" s="14" t="n">
        <f aca="false">'04 DETAILED RATE ANALYSIS'!J2072</f>
        <v>134</v>
      </c>
      <c r="T94" s="13" t="n">
        <f aca="false">S94*100</f>
        <v>13400</v>
      </c>
      <c r="U94" s="15" t="str">
        <f aca="false">IF(W94&gt;0,"INCOMPLETE – "&amp;W94&amp;" blank/old input(s)","Market-derived + assumptions")</f>
        <v>Market-derived + assumptions</v>
      </c>
      <c r="V94" s="9" t="s">
        <v>111</v>
      </c>
      <c r="W94" s="13" t="n">
        <f aca="false">'04 DETAILED RATE ANALYSIS'!J2073</f>
        <v>0</v>
      </c>
      <c r="X94" s="9" t="s">
        <v>112</v>
      </c>
      <c r="Y94" s="9" t="s">
        <v>113</v>
      </c>
      <c r="Z94" s="9" t="s">
        <v>114</v>
      </c>
      <c r="AA94" s="5"/>
      <c r="AB94" s="15" t="str">
        <f aca="false">IF(COUNTIF($A$5:$A$999,A94)&gt;1,"DUPLICATE","")</f>
        <v/>
      </c>
    </row>
    <row r="95" customFormat="false" ht="60" hidden="false" customHeight="true" outlineLevel="0" collapsed="false">
      <c r="A95" s="9" t="s">
        <v>511</v>
      </c>
      <c r="B95" s="9" t="s">
        <v>503</v>
      </c>
      <c r="C95" s="9" t="s">
        <v>512</v>
      </c>
      <c r="D95" s="9" t="s">
        <v>513</v>
      </c>
      <c r="E95" s="5" t="s">
        <v>514</v>
      </c>
      <c r="F95" s="5" t="s">
        <v>515</v>
      </c>
      <c r="G95" s="9" t="s">
        <v>386</v>
      </c>
      <c r="H95" s="9" t="str">
        <f aca="false">City</f>
        <v>Lahore</v>
      </c>
      <c r="I95" s="9" t="s">
        <v>110</v>
      </c>
      <c r="J95" s="13" t="n">
        <f aca="false">'04 DETAILED RATE ANALYSIS'!J2080</f>
        <v>25.56</v>
      </c>
      <c r="K95" s="13" t="n">
        <f aca="false">'04 DETAILED RATE ANALYSIS'!J2083</f>
        <v>5.4225</v>
      </c>
      <c r="L95" s="13" t="n">
        <f aca="false">'04 DETAILED RATE ANALYSIS'!J2084</f>
        <v>0</v>
      </c>
      <c r="M95" s="13" t="n">
        <f aca="false">'04 DETAILED RATE ANALYSIS'!J2085</f>
        <v>0</v>
      </c>
      <c r="N95" s="13" t="n">
        <f aca="false">'04 DETAILED RATE ANALYSIS'!J2081</f>
        <v>0.7668</v>
      </c>
      <c r="O95" s="13" t="n">
        <f aca="false">'04 DETAILED RATE ANALYSIS'!J2086</f>
        <v>31.7493</v>
      </c>
      <c r="P95" s="13" t="n">
        <f aca="false">'04 DETAILED RATE ANALYSIS'!J2087+'04 DETAILED RATE ANALYSIS'!J2088</f>
        <v>2.539944</v>
      </c>
      <c r="Q95" s="13" t="n">
        <f aca="false">'04 DETAILED RATE ANALYSIS'!J2089</f>
        <v>3.17493</v>
      </c>
      <c r="R95" s="13" t="n">
        <f aca="false">'04 DETAILED RATE ANALYSIS'!J2091</f>
        <v>0</v>
      </c>
      <c r="S95" s="14" t="n">
        <f aca="false">'04 DETAILED RATE ANALYSIS'!J2092</f>
        <v>37</v>
      </c>
      <c r="T95" s="13" t="n">
        <f aca="false">S95*100</f>
        <v>3700</v>
      </c>
      <c r="U95" s="15" t="str">
        <f aca="false">IF(W95&gt;0,"INCOMPLETE – "&amp;W95&amp;" blank/old input(s)","Market-derived + assumptions")</f>
        <v>Market-derived + assumptions</v>
      </c>
      <c r="V95" s="9" t="s">
        <v>183</v>
      </c>
      <c r="W95" s="13" t="n">
        <f aca="false">'04 DETAILED RATE ANALYSIS'!J2093</f>
        <v>0</v>
      </c>
      <c r="X95" s="9" t="s">
        <v>112</v>
      </c>
      <c r="Y95" s="9" t="s">
        <v>113</v>
      </c>
      <c r="Z95" s="9" t="s">
        <v>114</v>
      </c>
      <c r="AA95" s="5"/>
      <c r="AB95" s="15" t="str">
        <f aca="false">IF(COUNTIF($A$5:$A$999,A95)&gt;1,"DUPLICATE","")</f>
        <v/>
      </c>
    </row>
    <row r="96" customFormat="false" ht="60" hidden="false" customHeight="true" outlineLevel="0" collapsed="false">
      <c r="A96" s="9" t="s">
        <v>516</v>
      </c>
      <c r="B96" s="9" t="s">
        <v>503</v>
      </c>
      <c r="C96" s="9" t="s">
        <v>512</v>
      </c>
      <c r="D96" s="9" t="s">
        <v>517</v>
      </c>
      <c r="E96" s="5" t="s">
        <v>518</v>
      </c>
      <c r="F96" s="5" t="s">
        <v>515</v>
      </c>
      <c r="G96" s="9" t="s">
        <v>386</v>
      </c>
      <c r="H96" s="9" t="str">
        <f aca="false">City</f>
        <v>Lahore</v>
      </c>
      <c r="I96" s="9" t="s">
        <v>110</v>
      </c>
      <c r="J96" s="13" t="n">
        <f aca="false">'04 DETAILED RATE ANALYSIS'!J2100</f>
        <v>39.66</v>
      </c>
      <c r="K96" s="13" t="n">
        <f aca="false">'04 DETAILED RATE ANALYSIS'!J2103</f>
        <v>5.4225</v>
      </c>
      <c r="L96" s="13" t="n">
        <f aca="false">'04 DETAILED RATE ANALYSIS'!J2104</f>
        <v>0</v>
      </c>
      <c r="M96" s="13" t="n">
        <f aca="false">'04 DETAILED RATE ANALYSIS'!J2105</f>
        <v>0</v>
      </c>
      <c r="N96" s="13" t="n">
        <f aca="false">'04 DETAILED RATE ANALYSIS'!J2101</f>
        <v>1.1898</v>
      </c>
      <c r="O96" s="13" t="n">
        <f aca="false">'04 DETAILED RATE ANALYSIS'!J2106</f>
        <v>46.2723</v>
      </c>
      <c r="P96" s="13" t="n">
        <f aca="false">'04 DETAILED RATE ANALYSIS'!J2107+'04 DETAILED RATE ANALYSIS'!J2108</f>
        <v>3.701784</v>
      </c>
      <c r="Q96" s="13" t="n">
        <f aca="false">'04 DETAILED RATE ANALYSIS'!J2109</f>
        <v>4.62723</v>
      </c>
      <c r="R96" s="13" t="n">
        <f aca="false">'04 DETAILED RATE ANALYSIS'!J2111</f>
        <v>0</v>
      </c>
      <c r="S96" s="14" t="n">
        <f aca="false">'04 DETAILED RATE ANALYSIS'!J2112</f>
        <v>55</v>
      </c>
      <c r="T96" s="13" t="n">
        <f aca="false">S96*100</f>
        <v>5500</v>
      </c>
      <c r="U96" s="15" t="str">
        <f aca="false">IF(W96&gt;0,"INCOMPLETE – "&amp;W96&amp;" blank/old input(s)","Market-derived + assumptions")</f>
        <v>Market-derived + assumptions</v>
      </c>
      <c r="V96" s="9" t="s">
        <v>183</v>
      </c>
      <c r="W96" s="13" t="n">
        <f aca="false">'04 DETAILED RATE ANALYSIS'!J2113</f>
        <v>0</v>
      </c>
      <c r="X96" s="9" t="s">
        <v>112</v>
      </c>
      <c r="Y96" s="9" t="s">
        <v>113</v>
      </c>
      <c r="Z96" s="9" t="s">
        <v>114</v>
      </c>
      <c r="AA96" s="5"/>
      <c r="AB96" s="15" t="str">
        <f aca="false">IF(COUNTIF($A$5:$A$999,A96)&gt;1,"DUPLICATE","")</f>
        <v/>
      </c>
    </row>
    <row r="97" customFormat="false" ht="60" hidden="false" customHeight="true" outlineLevel="0" collapsed="false">
      <c r="A97" s="9" t="s">
        <v>519</v>
      </c>
      <c r="B97" s="9" t="s">
        <v>503</v>
      </c>
      <c r="C97" s="9" t="s">
        <v>512</v>
      </c>
      <c r="D97" s="9" t="s">
        <v>520</v>
      </c>
      <c r="E97" s="5" t="s">
        <v>521</v>
      </c>
      <c r="F97" s="5" t="s">
        <v>515</v>
      </c>
      <c r="G97" s="9" t="s">
        <v>386</v>
      </c>
      <c r="H97" s="9" t="str">
        <f aca="false">City</f>
        <v>Lahore</v>
      </c>
      <c r="I97" s="9" t="s">
        <v>110</v>
      </c>
      <c r="J97" s="13" t="n">
        <f aca="false">'04 DETAILED RATE ANALYSIS'!J2120</f>
        <v>63.19</v>
      </c>
      <c r="K97" s="13" t="n">
        <f aca="false">'04 DETAILED RATE ANALYSIS'!J2123</f>
        <v>5.4225</v>
      </c>
      <c r="L97" s="13" t="n">
        <f aca="false">'04 DETAILED RATE ANALYSIS'!J2124</f>
        <v>0</v>
      </c>
      <c r="M97" s="13" t="n">
        <f aca="false">'04 DETAILED RATE ANALYSIS'!J2125</f>
        <v>0</v>
      </c>
      <c r="N97" s="13" t="n">
        <f aca="false">'04 DETAILED RATE ANALYSIS'!J2121</f>
        <v>1.89570000000001</v>
      </c>
      <c r="O97" s="13" t="n">
        <f aca="false">'04 DETAILED RATE ANALYSIS'!J2126</f>
        <v>70.5082</v>
      </c>
      <c r="P97" s="13" t="n">
        <f aca="false">'04 DETAILED RATE ANALYSIS'!J2127+'04 DETAILED RATE ANALYSIS'!J2128</f>
        <v>5.640656</v>
      </c>
      <c r="Q97" s="13" t="n">
        <f aca="false">'04 DETAILED RATE ANALYSIS'!J2129</f>
        <v>7.05082</v>
      </c>
      <c r="R97" s="13" t="n">
        <f aca="false">'04 DETAILED RATE ANALYSIS'!J2131</f>
        <v>0</v>
      </c>
      <c r="S97" s="14" t="n">
        <f aca="false">'04 DETAILED RATE ANALYSIS'!J2132</f>
        <v>83</v>
      </c>
      <c r="T97" s="13" t="n">
        <f aca="false">S97*100</f>
        <v>8300</v>
      </c>
      <c r="U97" s="15" t="str">
        <f aca="false">IF(W97&gt;0,"INCOMPLETE – "&amp;W97&amp;" blank/old input(s)","Market-derived + assumptions")</f>
        <v>Market-derived + assumptions</v>
      </c>
      <c r="V97" s="9" t="s">
        <v>183</v>
      </c>
      <c r="W97" s="13" t="n">
        <f aca="false">'04 DETAILED RATE ANALYSIS'!J2133</f>
        <v>0</v>
      </c>
      <c r="X97" s="9" t="s">
        <v>112</v>
      </c>
      <c r="Y97" s="9" t="s">
        <v>113</v>
      </c>
      <c r="Z97" s="9" t="s">
        <v>114</v>
      </c>
      <c r="AA97" s="5"/>
      <c r="AB97" s="15" t="str">
        <f aca="false">IF(COUNTIF($A$5:$A$999,A97)&gt;1,"DUPLICATE","")</f>
        <v/>
      </c>
    </row>
    <row r="98" customFormat="false" ht="60" hidden="false" customHeight="true" outlineLevel="0" collapsed="false">
      <c r="A98" s="9" t="s">
        <v>522</v>
      </c>
      <c r="B98" s="9" t="s">
        <v>503</v>
      </c>
      <c r="C98" s="9" t="s">
        <v>523</v>
      </c>
      <c r="D98" s="9" t="s">
        <v>524</v>
      </c>
      <c r="E98" s="5" t="s">
        <v>525</v>
      </c>
      <c r="F98" s="5" t="s">
        <v>526</v>
      </c>
      <c r="G98" s="9" t="s">
        <v>368</v>
      </c>
      <c r="H98" s="9" t="str">
        <f aca="false">City</f>
        <v>Lahore</v>
      </c>
      <c r="I98" s="9" t="s">
        <v>110</v>
      </c>
      <c r="J98" s="13" t="n">
        <f aca="false">'04 DETAILED RATE ANALYSIS'!J2145</f>
        <v>3650</v>
      </c>
      <c r="K98" s="13" t="n">
        <f aca="false">'04 DETAILED RATE ANALYSIS'!J2148</f>
        <v>1084.5</v>
      </c>
      <c r="L98" s="13" t="n">
        <f aca="false">'04 DETAILED RATE ANALYSIS'!J2149</f>
        <v>0</v>
      </c>
      <c r="M98" s="13" t="n">
        <f aca="false">'04 DETAILED RATE ANALYSIS'!J2150</f>
        <v>0</v>
      </c>
      <c r="N98" s="13" t="n">
        <f aca="false">'04 DETAILED RATE ANALYSIS'!J2146</f>
        <v>112.51</v>
      </c>
      <c r="O98" s="13" t="n">
        <f aca="false">'04 DETAILED RATE ANALYSIS'!J2151</f>
        <v>4847.01</v>
      </c>
      <c r="P98" s="13" t="n">
        <f aca="false">'04 DETAILED RATE ANALYSIS'!J2152+'04 DETAILED RATE ANALYSIS'!J2153</f>
        <v>387.7608</v>
      </c>
      <c r="Q98" s="13" t="n">
        <f aca="false">'04 DETAILED RATE ANALYSIS'!J2154</f>
        <v>484.701</v>
      </c>
      <c r="R98" s="13" t="n">
        <f aca="false">'04 DETAILED RATE ANALYSIS'!J2156</f>
        <v>0</v>
      </c>
      <c r="S98" s="14" t="n">
        <f aca="false">'04 DETAILED RATE ANALYSIS'!J2157</f>
        <v>5719</v>
      </c>
      <c r="T98" s="13" t="n">
        <f aca="false">S98*100</f>
        <v>571900</v>
      </c>
      <c r="U98" s="15" t="str">
        <f aca="false">IF(W98&gt;0,"INCOMPLETE – "&amp;W98&amp;" blank/old input(s)","Market-derived + assumptions")</f>
        <v>Market-derived + assumptions</v>
      </c>
      <c r="V98" s="9" t="s">
        <v>111</v>
      </c>
      <c r="W98" s="13" t="n">
        <f aca="false">'04 DETAILED RATE ANALYSIS'!J2158</f>
        <v>0</v>
      </c>
      <c r="X98" s="9" t="s">
        <v>112</v>
      </c>
      <c r="Y98" s="9" t="s">
        <v>113</v>
      </c>
      <c r="Z98" s="9" t="s">
        <v>114</v>
      </c>
      <c r="AA98" s="5"/>
      <c r="AB98" s="15" t="str">
        <f aca="false">IF(COUNTIF($A$5:$A$999,A98)&gt;1,"DUPLICATE","")</f>
        <v/>
      </c>
    </row>
    <row r="99" customFormat="false" ht="60" hidden="false" customHeight="true" outlineLevel="0" collapsed="false">
      <c r="A99" s="9" t="s">
        <v>527</v>
      </c>
      <c r="B99" s="9" t="s">
        <v>503</v>
      </c>
      <c r="C99" s="9" t="s">
        <v>523</v>
      </c>
      <c r="D99" s="9" t="s">
        <v>528</v>
      </c>
      <c r="E99" s="5" t="s">
        <v>529</v>
      </c>
      <c r="F99" s="5" t="s">
        <v>530</v>
      </c>
      <c r="G99" s="9" t="s">
        <v>368</v>
      </c>
      <c r="H99" s="9" t="str">
        <f aca="false">City</f>
        <v>Lahore</v>
      </c>
      <c r="I99" s="9" t="s">
        <v>110</v>
      </c>
      <c r="J99" s="13" t="n">
        <f aca="false">'04 DETAILED RATE ANALYSIS'!J2169</f>
        <v>6070.4</v>
      </c>
      <c r="K99" s="13" t="n">
        <f aca="false">'04 DETAILED RATE ANALYSIS'!J2172</f>
        <v>1301.4</v>
      </c>
      <c r="L99" s="13" t="n">
        <f aca="false">'04 DETAILED RATE ANALYSIS'!J2173</f>
        <v>0</v>
      </c>
      <c r="M99" s="13" t="n">
        <f aca="false">'04 DETAILED RATE ANALYSIS'!J2174</f>
        <v>0</v>
      </c>
      <c r="N99" s="13" t="n">
        <f aca="false">'04 DETAILED RATE ANALYSIS'!J2170</f>
        <v>173.082</v>
      </c>
      <c r="O99" s="13" t="n">
        <f aca="false">'04 DETAILED RATE ANALYSIS'!J2175</f>
        <v>7544.882</v>
      </c>
      <c r="P99" s="13" t="n">
        <f aca="false">'04 DETAILED RATE ANALYSIS'!J2176+'04 DETAILED RATE ANALYSIS'!J2177</f>
        <v>603.59056</v>
      </c>
      <c r="Q99" s="13" t="n">
        <f aca="false">'04 DETAILED RATE ANALYSIS'!J2178</f>
        <v>754.4882</v>
      </c>
      <c r="R99" s="13" t="n">
        <f aca="false">'04 DETAILED RATE ANALYSIS'!J2180</f>
        <v>0</v>
      </c>
      <c r="S99" s="14" t="n">
        <f aca="false">'04 DETAILED RATE ANALYSIS'!J2181</f>
        <v>8903</v>
      </c>
      <c r="T99" s="13" t="n">
        <f aca="false">S99*100</f>
        <v>890300</v>
      </c>
      <c r="U99" s="15" t="str">
        <f aca="false">IF(W99&gt;0,"INCOMPLETE – "&amp;W99&amp;" blank/old input(s)","Market-derived + assumptions")</f>
        <v>Market-derived + assumptions</v>
      </c>
      <c r="V99" s="9" t="s">
        <v>111</v>
      </c>
      <c r="W99" s="13" t="n">
        <f aca="false">'04 DETAILED RATE ANALYSIS'!J2182</f>
        <v>0</v>
      </c>
      <c r="X99" s="9" t="s">
        <v>112</v>
      </c>
      <c r="Y99" s="9" t="s">
        <v>113</v>
      </c>
      <c r="Z99" s="9" t="s">
        <v>114</v>
      </c>
      <c r="AA99" s="5"/>
      <c r="AB99" s="15" t="str">
        <f aca="false">IF(COUNTIF($A$5:$A$999,A99)&gt;1,"DUPLICATE","")</f>
        <v/>
      </c>
    </row>
    <row r="100" customFormat="false" ht="60" hidden="false" customHeight="true" outlineLevel="0" collapsed="false">
      <c r="A100" s="9" t="s">
        <v>531</v>
      </c>
      <c r="B100" s="9" t="s">
        <v>503</v>
      </c>
      <c r="C100" s="9" t="s">
        <v>532</v>
      </c>
      <c r="D100" s="9" t="s">
        <v>533</v>
      </c>
      <c r="E100" s="5" t="s">
        <v>534</v>
      </c>
      <c r="F100" s="5" t="s">
        <v>535</v>
      </c>
      <c r="G100" s="9" t="s">
        <v>368</v>
      </c>
      <c r="H100" s="9" t="str">
        <f aca="false">City</f>
        <v>Lahore</v>
      </c>
      <c r="I100" s="9" t="s">
        <v>110</v>
      </c>
      <c r="J100" s="13" t="n">
        <f aca="false">'04 DETAILED RATE ANALYSIS'!J2189</f>
        <v>43731.2</v>
      </c>
      <c r="K100" s="13" t="n">
        <f aca="false">'04 DETAILED RATE ANALYSIS'!J2192</f>
        <v>5876</v>
      </c>
      <c r="L100" s="13" t="n">
        <f aca="false">'04 DETAILED RATE ANALYSIS'!J2193</f>
        <v>0</v>
      </c>
      <c r="M100" s="13" t="n">
        <f aca="false">'04 DETAILED RATE ANALYSIS'!J2194</f>
        <v>0</v>
      </c>
      <c r="N100" s="13" t="n">
        <f aca="false">'04 DETAILED RATE ANALYSIS'!J2190</f>
        <v>0</v>
      </c>
      <c r="O100" s="13" t="n">
        <f aca="false">'04 DETAILED RATE ANALYSIS'!J2195</f>
        <v>49607.2</v>
      </c>
      <c r="P100" s="13" t="n">
        <f aca="false">'04 DETAILED RATE ANALYSIS'!J2196+'04 DETAILED RATE ANALYSIS'!J2197</f>
        <v>3968.576</v>
      </c>
      <c r="Q100" s="13" t="n">
        <f aca="false">'04 DETAILED RATE ANALYSIS'!J2198</f>
        <v>4960.72</v>
      </c>
      <c r="R100" s="13" t="n">
        <f aca="false">'04 DETAILED RATE ANALYSIS'!J2200</f>
        <v>0</v>
      </c>
      <c r="S100" s="14" t="n">
        <f aca="false">'04 DETAILED RATE ANALYSIS'!J2201</f>
        <v>58536</v>
      </c>
      <c r="T100" s="13" t="n">
        <f aca="false">S100*100</f>
        <v>5853600</v>
      </c>
      <c r="U100" s="15" t="str">
        <f aca="false">IF(W100&gt;0,"INCOMPLETE – "&amp;W100&amp;" blank/old input(s)","Market-derived + assumptions")</f>
        <v>Market-derived + assumptions</v>
      </c>
      <c r="V100" s="9" t="s">
        <v>111</v>
      </c>
      <c r="W100" s="13" t="n">
        <f aca="false">'04 DETAILED RATE ANALYSIS'!J2202</f>
        <v>0</v>
      </c>
      <c r="X100" s="9" t="s">
        <v>112</v>
      </c>
      <c r="Y100" s="9" t="s">
        <v>113</v>
      </c>
      <c r="Z100" s="9" t="s">
        <v>114</v>
      </c>
      <c r="AA100" s="5"/>
      <c r="AB100" s="15" t="str">
        <f aca="false">IF(COUNTIF($A$5:$A$999,A100)&gt;1,"DUPLICATE","")</f>
        <v/>
      </c>
    </row>
    <row r="101" customFormat="false" ht="60" hidden="false" customHeight="true" outlineLevel="0" collapsed="false">
      <c r="A101" s="9" t="s">
        <v>536</v>
      </c>
      <c r="B101" s="9" t="s">
        <v>503</v>
      </c>
      <c r="C101" s="9" t="s">
        <v>537</v>
      </c>
      <c r="D101" s="9" t="s">
        <v>538</v>
      </c>
      <c r="E101" s="5" t="s">
        <v>539</v>
      </c>
      <c r="F101" s="5" t="s">
        <v>501</v>
      </c>
      <c r="G101" s="9" t="s">
        <v>368</v>
      </c>
      <c r="H101" s="9" t="str">
        <f aca="false">City</f>
        <v>Lahore</v>
      </c>
      <c r="I101" s="9" t="s">
        <v>110</v>
      </c>
      <c r="J101" s="13" t="n">
        <f aca="false">'04 DETAILED RATE ANALYSIS'!J2209</f>
        <v>59777.62</v>
      </c>
      <c r="K101" s="13" t="n">
        <f aca="false">'04 DETAILED RATE ANALYSIS'!J2212</f>
        <v>4338</v>
      </c>
      <c r="L101" s="13" t="n">
        <f aca="false">'04 DETAILED RATE ANALYSIS'!J2213</f>
        <v>0</v>
      </c>
      <c r="M101" s="13" t="n">
        <f aca="false">'04 DETAILED RATE ANALYSIS'!J2214</f>
        <v>0</v>
      </c>
      <c r="N101" s="13" t="n">
        <f aca="false">'04 DETAILED RATE ANALYSIS'!J2210</f>
        <v>0</v>
      </c>
      <c r="O101" s="13" t="n">
        <f aca="false">'04 DETAILED RATE ANALYSIS'!J2215</f>
        <v>64115.62</v>
      </c>
      <c r="P101" s="13" t="n">
        <f aca="false">'04 DETAILED RATE ANALYSIS'!J2216+'04 DETAILED RATE ANALYSIS'!J2217</f>
        <v>5129.2496</v>
      </c>
      <c r="Q101" s="13" t="n">
        <f aca="false">'04 DETAILED RATE ANALYSIS'!J2218</f>
        <v>6411.562</v>
      </c>
      <c r="R101" s="13" t="n">
        <f aca="false">'04 DETAILED RATE ANALYSIS'!J2220</f>
        <v>0</v>
      </c>
      <c r="S101" s="14" t="n">
        <f aca="false">'04 DETAILED RATE ANALYSIS'!J2221</f>
        <v>75656</v>
      </c>
      <c r="T101" s="13" t="n">
        <f aca="false">S101*100</f>
        <v>7565600</v>
      </c>
      <c r="U101" s="15" t="str">
        <f aca="false">IF(W101&gt;0,"INCOMPLETE – "&amp;W101&amp;" blank/old input(s)","Market-derived + assumptions")</f>
        <v>INCOMPLETE – 1 blank/old input(s)</v>
      </c>
      <c r="V101" s="9" t="s">
        <v>111</v>
      </c>
      <c r="W101" s="13" t="n">
        <f aca="false">'04 DETAILED RATE ANALYSIS'!J2222</f>
        <v>1</v>
      </c>
      <c r="X101" s="9" t="s">
        <v>112</v>
      </c>
      <c r="Y101" s="9" t="s">
        <v>113</v>
      </c>
      <c r="Z101" s="9" t="s">
        <v>114</v>
      </c>
      <c r="AA101" s="5"/>
      <c r="AB101" s="15" t="str">
        <f aca="false">IF(COUNTIF($A$5:$A$999,A101)&gt;1,"DUPLICATE","")</f>
        <v/>
      </c>
    </row>
    <row r="102" customFormat="false" ht="60" hidden="false" customHeight="true" outlineLevel="0" collapsed="false">
      <c r="A102" s="9" t="s">
        <v>540</v>
      </c>
      <c r="B102" s="9" t="s">
        <v>65</v>
      </c>
      <c r="C102" s="9" t="s">
        <v>541</v>
      </c>
      <c r="D102" s="9" t="s">
        <v>542</v>
      </c>
      <c r="E102" s="5" t="s">
        <v>543</v>
      </c>
      <c r="F102" s="5" t="s">
        <v>544</v>
      </c>
      <c r="G102" s="9" t="s">
        <v>368</v>
      </c>
      <c r="H102" s="9" t="str">
        <f aca="false">City</f>
        <v>Lahore</v>
      </c>
      <c r="I102" s="9" t="s">
        <v>110</v>
      </c>
      <c r="J102" s="13" t="n">
        <f aca="false">'04 DETAILED RATE ANALYSIS'!J2231</f>
        <v>19241</v>
      </c>
      <c r="K102" s="13" t="n">
        <f aca="false">'04 DETAILED RATE ANALYSIS'!J2234</f>
        <v>2169</v>
      </c>
      <c r="L102" s="13" t="n">
        <f aca="false">'04 DETAILED RATE ANALYSIS'!J2235</f>
        <v>0</v>
      </c>
      <c r="M102" s="13" t="n">
        <f aca="false">'04 DETAILED RATE ANALYSIS'!J2236</f>
        <v>0</v>
      </c>
      <c r="N102" s="13" t="n">
        <f aca="false">'04 DETAILED RATE ANALYSIS'!J2232</f>
        <v>389.23</v>
      </c>
      <c r="O102" s="13" t="n">
        <f aca="false">'04 DETAILED RATE ANALYSIS'!J2237</f>
        <v>21799.23</v>
      </c>
      <c r="P102" s="13" t="n">
        <f aca="false">'04 DETAILED RATE ANALYSIS'!J2238+'04 DETAILED RATE ANALYSIS'!J2239</f>
        <v>1743.9384</v>
      </c>
      <c r="Q102" s="13" t="n">
        <f aca="false">'04 DETAILED RATE ANALYSIS'!J2240</f>
        <v>2179.923</v>
      </c>
      <c r="R102" s="13" t="n">
        <f aca="false">'04 DETAILED RATE ANALYSIS'!J2242</f>
        <v>0</v>
      </c>
      <c r="S102" s="14" t="n">
        <f aca="false">'04 DETAILED RATE ANALYSIS'!J2243</f>
        <v>25723</v>
      </c>
      <c r="T102" s="13" t="n">
        <f aca="false">S102*100</f>
        <v>2572300</v>
      </c>
      <c r="U102" s="15" t="str">
        <f aca="false">IF(W102&gt;0,"INCOMPLETE – "&amp;W102&amp;" blank/old input(s)","Market-derived + assumptions")</f>
        <v>Market-derived + assumptions</v>
      </c>
      <c r="V102" s="9" t="s">
        <v>111</v>
      </c>
      <c r="W102" s="13" t="n">
        <f aca="false">'04 DETAILED RATE ANALYSIS'!J2244</f>
        <v>0</v>
      </c>
      <c r="X102" s="9" t="s">
        <v>112</v>
      </c>
      <c r="Y102" s="9" t="s">
        <v>113</v>
      </c>
      <c r="Z102" s="9" t="s">
        <v>114</v>
      </c>
      <c r="AA102" s="5"/>
      <c r="AB102" s="15" t="str">
        <f aca="false">IF(COUNTIF($A$5:$A$999,A102)&gt;1,"DUPLICATE","")</f>
        <v/>
      </c>
    </row>
    <row r="103" customFormat="false" ht="60" hidden="false" customHeight="true" outlineLevel="0" collapsed="false">
      <c r="A103" s="9" t="s">
        <v>545</v>
      </c>
      <c r="B103" s="9" t="s">
        <v>546</v>
      </c>
      <c r="C103" s="9" t="s">
        <v>547</v>
      </c>
      <c r="D103" s="9" t="s">
        <v>548</v>
      </c>
      <c r="E103" s="5" t="s">
        <v>549</v>
      </c>
      <c r="F103" s="5" t="s">
        <v>550</v>
      </c>
      <c r="G103" s="9" t="s">
        <v>368</v>
      </c>
      <c r="H103" s="9" t="str">
        <f aca="false">City</f>
        <v>Lahore</v>
      </c>
      <c r="I103" s="9" t="s">
        <v>110</v>
      </c>
      <c r="J103" s="13" t="n">
        <f aca="false">'04 DETAILED RATE ANALYSIS'!J2253</f>
        <v>12990</v>
      </c>
      <c r="K103" s="13" t="n">
        <f aca="false">'04 DETAILED RATE ANALYSIS'!J2256</f>
        <v>1084.5</v>
      </c>
      <c r="L103" s="13" t="n">
        <f aca="false">'04 DETAILED RATE ANALYSIS'!J2257</f>
        <v>0</v>
      </c>
      <c r="M103" s="13" t="n">
        <f aca="false">'04 DETAILED RATE ANALYSIS'!J2258</f>
        <v>0</v>
      </c>
      <c r="N103" s="13" t="n">
        <f aca="false">'04 DETAILED RATE ANALYSIS'!J2254</f>
        <v>183.9</v>
      </c>
      <c r="O103" s="13" t="n">
        <f aca="false">'04 DETAILED RATE ANALYSIS'!J2259</f>
        <v>14258.4</v>
      </c>
      <c r="P103" s="13" t="n">
        <f aca="false">'04 DETAILED RATE ANALYSIS'!J2260+'04 DETAILED RATE ANALYSIS'!J2261</f>
        <v>1140.672</v>
      </c>
      <c r="Q103" s="13" t="n">
        <f aca="false">'04 DETAILED RATE ANALYSIS'!J2262</f>
        <v>1425.84</v>
      </c>
      <c r="R103" s="13" t="n">
        <f aca="false">'04 DETAILED RATE ANALYSIS'!J2264</f>
        <v>0</v>
      </c>
      <c r="S103" s="14" t="n">
        <f aca="false">'04 DETAILED RATE ANALYSIS'!J2265</f>
        <v>16825</v>
      </c>
      <c r="T103" s="13" t="n">
        <f aca="false">S103*100</f>
        <v>1682500</v>
      </c>
      <c r="U103" s="15" t="str">
        <f aca="false">IF(W103&gt;0,"INCOMPLETE – "&amp;W103&amp;" blank/old input(s)","Market-derived + assumptions")</f>
        <v>Market-derived + assumptions</v>
      </c>
      <c r="V103" s="9" t="s">
        <v>111</v>
      </c>
      <c r="W103" s="13" t="n">
        <f aca="false">'04 DETAILED RATE ANALYSIS'!J2266</f>
        <v>0</v>
      </c>
      <c r="X103" s="9" t="s">
        <v>112</v>
      </c>
      <c r="Y103" s="9" t="s">
        <v>113</v>
      </c>
      <c r="Z103" s="9" t="s">
        <v>114</v>
      </c>
      <c r="AA103" s="5"/>
      <c r="AB103" s="15" t="str">
        <f aca="false">IF(COUNTIF($A$5:$A$999,A103)&gt;1,"DUPLICATE","")</f>
        <v/>
      </c>
    </row>
    <row r="104" customFormat="false" ht="60" hidden="false" customHeight="true" outlineLevel="0" collapsed="false">
      <c r="A104" s="9" t="s">
        <v>551</v>
      </c>
      <c r="B104" s="9" t="s">
        <v>67</v>
      </c>
      <c r="C104" s="9" t="s">
        <v>552</v>
      </c>
      <c r="D104" s="9" t="s">
        <v>553</v>
      </c>
      <c r="E104" s="5" t="s">
        <v>554</v>
      </c>
      <c r="F104" s="5" t="s">
        <v>555</v>
      </c>
      <c r="G104" s="9" t="s">
        <v>212</v>
      </c>
      <c r="H104" s="9" t="str">
        <f aca="false">City</f>
        <v>Lahore</v>
      </c>
      <c r="I104" s="9" t="s">
        <v>110</v>
      </c>
      <c r="J104" s="13" t="n">
        <f aca="false">'04 DETAILED RATE ANALYSIS'!J2274</f>
        <v>228.776</v>
      </c>
      <c r="K104" s="13" t="n">
        <f aca="false">'04 DETAILED RATE ANALYSIS'!J2277</f>
        <v>86.76</v>
      </c>
      <c r="L104" s="13" t="n">
        <f aca="false">'04 DETAILED RATE ANALYSIS'!J2278</f>
        <v>0</v>
      </c>
      <c r="M104" s="13" t="n">
        <f aca="false">'04 DETAILED RATE ANALYSIS'!J2279</f>
        <v>0</v>
      </c>
      <c r="N104" s="13" t="n">
        <f aca="false">'04 DETAILED RATE ANALYSIS'!J2275</f>
        <v>10.35</v>
      </c>
      <c r="O104" s="13" t="n">
        <f aca="false">'04 DETAILED RATE ANALYSIS'!J2280</f>
        <v>325.886</v>
      </c>
      <c r="P104" s="13" t="n">
        <f aca="false">'04 DETAILED RATE ANALYSIS'!J2281+'04 DETAILED RATE ANALYSIS'!J2282</f>
        <v>26.07088</v>
      </c>
      <c r="Q104" s="13" t="n">
        <f aca="false">'04 DETAILED RATE ANALYSIS'!J2283</f>
        <v>32.5886</v>
      </c>
      <c r="R104" s="13" t="n">
        <f aca="false">'04 DETAILED RATE ANALYSIS'!J2285</f>
        <v>0</v>
      </c>
      <c r="S104" s="14" t="n">
        <f aca="false">'04 DETAILED RATE ANALYSIS'!J2286</f>
        <v>385</v>
      </c>
      <c r="T104" s="13" t="n">
        <f aca="false">S104*100</f>
        <v>38500</v>
      </c>
      <c r="U104" s="15" t="str">
        <f aca="false">IF(W104&gt;0,"INCOMPLETE – "&amp;W104&amp;" blank/old input(s)","Market-derived + assumptions")</f>
        <v>Market-derived + assumptions</v>
      </c>
      <c r="V104" s="9" t="s">
        <v>111</v>
      </c>
      <c r="W104" s="13" t="n">
        <f aca="false">'04 DETAILED RATE ANALYSIS'!J2287</f>
        <v>0</v>
      </c>
      <c r="X104" s="9" t="s">
        <v>112</v>
      </c>
      <c r="Y104" s="9" t="s">
        <v>113</v>
      </c>
      <c r="Z104" s="9" t="s">
        <v>114</v>
      </c>
      <c r="AA104" s="5"/>
      <c r="AB104" s="15" t="str">
        <f aca="false">IF(COUNTIF($A$5:$A$999,A104)&gt;1,"DUPLICATE","")</f>
        <v/>
      </c>
    </row>
    <row r="105" customFormat="false" ht="60" hidden="false" customHeight="true" outlineLevel="0" collapsed="false">
      <c r="A105" s="9" t="s">
        <v>556</v>
      </c>
      <c r="B105" s="9" t="s">
        <v>67</v>
      </c>
      <c r="C105" s="9" t="s">
        <v>557</v>
      </c>
      <c r="D105" s="9" t="s">
        <v>558</v>
      </c>
      <c r="E105" s="5" t="s">
        <v>559</v>
      </c>
      <c r="F105" s="5" t="s">
        <v>560</v>
      </c>
      <c r="G105" s="9" t="s">
        <v>212</v>
      </c>
      <c r="H105" s="9" t="str">
        <f aca="false">City</f>
        <v>Lahore</v>
      </c>
      <c r="I105" s="9" t="s">
        <v>110</v>
      </c>
      <c r="J105" s="13" t="n">
        <f aca="false">'04 DETAILED RATE ANALYSIS'!J2294</f>
        <v>360.69</v>
      </c>
      <c r="K105" s="13" t="n">
        <f aca="false">'04 DETAILED RATE ANALYSIS'!J2297</f>
        <v>58.6216216216216</v>
      </c>
      <c r="L105" s="13" t="n">
        <f aca="false">'04 DETAILED RATE ANALYSIS'!J2298</f>
        <v>0</v>
      </c>
      <c r="M105" s="13" t="n">
        <f aca="false">'04 DETAILED RATE ANALYSIS'!J2299</f>
        <v>0</v>
      </c>
      <c r="N105" s="13" t="n">
        <f aca="false">'04 DETAILED RATE ANALYSIS'!J2295</f>
        <v>0</v>
      </c>
      <c r="O105" s="13" t="n">
        <f aca="false">'04 DETAILED RATE ANALYSIS'!J2300</f>
        <v>419.311621621622</v>
      </c>
      <c r="P105" s="13" t="n">
        <f aca="false">'04 DETAILED RATE ANALYSIS'!J2301+'04 DETAILED RATE ANALYSIS'!J2302</f>
        <v>33.5449297297297</v>
      </c>
      <c r="Q105" s="13" t="n">
        <f aca="false">'04 DETAILED RATE ANALYSIS'!J2303</f>
        <v>41.9311621621622</v>
      </c>
      <c r="R105" s="13" t="n">
        <f aca="false">'04 DETAILED RATE ANALYSIS'!J2305</f>
        <v>0</v>
      </c>
      <c r="S105" s="14" t="n">
        <f aca="false">'04 DETAILED RATE ANALYSIS'!J2306</f>
        <v>495</v>
      </c>
      <c r="T105" s="13" t="n">
        <f aca="false">S105*100</f>
        <v>49500</v>
      </c>
      <c r="U105" s="15" t="str">
        <f aca="false">IF(W105&gt;0,"INCOMPLETE – "&amp;W105&amp;" blank/old input(s)","Market-derived + assumptions")</f>
        <v>Market-derived + assumptions</v>
      </c>
      <c r="V105" s="9" t="s">
        <v>111</v>
      </c>
      <c r="W105" s="13" t="n">
        <f aca="false">'04 DETAILED RATE ANALYSIS'!J2307</f>
        <v>0</v>
      </c>
      <c r="X105" s="9" t="s">
        <v>112</v>
      </c>
      <c r="Y105" s="9" t="s">
        <v>113</v>
      </c>
      <c r="Z105" s="9" t="s">
        <v>114</v>
      </c>
      <c r="AA105" s="5"/>
      <c r="AB105" s="15" t="str">
        <f aca="false">IF(COUNTIF($A$5:$A$999,A105)&gt;1,"DUPLICATE","")</f>
        <v/>
      </c>
    </row>
    <row r="106" customFormat="false" ht="60" hidden="false" customHeight="true" outlineLevel="0" collapsed="false">
      <c r="A106" s="9" t="s">
        <v>561</v>
      </c>
      <c r="B106" s="9" t="s">
        <v>67</v>
      </c>
      <c r="C106" s="9" t="s">
        <v>562</v>
      </c>
      <c r="D106" s="9" t="s">
        <v>563</v>
      </c>
      <c r="E106" s="5" t="s">
        <v>564</v>
      </c>
      <c r="F106" s="5" t="s">
        <v>565</v>
      </c>
      <c r="G106" s="9" t="s">
        <v>368</v>
      </c>
      <c r="H106" s="9" t="str">
        <f aca="false">City</f>
        <v>Lahore</v>
      </c>
      <c r="I106" s="9" t="s">
        <v>110</v>
      </c>
      <c r="J106" s="13" t="n">
        <f aca="false">'04 DETAILED RATE ANALYSIS'!J2316</f>
        <v>142190.85</v>
      </c>
      <c r="K106" s="13" t="n">
        <f aca="false">'04 DETAILED RATE ANALYSIS'!J2319</f>
        <v>4338</v>
      </c>
      <c r="L106" s="13" t="n">
        <f aca="false">'04 DETAILED RATE ANALYSIS'!J2320</f>
        <v>0</v>
      </c>
      <c r="M106" s="13" t="n">
        <f aca="false">'04 DETAILED RATE ANALYSIS'!J2321</f>
        <v>0</v>
      </c>
      <c r="N106" s="13" t="n">
        <f aca="false">'04 DETAILED RATE ANALYSIS'!J2317</f>
        <v>109.035000000003</v>
      </c>
      <c r="O106" s="13" t="n">
        <f aca="false">'04 DETAILED RATE ANALYSIS'!J2322</f>
        <v>146637.885</v>
      </c>
      <c r="P106" s="13" t="n">
        <f aca="false">'04 DETAILED RATE ANALYSIS'!J2323+'04 DETAILED RATE ANALYSIS'!J2324</f>
        <v>11731.0308</v>
      </c>
      <c r="Q106" s="13" t="n">
        <f aca="false">'04 DETAILED RATE ANALYSIS'!J2325</f>
        <v>14663.7885</v>
      </c>
      <c r="R106" s="13" t="n">
        <f aca="false">'04 DETAILED RATE ANALYSIS'!J2327</f>
        <v>0</v>
      </c>
      <c r="S106" s="14" t="n">
        <f aca="false">'04 DETAILED RATE ANALYSIS'!J2328</f>
        <v>173033</v>
      </c>
      <c r="T106" s="13" t="n">
        <f aca="false">S106*100</f>
        <v>17303300</v>
      </c>
      <c r="U106" s="15" t="str">
        <f aca="false">IF(W106&gt;0,"INCOMPLETE – "&amp;W106&amp;" blank/old input(s)","Market-derived + assumptions")</f>
        <v>Market-derived + assumptions</v>
      </c>
      <c r="V106" s="9" t="s">
        <v>111</v>
      </c>
      <c r="W106" s="13" t="n">
        <f aca="false">'04 DETAILED RATE ANALYSIS'!J2329</f>
        <v>0</v>
      </c>
      <c r="X106" s="9" t="s">
        <v>112</v>
      </c>
      <c r="Y106" s="9" t="s">
        <v>113</v>
      </c>
      <c r="Z106" s="9" t="s">
        <v>114</v>
      </c>
      <c r="AA106" s="5"/>
      <c r="AB106" s="15" t="str">
        <f aca="false">IF(COUNTIF($A$5:$A$999,A106)&gt;1,"DUPLICATE","")</f>
        <v/>
      </c>
    </row>
    <row r="107" customFormat="false" ht="60" hidden="false" customHeight="true" outlineLevel="0" collapsed="false">
      <c r="A107" s="9" t="s">
        <v>566</v>
      </c>
      <c r="B107" s="9" t="s">
        <v>567</v>
      </c>
      <c r="C107" s="9" t="s">
        <v>568</v>
      </c>
      <c r="D107" s="9" t="s">
        <v>569</v>
      </c>
      <c r="E107" s="5" t="s">
        <v>570</v>
      </c>
      <c r="F107" s="5" t="s">
        <v>571</v>
      </c>
      <c r="G107" s="9" t="s">
        <v>368</v>
      </c>
      <c r="H107" s="9" t="str">
        <f aca="false">City</f>
        <v>Lahore</v>
      </c>
      <c r="I107" s="9" t="s">
        <v>110</v>
      </c>
      <c r="J107" s="13" t="n">
        <f aca="false">'04 DETAILED RATE ANALYSIS'!J2334</f>
        <v>8500000</v>
      </c>
      <c r="K107" s="13" t="n">
        <f aca="false">'04 DETAILED RATE ANALYSIS'!J2337</f>
        <v>0</v>
      </c>
      <c r="L107" s="13" t="n">
        <f aca="false">'04 DETAILED RATE ANALYSIS'!J2338</f>
        <v>0</v>
      </c>
      <c r="M107" s="13" t="n">
        <f aca="false">'04 DETAILED RATE ANALYSIS'!J2339</f>
        <v>0</v>
      </c>
      <c r="N107" s="13" t="n">
        <f aca="false">'04 DETAILED RATE ANALYSIS'!J2335</f>
        <v>0</v>
      </c>
      <c r="O107" s="13" t="n">
        <f aca="false">'04 DETAILED RATE ANALYSIS'!J2340</f>
        <v>8500000</v>
      </c>
      <c r="P107" s="13" t="n">
        <f aca="false">'04 DETAILED RATE ANALYSIS'!J2341+'04 DETAILED RATE ANALYSIS'!J2342</f>
        <v>680000</v>
      </c>
      <c r="Q107" s="13" t="n">
        <f aca="false">'04 DETAILED RATE ANALYSIS'!J2343</f>
        <v>850000</v>
      </c>
      <c r="R107" s="13" t="n">
        <f aca="false">'04 DETAILED RATE ANALYSIS'!J2345</f>
        <v>0</v>
      </c>
      <c r="S107" s="14" t="n">
        <f aca="false">'04 DETAILED RATE ANALYSIS'!J2346</f>
        <v>10030000</v>
      </c>
      <c r="T107" s="13" t="n">
        <f aca="false">S107*100</f>
        <v>1003000000</v>
      </c>
      <c r="U107" s="15" t="str">
        <f aca="false">IF(W107&gt;0,"INCOMPLETE – "&amp;W107&amp;" blank/old input(s)","Market-derived + assumptions")</f>
        <v>Market-derived + assumptions</v>
      </c>
      <c r="V107" s="9" t="s">
        <v>111</v>
      </c>
      <c r="W107" s="13" t="n">
        <f aca="false">'04 DETAILED RATE ANALYSIS'!J2347</f>
        <v>0</v>
      </c>
      <c r="X107" s="9" t="s">
        <v>112</v>
      </c>
      <c r="Y107" s="9" t="s">
        <v>113</v>
      </c>
      <c r="Z107" s="9" t="s">
        <v>114</v>
      </c>
      <c r="AA107" s="5"/>
      <c r="AB107" s="15" t="str">
        <f aca="false">IF(COUNTIF($A$5:$A$999,A107)&gt;1,"DUPLICATE","")</f>
        <v/>
      </c>
    </row>
    <row r="108" customFormat="false" ht="60" hidden="false" customHeight="true" outlineLevel="0" collapsed="false">
      <c r="A108" s="9" t="s">
        <v>572</v>
      </c>
      <c r="B108" s="9" t="s">
        <v>573</v>
      </c>
      <c r="C108" s="9" t="s">
        <v>574</v>
      </c>
      <c r="D108" s="9" t="s">
        <v>575</v>
      </c>
      <c r="E108" s="5" t="s">
        <v>576</v>
      </c>
      <c r="F108" s="5" t="s">
        <v>577</v>
      </c>
      <c r="G108" s="9" t="s">
        <v>386</v>
      </c>
      <c r="H108" s="9" t="str">
        <f aca="false">City</f>
        <v>Lahore</v>
      </c>
      <c r="I108" s="9" t="s">
        <v>110</v>
      </c>
      <c r="J108" s="13" t="n">
        <f aca="false">'04 DETAILED RATE ANALYSIS'!J2355</f>
        <v>2920.45</v>
      </c>
      <c r="K108" s="13" t="n">
        <f aca="false">'04 DETAILED RATE ANALYSIS'!J2358</f>
        <v>249.2</v>
      </c>
      <c r="L108" s="13" t="n">
        <f aca="false">'04 DETAILED RATE ANALYSIS'!J2359</f>
        <v>0</v>
      </c>
      <c r="M108" s="13" t="n">
        <f aca="false">'04 DETAILED RATE ANALYSIS'!J2360</f>
        <v>0</v>
      </c>
      <c r="N108" s="13" t="n">
        <f aca="false">'04 DETAILED RATE ANALYSIS'!J2356</f>
        <v>0</v>
      </c>
      <c r="O108" s="13" t="n">
        <f aca="false">'04 DETAILED RATE ANALYSIS'!J2361</f>
        <v>3169.65</v>
      </c>
      <c r="P108" s="13" t="n">
        <f aca="false">'04 DETAILED RATE ANALYSIS'!J2362+'04 DETAILED RATE ANALYSIS'!J2363</f>
        <v>253.572</v>
      </c>
      <c r="Q108" s="13" t="n">
        <f aca="false">'04 DETAILED RATE ANALYSIS'!J2364</f>
        <v>316.965</v>
      </c>
      <c r="R108" s="13" t="n">
        <f aca="false">'04 DETAILED RATE ANALYSIS'!J2366</f>
        <v>0</v>
      </c>
      <c r="S108" s="14" t="n">
        <f aca="false">'04 DETAILED RATE ANALYSIS'!J2367</f>
        <v>3740</v>
      </c>
      <c r="T108" s="13" t="n">
        <f aca="false">S108*100</f>
        <v>374000</v>
      </c>
      <c r="U108" s="15" t="str">
        <f aca="false">IF(W108&gt;0,"INCOMPLETE – "&amp;W108&amp;" blank/old input(s)","Market-derived + assumptions")</f>
        <v>Market-derived + assumptions</v>
      </c>
      <c r="V108" s="9" t="s">
        <v>111</v>
      </c>
      <c r="W108" s="13" t="n">
        <f aca="false">'04 DETAILED RATE ANALYSIS'!J2368</f>
        <v>0</v>
      </c>
      <c r="X108" s="9" t="s">
        <v>112</v>
      </c>
      <c r="Y108" s="9" t="s">
        <v>113</v>
      </c>
      <c r="Z108" s="9" t="s">
        <v>114</v>
      </c>
      <c r="AA108" s="5"/>
      <c r="AB108" s="15" t="str">
        <f aca="false">IF(COUNTIF($A$5:$A$999,A108)&gt;1,"DUPLICATE","")</f>
        <v/>
      </c>
    </row>
    <row r="109" customFormat="false" ht="60" hidden="false" customHeight="true" outlineLevel="0" collapsed="false">
      <c r="A109" s="9" t="s">
        <v>578</v>
      </c>
      <c r="B109" s="9" t="s">
        <v>573</v>
      </c>
      <c r="C109" s="9" t="s">
        <v>579</v>
      </c>
      <c r="D109" s="9" t="s">
        <v>580</v>
      </c>
      <c r="E109" s="5" t="s">
        <v>581</v>
      </c>
      <c r="F109" s="5" t="s">
        <v>582</v>
      </c>
      <c r="G109" s="9" t="s">
        <v>386</v>
      </c>
      <c r="H109" s="9" t="str">
        <f aca="false">City</f>
        <v>Lahore</v>
      </c>
      <c r="I109" s="9" t="s">
        <v>110</v>
      </c>
      <c r="J109" s="13" t="n">
        <f aca="false">'04 DETAILED RATE ANALYSIS'!J2376</f>
        <v>6000.015</v>
      </c>
      <c r="K109" s="13" t="n">
        <f aca="false">'04 DETAILED RATE ANALYSIS'!J2379</f>
        <v>0</v>
      </c>
      <c r="L109" s="13" t="n">
        <f aca="false">'04 DETAILED RATE ANALYSIS'!J2380</f>
        <v>0</v>
      </c>
      <c r="M109" s="13" t="n">
        <f aca="false">'04 DETAILED RATE ANALYSIS'!J2381</f>
        <v>0</v>
      </c>
      <c r="N109" s="13" t="n">
        <f aca="false">'04 DETAILED RATE ANALYSIS'!J2377</f>
        <v>0</v>
      </c>
      <c r="O109" s="13" t="n">
        <f aca="false">'04 DETAILED RATE ANALYSIS'!J2382</f>
        <v>6000.015</v>
      </c>
      <c r="P109" s="13" t="n">
        <f aca="false">'04 DETAILED RATE ANALYSIS'!J2383+'04 DETAILED RATE ANALYSIS'!J2384</f>
        <v>480.0012</v>
      </c>
      <c r="Q109" s="13" t="n">
        <f aca="false">'04 DETAILED RATE ANALYSIS'!J2385</f>
        <v>600.0015</v>
      </c>
      <c r="R109" s="13" t="n">
        <f aca="false">'04 DETAILED RATE ANALYSIS'!J2387</f>
        <v>0</v>
      </c>
      <c r="S109" s="14" t="n">
        <f aca="false">'04 DETAILED RATE ANALYSIS'!J2388</f>
        <v>7080</v>
      </c>
      <c r="T109" s="13" t="n">
        <f aca="false">S109*100</f>
        <v>708000</v>
      </c>
      <c r="U109" s="15" t="str">
        <f aca="false">IF(W109&gt;0,"INCOMPLETE – "&amp;W109&amp;" blank/old input(s)","Market-derived + assumptions")</f>
        <v>Market-derived + assumptions</v>
      </c>
      <c r="V109" s="9" t="s">
        <v>111</v>
      </c>
      <c r="W109" s="13" t="n">
        <f aca="false">'04 DETAILED RATE ANALYSIS'!J2389</f>
        <v>0</v>
      </c>
      <c r="X109" s="9" t="s">
        <v>112</v>
      </c>
      <c r="Y109" s="9" t="s">
        <v>113</v>
      </c>
      <c r="Z109" s="9" t="s">
        <v>114</v>
      </c>
      <c r="AA109" s="5"/>
      <c r="AB109" s="15" t="str">
        <f aca="false">IF(COUNTIF($A$5:$A$999,A109)&gt;1,"DUPLICATE","")</f>
        <v/>
      </c>
    </row>
    <row r="110" customFormat="false" ht="60" hidden="false" customHeight="true" outlineLevel="0" collapsed="false">
      <c r="A110" s="9" t="s">
        <v>583</v>
      </c>
      <c r="B110" s="9" t="s">
        <v>503</v>
      </c>
      <c r="C110" s="9" t="s">
        <v>504</v>
      </c>
      <c r="D110" s="9" t="s">
        <v>584</v>
      </c>
      <c r="E110" s="5" t="s">
        <v>585</v>
      </c>
      <c r="F110" s="5" t="s">
        <v>586</v>
      </c>
      <c r="G110" s="9" t="s">
        <v>386</v>
      </c>
      <c r="H110" s="9" t="str">
        <f aca="false">City</f>
        <v>Lahore</v>
      </c>
      <c r="I110" s="9" t="s">
        <v>110</v>
      </c>
      <c r="J110" s="13" t="n">
        <f aca="false">'04 DETAILED RATE ANALYSIS'!J2398</f>
        <v>35.74</v>
      </c>
      <c r="K110" s="13" t="n">
        <f aca="false">'04 DETAILED RATE ANALYSIS'!J2401</f>
        <v>36.15</v>
      </c>
      <c r="L110" s="13" t="n">
        <f aca="false">'04 DETAILED RATE ANALYSIS'!J2402</f>
        <v>0</v>
      </c>
      <c r="M110" s="13" t="n">
        <f aca="false">'04 DETAILED RATE ANALYSIS'!J2403</f>
        <v>0</v>
      </c>
      <c r="N110" s="13" t="n">
        <f aca="false">'04 DETAILED RATE ANALYSIS'!J2399</f>
        <v>1.62</v>
      </c>
      <c r="O110" s="13" t="n">
        <f aca="false">'04 DETAILED RATE ANALYSIS'!J2404</f>
        <v>73.51</v>
      </c>
      <c r="P110" s="13" t="n">
        <f aca="false">'04 DETAILED RATE ANALYSIS'!J2405+'04 DETAILED RATE ANALYSIS'!J2406</f>
        <v>5.8808</v>
      </c>
      <c r="Q110" s="13" t="n">
        <f aca="false">'04 DETAILED RATE ANALYSIS'!J2407</f>
        <v>7.351</v>
      </c>
      <c r="R110" s="13" t="n">
        <f aca="false">'04 DETAILED RATE ANALYSIS'!J2409</f>
        <v>0</v>
      </c>
      <c r="S110" s="14" t="n">
        <f aca="false">'04 DETAILED RATE ANALYSIS'!J2410</f>
        <v>87</v>
      </c>
      <c r="T110" s="13" t="n">
        <f aca="false">S110*100</f>
        <v>8700</v>
      </c>
      <c r="U110" s="15" t="str">
        <f aca="false">IF(W110&gt;0,"INCOMPLETE – "&amp;W110&amp;" blank/old input(s)","Market-derived + assumptions")</f>
        <v>Market-derived + assumptions</v>
      </c>
      <c r="V110" s="9" t="s">
        <v>111</v>
      </c>
      <c r="W110" s="13" t="n">
        <f aca="false">'04 DETAILED RATE ANALYSIS'!J2411</f>
        <v>0</v>
      </c>
      <c r="X110" s="9" t="s">
        <v>112</v>
      </c>
      <c r="Y110" s="9" t="s">
        <v>113</v>
      </c>
      <c r="Z110" s="9" t="s">
        <v>114</v>
      </c>
      <c r="AA110" s="5"/>
      <c r="AB110" s="15" t="str">
        <f aca="false">IF(COUNTIF($A$5:$A$999,A110)&gt;1,"DUPLICATE","")</f>
        <v/>
      </c>
    </row>
    <row r="111" customFormat="false" ht="60" hidden="false" customHeight="true" outlineLevel="0" collapsed="false">
      <c r="A111" s="9" t="s">
        <v>587</v>
      </c>
      <c r="B111" s="9" t="s">
        <v>503</v>
      </c>
      <c r="C111" s="9" t="s">
        <v>504</v>
      </c>
      <c r="D111" s="9" t="s">
        <v>588</v>
      </c>
      <c r="E111" s="5" t="s">
        <v>589</v>
      </c>
      <c r="F111" s="5" t="s">
        <v>590</v>
      </c>
      <c r="G111" s="9" t="s">
        <v>386</v>
      </c>
      <c r="H111" s="9" t="str">
        <f aca="false">City</f>
        <v>Lahore</v>
      </c>
      <c r="I111" s="9" t="s">
        <v>110</v>
      </c>
      <c r="J111" s="13" t="n">
        <f aca="false">'04 DETAILED RATE ANALYSIS'!J2420</f>
        <v>100.4</v>
      </c>
      <c r="K111" s="13" t="n">
        <f aca="false">'04 DETAILED RATE ANALYSIS'!J2423</f>
        <v>61.9714285714286</v>
      </c>
      <c r="L111" s="13" t="n">
        <f aca="false">'04 DETAILED RATE ANALYSIS'!J2424</f>
        <v>0</v>
      </c>
      <c r="M111" s="13" t="n">
        <f aca="false">'04 DETAILED RATE ANALYSIS'!J2425</f>
        <v>0</v>
      </c>
      <c r="N111" s="13" t="n">
        <f aca="false">'04 DETAILED RATE ANALYSIS'!J2421</f>
        <v>4.23</v>
      </c>
      <c r="O111" s="13" t="n">
        <f aca="false">'04 DETAILED RATE ANALYSIS'!J2426</f>
        <v>166.601428571429</v>
      </c>
      <c r="P111" s="13" t="n">
        <f aca="false">'04 DETAILED RATE ANALYSIS'!J2427+'04 DETAILED RATE ANALYSIS'!J2428</f>
        <v>13.3281142857143</v>
      </c>
      <c r="Q111" s="13" t="n">
        <f aca="false">'04 DETAILED RATE ANALYSIS'!J2429</f>
        <v>16.6601428571429</v>
      </c>
      <c r="R111" s="13" t="n">
        <f aca="false">'04 DETAILED RATE ANALYSIS'!J2431</f>
        <v>0</v>
      </c>
      <c r="S111" s="14" t="n">
        <f aca="false">'04 DETAILED RATE ANALYSIS'!J2432</f>
        <v>197</v>
      </c>
      <c r="T111" s="13" t="n">
        <f aca="false">S111*100</f>
        <v>19700</v>
      </c>
      <c r="U111" s="15" t="str">
        <f aca="false">IF(W111&gt;0,"INCOMPLETE – "&amp;W111&amp;" blank/old input(s)","Market-derived + assumptions")</f>
        <v>Market-derived + assumptions</v>
      </c>
      <c r="V111" s="9" t="s">
        <v>111</v>
      </c>
      <c r="W111" s="13" t="n">
        <f aca="false">'04 DETAILED RATE ANALYSIS'!J2433</f>
        <v>0</v>
      </c>
      <c r="X111" s="9" t="s">
        <v>112</v>
      </c>
      <c r="Y111" s="9" t="s">
        <v>113</v>
      </c>
      <c r="Z111" s="9" t="s">
        <v>114</v>
      </c>
      <c r="AA111" s="5"/>
      <c r="AB111" s="15" t="str">
        <f aca="false">IF(COUNTIF($A$5:$A$999,A111)&gt;1,"DUPLICATE","")</f>
        <v/>
      </c>
    </row>
    <row r="112" customFormat="false" ht="60" hidden="false" customHeight="true" outlineLevel="0" collapsed="false">
      <c r="A112" s="9" t="s">
        <v>591</v>
      </c>
      <c r="B112" s="9" t="s">
        <v>503</v>
      </c>
      <c r="C112" s="9" t="s">
        <v>504</v>
      </c>
      <c r="D112" s="9" t="s">
        <v>592</v>
      </c>
      <c r="E112" s="5" t="s">
        <v>593</v>
      </c>
      <c r="F112" s="5" t="s">
        <v>590</v>
      </c>
      <c r="G112" s="9" t="s">
        <v>386</v>
      </c>
      <c r="H112" s="9" t="str">
        <f aca="false">City</f>
        <v>Lahore</v>
      </c>
      <c r="I112" s="9" t="s">
        <v>110</v>
      </c>
      <c r="J112" s="13" t="n">
        <f aca="false">'04 DETAILED RATE ANALYSIS'!J2442</f>
        <v>138.6</v>
      </c>
      <c r="K112" s="13" t="n">
        <f aca="false">'04 DETAILED RATE ANALYSIS'!J2445</f>
        <v>61.9714285714286</v>
      </c>
      <c r="L112" s="13" t="n">
        <f aca="false">'04 DETAILED RATE ANALYSIS'!J2446</f>
        <v>0</v>
      </c>
      <c r="M112" s="13" t="n">
        <f aca="false">'04 DETAILED RATE ANALYSIS'!J2447</f>
        <v>0</v>
      </c>
      <c r="N112" s="13" t="n">
        <f aca="false">'04 DETAILED RATE ANALYSIS'!J2443</f>
        <v>5.85000000000002</v>
      </c>
      <c r="O112" s="13" t="n">
        <f aca="false">'04 DETAILED RATE ANALYSIS'!J2448</f>
        <v>206.421428571429</v>
      </c>
      <c r="P112" s="13" t="n">
        <f aca="false">'04 DETAILED RATE ANALYSIS'!J2449+'04 DETAILED RATE ANALYSIS'!J2450</f>
        <v>16.5137142857143</v>
      </c>
      <c r="Q112" s="13" t="n">
        <f aca="false">'04 DETAILED RATE ANALYSIS'!J2451</f>
        <v>20.6421428571429</v>
      </c>
      <c r="R112" s="13" t="n">
        <f aca="false">'04 DETAILED RATE ANALYSIS'!J2453</f>
        <v>0</v>
      </c>
      <c r="S112" s="14" t="n">
        <f aca="false">'04 DETAILED RATE ANALYSIS'!J2454</f>
        <v>244</v>
      </c>
      <c r="T112" s="13" t="n">
        <f aca="false">S112*100</f>
        <v>24400</v>
      </c>
      <c r="U112" s="15" t="str">
        <f aca="false">IF(W112&gt;0,"INCOMPLETE – "&amp;W112&amp;" blank/old input(s)","Market-derived + assumptions")</f>
        <v>Market-derived + assumptions</v>
      </c>
      <c r="V112" s="9" t="s">
        <v>111</v>
      </c>
      <c r="W112" s="13" t="n">
        <f aca="false">'04 DETAILED RATE ANALYSIS'!J2455</f>
        <v>0</v>
      </c>
      <c r="X112" s="9" t="s">
        <v>112</v>
      </c>
      <c r="Y112" s="9" t="s">
        <v>113</v>
      </c>
      <c r="Z112" s="9" t="s">
        <v>114</v>
      </c>
      <c r="AA112" s="5"/>
      <c r="AB112" s="15" t="str">
        <f aca="false">IF(COUNTIF($A$5:$A$999,A112)&gt;1,"DUPLICATE","")</f>
        <v/>
      </c>
    </row>
    <row r="113" customFormat="false" ht="60" hidden="false" customHeight="true" outlineLevel="0" collapsed="false">
      <c r="A113" s="9" t="s">
        <v>594</v>
      </c>
      <c r="B113" s="9" t="s">
        <v>503</v>
      </c>
      <c r="C113" s="9" t="s">
        <v>504</v>
      </c>
      <c r="D113" s="9" t="s">
        <v>595</v>
      </c>
      <c r="E113" s="5" t="s">
        <v>596</v>
      </c>
      <c r="F113" s="5" t="s">
        <v>590</v>
      </c>
      <c r="G113" s="9" t="s">
        <v>386</v>
      </c>
      <c r="H113" s="9" t="str">
        <f aca="false">City</f>
        <v>Lahore</v>
      </c>
      <c r="I113" s="9" t="s">
        <v>110</v>
      </c>
      <c r="J113" s="13" t="n">
        <f aca="false">'04 DETAILED RATE ANALYSIS'!J2464</f>
        <v>208.2</v>
      </c>
      <c r="K113" s="13" t="n">
        <f aca="false">'04 DETAILED RATE ANALYSIS'!J2467</f>
        <v>61.9714285714286</v>
      </c>
      <c r="L113" s="13" t="n">
        <f aca="false">'04 DETAILED RATE ANALYSIS'!J2468</f>
        <v>0</v>
      </c>
      <c r="M113" s="13" t="n">
        <f aca="false">'04 DETAILED RATE ANALYSIS'!J2469</f>
        <v>0</v>
      </c>
      <c r="N113" s="13" t="n">
        <f aca="false">'04 DETAILED RATE ANALYSIS'!J2465</f>
        <v>8.77500000000003</v>
      </c>
      <c r="O113" s="13" t="n">
        <f aca="false">'04 DETAILED RATE ANALYSIS'!J2470</f>
        <v>278.946428571429</v>
      </c>
      <c r="P113" s="13" t="n">
        <f aca="false">'04 DETAILED RATE ANALYSIS'!J2471+'04 DETAILED RATE ANALYSIS'!J2472</f>
        <v>22.3157142857143</v>
      </c>
      <c r="Q113" s="13" t="n">
        <f aca="false">'04 DETAILED RATE ANALYSIS'!J2473</f>
        <v>27.8946428571429</v>
      </c>
      <c r="R113" s="13" t="n">
        <f aca="false">'04 DETAILED RATE ANALYSIS'!J2475</f>
        <v>0</v>
      </c>
      <c r="S113" s="14" t="n">
        <f aca="false">'04 DETAILED RATE ANALYSIS'!J2476</f>
        <v>329</v>
      </c>
      <c r="T113" s="13" t="n">
        <f aca="false">S113*100</f>
        <v>32900</v>
      </c>
      <c r="U113" s="15" t="str">
        <f aca="false">IF(W113&gt;0,"INCOMPLETE – "&amp;W113&amp;" blank/old input(s)","Market-derived + assumptions")</f>
        <v>Market-derived + assumptions</v>
      </c>
      <c r="V113" s="9" t="s">
        <v>111</v>
      </c>
      <c r="W113" s="13" t="n">
        <f aca="false">'04 DETAILED RATE ANALYSIS'!J2477</f>
        <v>0</v>
      </c>
      <c r="X113" s="9" t="s">
        <v>112</v>
      </c>
      <c r="Y113" s="9" t="s">
        <v>113</v>
      </c>
      <c r="Z113" s="9" t="s">
        <v>114</v>
      </c>
      <c r="AA113" s="5"/>
      <c r="AB113" s="15" t="str">
        <f aca="false">IF(COUNTIF($A$5:$A$999,A113)&gt;1,"DUPLICATE","")</f>
        <v/>
      </c>
    </row>
    <row r="114" customFormat="false" ht="60" hidden="false" customHeight="true" outlineLevel="0" collapsed="false">
      <c r="A114" s="9" t="s">
        <v>597</v>
      </c>
      <c r="B114" s="9" t="s">
        <v>207</v>
      </c>
      <c r="C114" s="9" t="s">
        <v>279</v>
      </c>
      <c r="D114" s="9" t="s">
        <v>598</v>
      </c>
      <c r="E114" s="5" t="s">
        <v>599</v>
      </c>
      <c r="F114" s="5" t="s">
        <v>600</v>
      </c>
      <c r="G114" s="9" t="s">
        <v>212</v>
      </c>
      <c r="H114" s="9" t="str">
        <f aca="false">City</f>
        <v>Lahore</v>
      </c>
      <c r="I114" s="9" t="s">
        <v>110</v>
      </c>
      <c r="J114" s="13" t="n">
        <f aca="false">'04 DETAILED RATE ANALYSIS'!J2485</f>
        <v>246</v>
      </c>
      <c r="K114" s="13" t="n">
        <f aca="false">'04 DETAILED RATE ANALYSIS'!J2488</f>
        <v>16.152</v>
      </c>
      <c r="L114" s="13" t="n">
        <f aca="false">'04 DETAILED RATE ANALYSIS'!J2489</f>
        <v>0</v>
      </c>
      <c r="M114" s="13" t="n">
        <f aca="false">'04 DETAILED RATE ANALYSIS'!J2490</f>
        <v>0</v>
      </c>
      <c r="N114" s="13" t="n">
        <f aca="false">'04 DETAILED RATE ANALYSIS'!J2486</f>
        <v>15.75</v>
      </c>
      <c r="O114" s="13" t="n">
        <f aca="false">'04 DETAILED RATE ANALYSIS'!J2491</f>
        <v>277.902</v>
      </c>
      <c r="P114" s="13" t="n">
        <f aca="false">'04 DETAILED RATE ANALYSIS'!J2492+'04 DETAILED RATE ANALYSIS'!J2493</f>
        <v>22.23216</v>
      </c>
      <c r="Q114" s="13" t="n">
        <f aca="false">'04 DETAILED RATE ANALYSIS'!J2494</f>
        <v>27.7902</v>
      </c>
      <c r="R114" s="13" t="n">
        <f aca="false">'04 DETAILED RATE ANALYSIS'!J2496</f>
        <v>0</v>
      </c>
      <c r="S114" s="14" t="n">
        <f aca="false">'04 DETAILED RATE ANALYSIS'!J2497</f>
        <v>328</v>
      </c>
      <c r="T114" s="13" t="n">
        <f aca="false">S114*100</f>
        <v>32800</v>
      </c>
      <c r="U114" s="15" t="str">
        <f aca="false">IF(W114&gt;0,"INCOMPLETE – "&amp;W114&amp;" blank/old input(s)","Market-derived + assumptions")</f>
        <v>Market-derived + assumptions</v>
      </c>
      <c r="V114" s="9" t="s">
        <v>183</v>
      </c>
      <c r="W114" s="13" t="n">
        <f aca="false">'04 DETAILED RATE ANALYSIS'!J2498</f>
        <v>0</v>
      </c>
      <c r="X114" s="9" t="s">
        <v>112</v>
      </c>
      <c r="Y114" s="9" t="s">
        <v>113</v>
      </c>
      <c r="Z114" s="9" t="s">
        <v>114</v>
      </c>
      <c r="AA114" s="5"/>
      <c r="AB114" s="15" t="str">
        <f aca="false">IF(COUNTIF($A$5:$A$999,A114)&gt;1,"DUPLICATE","")</f>
        <v/>
      </c>
    </row>
    <row r="115" customFormat="false" ht="60" hidden="false" customHeight="true" outlineLevel="0" collapsed="false">
      <c r="A115" s="9" t="s">
        <v>601</v>
      </c>
      <c r="B115" s="9" t="s">
        <v>207</v>
      </c>
      <c r="C115" s="9" t="s">
        <v>279</v>
      </c>
      <c r="D115" s="9" t="s">
        <v>602</v>
      </c>
      <c r="E115" s="5" t="s">
        <v>603</v>
      </c>
      <c r="F115" s="5" t="s">
        <v>604</v>
      </c>
      <c r="G115" s="9" t="s">
        <v>212</v>
      </c>
      <c r="H115" s="9" t="str">
        <f aca="false">City</f>
        <v>Lahore</v>
      </c>
      <c r="I115" s="9" t="s">
        <v>110</v>
      </c>
      <c r="J115" s="13" t="n">
        <f aca="false">'04 DETAILED RATE ANALYSIS'!J2506</f>
        <v>350</v>
      </c>
      <c r="K115" s="13" t="n">
        <f aca="false">'04 DETAILED RATE ANALYSIS'!J2509</f>
        <v>16.152</v>
      </c>
      <c r="L115" s="13" t="n">
        <f aca="false">'04 DETAILED RATE ANALYSIS'!J2510</f>
        <v>0</v>
      </c>
      <c r="M115" s="13" t="n">
        <f aca="false">'04 DETAILED RATE ANALYSIS'!J2511</f>
        <v>0</v>
      </c>
      <c r="N115" s="13" t="n">
        <f aca="false">'04 DETAILED RATE ANALYSIS'!J2507</f>
        <v>24.5</v>
      </c>
      <c r="O115" s="13" t="n">
        <f aca="false">'04 DETAILED RATE ANALYSIS'!J2512</f>
        <v>390.652</v>
      </c>
      <c r="P115" s="13" t="n">
        <f aca="false">'04 DETAILED RATE ANALYSIS'!J2513+'04 DETAILED RATE ANALYSIS'!J2514</f>
        <v>31.25216</v>
      </c>
      <c r="Q115" s="13" t="n">
        <f aca="false">'04 DETAILED RATE ANALYSIS'!J2515</f>
        <v>39.0652</v>
      </c>
      <c r="R115" s="13" t="n">
        <f aca="false">'04 DETAILED RATE ANALYSIS'!J2517</f>
        <v>0</v>
      </c>
      <c r="S115" s="14" t="n">
        <f aca="false">'04 DETAILED RATE ANALYSIS'!J2518</f>
        <v>461</v>
      </c>
      <c r="T115" s="13" t="n">
        <f aca="false">S115*100</f>
        <v>46100</v>
      </c>
      <c r="U115" s="15" t="str">
        <f aca="false">IF(W115&gt;0,"INCOMPLETE – "&amp;W115&amp;" blank/old input(s)","Market-derived + assumptions")</f>
        <v>Market-derived + assumptions</v>
      </c>
      <c r="V115" s="9" t="s">
        <v>183</v>
      </c>
      <c r="W115" s="13" t="n">
        <f aca="false">'04 DETAILED RATE ANALYSIS'!J2519</f>
        <v>0</v>
      </c>
      <c r="X115" s="9" t="s">
        <v>112</v>
      </c>
      <c r="Y115" s="9" t="s">
        <v>113</v>
      </c>
      <c r="Z115" s="9" t="s">
        <v>114</v>
      </c>
      <c r="AA115" s="5"/>
      <c r="AB115" s="15" t="str">
        <f aca="false">IF(COUNTIF($A$5:$A$999,A115)&gt;1,"DUPLICATE","")</f>
        <v/>
      </c>
    </row>
    <row r="116" customFormat="false" ht="60" hidden="false" customHeight="true" outlineLevel="0" collapsed="false">
      <c r="A116" s="9" t="s">
        <v>605</v>
      </c>
      <c r="B116" s="9" t="s">
        <v>207</v>
      </c>
      <c r="C116" s="9" t="s">
        <v>279</v>
      </c>
      <c r="D116" s="9" t="s">
        <v>606</v>
      </c>
      <c r="E116" s="5" t="s">
        <v>607</v>
      </c>
      <c r="F116" s="5" t="s">
        <v>608</v>
      </c>
      <c r="G116" s="9" t="s">
        <v>212</v>
      </c>
      <c r="H116" s="9" t="str">
        <f aca="false">City</f>
        <v>Lahore</v>
      </c>
      <c r="I116" s="9" t="s">
        <v>110</v>
      </c>
      <c r="J116" s="13" t="n">
        <f aca="false">'04 DETAILED RATE ANALYSIS'!J2526</f>
        <v>200</v>
      </c>
      <c r="K116" s="13" t="n">
        <f aca="false">'04 DETAILED RATE ANALYSIS'!J2529</f>
        <v>0</v>
      </c>
      <c r="L116" s="13" t="n">
        <f aca="false">'04 DETAILED RATE ANALYSIS'!J2530</f>
        <v>0</v>
      </c>
      <c r="M116" s="13" t="n">
        <f aca="false">'04 DETAILED RATE ANALYSIS'!J2531</f>
        <v>0</v>
      </c>
      <c r="N116" s="13" t="n">
        <f aca="false">'04 DETAILED RATE ANALYSIS'!J2527</f>
        <v>0</v>
      </c>
      <c r="O116" s="13" t="n">
        <f aca="false">'04 DETAILED RATE ANALYSIS'!J2532</f>
        <v>200</v>
      </c>
      <c r="P116" s="13" t="n">
        <f aca="false">'04 DETAILED RATE ANALYSIS'!J2533+'04 DETAILED RATE ANALYSIS'!J2534</f>
        <v>16</v>
      </c>
      <c r="Q116" s="13" t="n">
        <f aca="false">'04 DETAILED RATE ANALYSIS'!J2535</f>
        <v>20</v>
      </c>
      <c r="R116" s="13" t="n">
        <f aca="false">'04 DETAILED RATE ANALYSIS'!J2537</f>
        <v>0</v>
      </c>
      <c r="S116" s="14" t="n">
        <f aca="false">'04 DETAILED RATE ANALYSIS'!J2538</f>
        <v>236</v>
      </c>
      <c r="T116" s="13" t="n">
        <f aca="false">S116*100</f>
        <v>23600</v>
      </c>
      <c r="U116" s="15" t="str">
        <f aca="false">IF(W116&gt;0,"INCOMPLETE – "&amp;W116&amp;" blank/old input(s)","Market-derived + assumptions")</f>
        <v>Market-derived + assumptions</v>
      </c>
      <c r="V116" s="9" t="s">
        <v>111</v>
      </c>
      <c r="W116" s="13" t="n">
        <f aca="false">'04 DETAILED RATE ANALYSIS'!J2539</f>
        <v>0</v>
      </c>
      <c r="X116" s="9" t="s">
        <v>112</v>
      </c>
      <c r="Y116" s="9" t="s">
        <v>113</v>
      </c>
      <c r="Z116" s="9" t="s">
        <v>114</v>
      </c>
      <c r="AA116" s="5"/>
      <c r="AB116" s="15" t="str">
        <f aca="false">IF(COUNTIF($A$5:$A$999,A116)&gt;1,"DUPLICATE","")</f>
        <v/>
      </c>
    </row>
    <row r="117" customFormat="false" ht="60" hidden="false" customHeight="true" outlineLevel="0" collapsed="false">
      <c r="A117" s="9" t="s">
        <v>609</v>
      </c>
      <c r="B117" s="9" t="s">
        <v>207</v>
      </c>
      <c r="C117" s="9" t="s">
        <v>279</v>
      </c>
      <c r="D117" s="9" t="s">
        <v>610</v>
      </c>
      <c r="E117" s="5" t="s">
        <v>611</v>
      </c>
      <c r="F117" s="5" t="s">
        <v>612</v>
      </c>
      <c r="G117" s="9" t="s">
        <v>386</v>
      </c>
      <c r="H117" s="9" t="str">
        <f aca="false">City</f>
        <v>Lahore</v>
      </c>
      <c r="I117" s="9" t="s">
        <v>110</v>
      </c>
      <c r="J117" s="13" t="n">
        <f aca="false">'04 DETAILED RATE ANALYSIS'!J2548</f>
        <v>75.0044074074074</v>
      </c>
      <c r="K117" s="13" t="n">
        <f aca="false">'04 DETAILED RATE ANALYSIS'!J2551</f>
        <v>26.92</v>
      </c>
      <c r="L117" s="13" t="n">
        <f aca="false">'04 DETAILED RATE ANALYSIS'!J2552</f>
        <v>0</v>
      </c>
      <c r="M117" s="13" t="n">
        <f aca="false">'04 DETAILED RATE ANALYSIS'!J2553</f>
        <v>0</v>
      </c>
      <c r="N117" s="13" t="n">
        <f aca="false">'04 DETAILED RATE ANALYSIS'!J2549</f>
        <v>4.87178999999999</v>
      </c>
      <c r="O117" s="13" t="n">
        <f aca="false">'04 DETAILED RATE ANALYSIS'!J2554</f>
        <v>106.796197407407</v>
      </c>
      <c r="P117" s="13" t="n">
        <f aca="false">'04 DETAILED RATE ANALYSIS'!J2555+'04 DETAILED RATE ANALYSIS'!J2556</f>
        <v>8.54369579259259</v>
      </c>
      <c r="Q117" s="13" t="n">
        <f aca="false">'04 DETAILED RATE ANALYSIS'!J2557</f>
        <v>10.6796197407407</v>
      </c>
      <c r="R117" s="13" t="n">
        <f aca="false">'04 DETAILED RATE ANALYSIS'!J2559</f>
        <v>0</v>
      </c>
      <c r="S117" s="14" t="n">
        <f aca="false">'04 DETAILED RATE ANALYSIS'!J2560</f>
        <v>126</v>
      </c>
      <c r="T117" s="13" t="n">
        <f aca="false">S117*100</f>
        <v>12600</v>
      </c>
      <c r="U117" s="15" t="str">
        <f aca="false">IF(W117&gt;0,"INCOMPLETE – "&amp;W117&amp;" blank/old input(s)","Market-derived + assumptions")</f>
        <v>Market-derived + assumptions</v>
      </c>
      <c r="V117" s="9" t="s">
        <v>183</v>
      </c>
      <c r="W117" s="13" t="n">
        <f aca="false">'04 DETAILED RATE ANALYSIS'!J2561</f>
        <v>0</v>
      </c>
      <c r="X117" s="9" t="s">
        <v>112</v>
      </c>
      <c r="Y117" s="9" t="s">
        <v>113</v>
      </c>
      <c r="Z117" s="9" t="s">
        <v>114</v>
      </c>
      <c r="AA117" s="5"/>
      <c r="AB117" s="15" t="str">
        <f aca="false">IF(COUNTIF($A$5:$A$999,A117)&gt;1,"DUPLICATE","")</f>
        <v/>
      </c>
    </row>
    <row r="118" customFormat="false" ht="60" hidden="false" customHeight="true" outlineLevel="0" collapsed="false">
      <c r="A118" s="9" t="s">
        <v>613</v>
      </c>
      <c r="B118" s="9" t="s">
        <v>207</v>
      </c>
      <c r="C118" s="9" t="s">
        <v>208</v>
      </c>
      <c r="D118" s="9" t="s">
        <v>614</v>
      </c>
      <c r="E118" s="5" t="s">
        <v>615</v>
      </c>
      <c r="F118" s="5" t="s">
        <v>616</v>
      </c>
      <c r="G118" s="9" t="s">
        <v>212</v>
      </c>
      <c r="H118" s="9" t="str">
        <f aca="false">City</f>
        <v>Lahore</v>
      </c>
      <c r="I118" s="9" t="s">
        <v>110</v>
      </c>
      <c r="J118" s="13" t="n">
        <f aca="false">'04 DETAILED RATE ANALYSIS'!J2569</f>
        <v>30.81</v>
      </c>
      <c r="K118" s="13" t="n">
        <f aca="false">'04 DETAILED RATE ANALYSIS'!J2572</f>
        <v>46.1</v>
      </c>
      <c r="L118" s="13" t="n">
        <f aca="false">'04 DETAILED RATE ANALYSIS'!J2573</f>
        <v>0</v>
      </c>
      <c r="M118" s="13" t="n">
        <f aca="false">'04 DETAILED RATE ANALYSIS'!J2574</f>
        <v>0</v>
      </c>
      <c r="N118" s="13" t="n">
        <f aca="false">'04 DETAILED RATE ANALYSIS'!J2570</f>
        <v>0.803399999999996</v>
      </c>
      <c r="O118" s="13" t="n">
        <f aca="false">'04 DETAILED RATE ANALYSIS'!J2575</f>
        <v>77.7134</v>
      </c>
      <c r="P118" s="13" t="n">
        <f aca="false">'04 DETAILED RATE ANALYSIS'!J2576+'04 DETAILED RATE ANALYSIS'!J2577</f>
        <v>6.217072</v>
      </c>
      <c r="Q118" s="13" t="n">
        <f aca="false">'04 DETAILED RATE ANALYSIS'!J2578</f>
        <v>7.77134</v>
      </c>
      <c r="R118" s="13" t="n">
        <f aca="false">'04 DETAILED RATE ANALYSIS'!J2580</f>
        <v>0</v>
      </c>
      <c r="S118" s="14" t="n">
        <f aca="false">'04 DETAILED RATE ANALYSIS'!J2581</f>
        <v>92</v>
      </c>
      <c r="T118" s="13" t="n">
        <f aca="false">S118*100</f>
        <v>9200</v>
      </c>
      <c r="U118" s="15" t="str">
        <f aca="false">IF(W118&gt;0,"INCOMPLETE – "&amp;W118&amp;" blank/old input(s)","Market-derived + assumptions")</f>
        <v>Market-derived + assumptions</v>
      </c>
      <c r="V118" s="9" t="s">
        <v>183</v>
      </c>
      <c r="W118" s="13" t="n">
        <f aca="false">'04 DETAILED RATE ANALYSIS'!J2582</f>
        <v>0</v>
      </c>
      <c r="X118" s="9" t="s">
        <v>112</v>
      </c>
      <c r="Y118" s="9" t="s">
        <v>113</v>
      </c>
      <c r="Z118" s="9" t="s">
        <v>114</v>
      </c>
      <c r="AA118" s="5"/>
      <c r="AB118" s="15" t="str">
        <f aca="false">IF(COUNTIF($A$5:$A$999,A118)&gt;1,"DUPLICATE","")</f>
        <v/>
      </c>
    </row>
    <row r="119" customFormat="false" ht="60" hidden="false" customHeight="true" outlineLevel="0" collapsed="false">
      <c r="A119" s="9" t="s">
        <v>617</v>
      </c>
      <c r="B119" s="9" t="s">
        <v>207</v>
      </c>
      <c r="C119" s="9" t="s">
        <v>208</v>
      </c>
      <c r="D119" s="9" t="s">
        <v>618</v>
      </c>
      <c r="E119" s="5" t="s">
        <v>619</v>
      </c>
      <c r="F119" s="5" t="s">
        <v>620</v>
      </c>
      <c r="G119" s="9" t="s">
        <v>212</v>
      </c>
      <c r="H119" s="9" t="str">
        <f aca="false">City</f>
        <v>Lahore</v>
      </c>
      <c r="I119" s="9" t="s">
        <v>110</v>
      </c>
      <c r="J119" s="13" t="n">
        <f aca="false">'04 DETAILED RATE ANALYSIS'!J2590</f>
        <v>18.28125</v>
      </c>
      <c r="K119" s="13" t="n">
        <f aca="false">'04 DETAILED RATE ANALYSIS'!J2593</f>
        <v>40.9777777777778</v>
      </c>
      <c r="L119" s="13" t="n">
        <f aca="false">'04 DETAILED RATE ANALYSIS'!J2594</f>
        <v>0</v>
      </c>
      <c r="M119" s="13" t="n">
        <f aca="false">'04 DETAILED RATE ANALYSIS'!J2595</f>
        <v>0</v>
      </c>
      <c r="N119" s="13" t="n">
        <f aca="false">'04 DETAILED RATE ANALYSIS'!J2591</f>
        <v>0.453375000000001</v>
      </c>
      <c r="O119" s="13" t="n">
        <f aca="false">'04 DETAILED RATE ANALYSIS'!J2596</f>
        <v>59.7124027777778</v>
      </c>
      <c r="P119" s="13" t="n">
        <f aca="false">'04 DETAILED RATE ANALYSIS'!J2597+'04 DETAILED RATE ANALYSIS'!J2598</f>
        <v>4.77699222222222</v>
      </c>
      <c r="Q119" s="13" t="n">
        <f aca="false">'04 DETAILED RATE ANALYSIS'!J2599</f>
        <v>5.97124027777778</v>
      </c>
      <c r="R119" s="13" t="n">
        <f aca="false">'04 DETAILED RATE ANALYSIS'!J2601</f>
        <v>0</v>
      </c>
      <c r="S119" s="14" t="n">
        <f aca="false">'04 DETAILED RATE ANALYSIS'!J2602</f>
        <v>70</v>
      </c>
      <c r="T119" s="13" t="n">
        <f aca="false">S119*100</f>
        <v>7000</v>
      </c>
      <c r="U119" s="15" t="str">
        <f aca="false">IF(W119&gt;0,"INCOMPLETE – "&amp;W119&amp;" blank/old input(s)","Market-derived + assumptions")</f>
        <v>Market-derived + assumptions</v>
      </c>
      <c r="V119" s="9" t="s">
        <v>183</v>
      </c>
      <c r="W119" s="13" t="n">
        <f aca="false">'04 DETAILED RATE ANALYSIS'!J2603</f>
        <v>0</v>
      </c>
      <c r="X119" s="9" t="s">
        <v>112</v>
      </c>
      <c r="Y119" s="9" t="s">
        <v>113</v>
      </c>
      <c r="Z119" s="9" t="s">
        <v>114</v>
      </c>
      <c r="AA119" s="5"/>
      <c r="AB119" s="15" t="str">
        <f aca="false">IF(COUNTIF($A$5:$A$999,A119)&gt;1,"DUPLICATE","")</f>
        <v/>
      </c>
    </row>
    <row r="120" customFormat="false" ht="60" hidden="false" customHeight="true" outlineLevel="0" collapsed="false">
      <c r="A120" s="9" t="s">
        <v>621</v>
      </c>
      <c r="B120" s="9" t="s">
        <v>207</v>
      </c>
      <c r="C120" s="9" t="s">
        <v>251</v>
      </c>
      <c r="D120" s="9" t="s">
        <v>622</v>
      </c>
      <c r="E120" s="5" t="s">
        <v>623</v>
      </c>
      <c r="F120" s="5" t="s">
        <v>624</v>
      </c>
      <c r="G120" s="9" t="s">
        <v>212</v>
      </c>
      <c r="H120" s="9" t="str">
        <f aca="false">City</f>
        <v>Lahore</v>
      </c>
      <c r="I120" s="9" t="s">
        <v>110</v>
      </c>
      <c r="J120" s="13" t="n">
        <f aca="false">'04 DETAILED RATE ANALYSIS'!J2611</f>
        <v>42.6391875</v>
      </c>
      <c r="K120" s="13" t="n">
        <f aca="false">'04 DETAILED RATE ANALYSIS'!J2614</f>
        <v>45.8782608695652</v>
      </c>
      <c r="L120" s="13" t="n">
        <f aca="false">'04 DETAILED RATE ANALYSIS'!J2615</f>
        <v>0</v>
      </c>
      <c r="M120" s="13" t="n">
        <f aca="false">'04 DETAILED RATE ANALYSIS'!J2616</f>
        <v>0</v>
      </c>
      <c r="N120" s="13" t="n">
        <f aca="false">'04 DETAILED RATE ANALYSIS'!J2612</f>
        <v>1.05745185</v>
      </c>
      <c r="O120" s="13" t="n">
        <f aca="false">'04 DETAILED RATE ANALYSIS'!J2617</f>
        <v>89.5749002195652</v>
      </c>
      <c r="P120" s="13" t="n">
        <f aca="false">'04 DETAILED RATE ANALYSIS'!J2618+'04 DETAILED RATE ANALYSIS'!J2619</f>
        <v>7.16599201756522</v>
      </c>
      <c r="Q120" s="13" t="n">
        <f aca="false">'04 DETAILED RATE ANALYSIS'!J2620</f>
        <v>8.95749002195652</v>
      </c>
      <c r="R120" s="13" t="n">
        <f aca="false">'04 DETAILED RATE ANALYSIS'!J2622</f>
        <v>0</v>
      </c>
      <c r="S120" s="14" t="n">
        <f aca="false">'04 DETAILED RATE ANALYSIS'!J2623</f>
        <v>106</v>
      </c>
      <c r="T120" s="13" t="n">
        <f aca="false">S120*100</f>
        <v>10600</v>
      </c>
      <c r="U120" s="15" t="str">
        <f aca="false">IF(W120&gt;0,"INCOMPLETE – "&amp;W120&amp;" blank/old input(s)","Market-derived + assumptions")</f>
        <v>Market-derived + assumptions</v>
      </c>
      <c r="V120" s="9" t="s">
        <v>183</v>
      </c>
      <c r="W120" s="13" t="n">
        <f aca="false">'04 DETAILED RATE ANALYSIS'!J2624</f>
        <v>0</v>
      </c>
      <c r="X120" s="9" t="s">
        <v>112</v>
      </c>
      <c r="Y120" s="9" t="s">
        <v>113</v>
      </c>
      <c r="Z120" s="9" t="s">
        <v>114</v>
      </c>
      <c r="AA120" s="5"/>
      <c r="AB120" s="15" t="str">
        <f aca="false">IF(COUNTIF($A$5:$A$999,A120)&gt;1,"DUPLICATE","")</f>
        <v/>
      </c>
    </row>
    <row r="121" customFormat="false" ht="60" hidden="false" customHeight="true" outlineLevel="0" collapsed="false">
      <c r="A121" s="9" t="s">
        <v>625</v>
      </c>
      <c r="B121" s="9" t="s">
        <v>104</v>
      </c>
      <c r="C121" s="9" t="s">
        <v>201</v>
      </c>
      <c r="D121" s="9" t="s">
        <v>626</v>
      </c>
      <c r="E121" s="5" t="s">
        <v>627</v>
      </c>
      <c r="F121" s="5" t="s">
        <v>628</v>
      </c>
      <c r="G121" s="9" t="s">
        <v>109</v>
      </c>
      <c r="H121" s="9" t="str">
        <f aca="false">City</f>
        <v>Lahore</v>
      </c>
      <c r="I121" s="9" t="s">
        <v>110</v>
      </c>
      <c r="J121" s="13" t="n">
        <f aca="false">'04 DETAILED RATE ANALYSIS'!J2633</f>
        <v>338.95</v>
      </c>
      <c r="K121" s="13" t="n">
        <f aca="false">'04 DETAILED RATE ANALYSIS'!J2636</f>
        <v>81.9454545454545</v>
      </c>
      <c r="L121" s="13" t="n">
        <f aca="false">'04 DETAILED RATE ANALYSIS'!J2637</f>
        <v>0</v>
      </c>
      <c r="M121" s="13" t="n">
        <f aca="false">'04 DETAILED RATE ANALYSIS'!J2638</f>
        <v>0</v>
      </c>
      <c r="N121" s="13" t="n">
        <f aca="false">'04 DETAILED RATE ANALYSIS'!J2634</f>
        <v>14.4905000000001</v>
      </c>
      <c r="O121" s="13" t="n">
        <f aca="false">'04 DETAILED RATE ANALYSIS'!J2639</f>
        <v>435.385954545455</v>
      </c>
      <c r="P121" s="13" t="n">
        <f aca="false">'04 DETAILED RATE ANALYSIS'!J2640+'04 DETAILED RATE ANALYSIS'!J2641</f>
        <v>34.8308763636364</v>
      </c>
      <c r="Q121" s="13" t="n">
        <f aca="false">'04 DETAILED RATE ANALYSIS'!J2642</f>
        <v>43.5385954545455</v>
      </c>
      <c r="R121" s="13" t="n">
        <f aca="false">'04 DETAILED RATE ANALYSIS'!J2644</f>
        <v>0</v>
      </c>
      <c r="S121" s="14" t="n">
        <f aca="false">'04 DETAILED RATE ANALYSIS'!J2645</f>
        <v>514</v>
      </c>
      <c r="T121" s="13" t="n">
        <f aca="false">S121*100</f>
        <v>51400</v>
      </c>
      <c r="U121" s="15" t="str">
        <f aca="false">IF(W121&gt;0,"INCOMPLETE – "&amp;W121&amp;" blank/old input(s)","Market-derived + assumptions")</f>
        <v>Market-derived + assumptions</v>
      </c>
      <c r="V121" s="9" t="s">
        <v>183</v>
      </c>
      <c r="W121" s="13" t="n">
        <f aca="false">'04 DETAILED RATE ANALYSIS'!J2646</f>
        <v>0</v>
      </c>
      <c r="X121" s="9" t="s">
        <v>112</v>
      </c>
      <c r="Y121" s="9" t="s">
        <v>113</v>
      </c>
      <c r="Z121" s="9" t="s">
        <v>114</v>
      </c>
      <c r="AA121" s="5"/>
      <c r="AB121" s="15" t="str">
        <f aca="false">IF(COUNTIF($A$5:$A$999,A121)&gt;1,"DUPLICATE","")</f>
        <v/>
      </c>
    </row>
    <row r="122" customFormat="false" ht="60" hidden="false" customHeight="true" outlineLevel="0" collapsed="false">
      <c r="A122" s="9" t="s">
        <v>629</v>
      </c>
      <c r="B122" s="9" t="s">
        <v>104</v>
      </c>
      <c r="C122" s="9" t="s">
        <v>117</v>
      </c>
      <c r="D122" s="9" t="s">
        <v>630</v>
      </c>
      <c r="E122" s="5" t="s">
        <v>631</v>
      </c>
      <c r="F122" s="5" t="s">
        <v>632</v>
      </c>
      <c r="G122" s="9" t="s">
        <v>109</v>
      </c>
      <c r="H122" s="9" t="str">
        <f aca="false">City</f>
        <v>Lahore</v>
      </c>
      <c r="I122" s="9" t="s">
        <v>110</v>
      </c>
      <c r="J122" s="13" t="n">
        <f aca="false">'04 DETAILED RATE ANALYSIS'!J2657</f>
        <v>399.855456</v>
      </c>
      <c r="K122" s="13" t="n">
        <f aca="false">'04 DETAILED RATE ANALYSIS'!J2660</f>
        <v>142.85</v>
      </c>
      <c r="L122" s="13" t="n">
        <f aca="false">'04 DETAILED RATE ANALYSIS'!J2661</f>
        <v>23.3333333333333</v>
      </c>
      <c r="M122" s="13" t="n">
        <f aca="false">'04 DETAILED RATE ANALYSIS'!J2662</f>
        <v>0</v>
      </c>
      <c r="N122" s="13" t="n">
        <f aca="false">'04 DETAILED RATE ANALYSIS'!J2658</f>
        <v>14.0448</v>
      </c>
      <c r="O122" s="13" t="n">
        <f aca="false">'04 DETAILED RATE ANALYSIS'!J2663</f>
        <v>580.083589333333</v>
      </c>
      <c r="P122" s="13" t="n">
        <f aca="false">'04 DETAILED RATE ANALYSIS'!J2664+'04 DETAILED RATE ANALYSIS'!J2665</f>
        <v>46.4066871466667</v>
      </c>
      <c r="Q122" s="13" t="n">
        <f aca="false">'04 DETAILED RATE ANALYSIS'!J2666</f>
        <v>58.0083589333333</v>
      </c>
      <c r="R122" s="13" t="n">
        <f aca="false">'04 DETAILED RATE ANALYSIS'!J2668</f>
        <v>0</v>
      </c>
      <c r="S122" s="14" t="n">
        <f aca="false">'04 DETAILED RATE ANALYSIS'!J2669</f>
        <v>684</v>
      </c>
      <c r="T122" s="13" t="n">
        <f aca="false">S122*100</f>
        <v>68400</v>
      </c>
      <c r="U122" s="15" t="str">
        <f aca="false">IF(W122&gt;0,"INCOMPLETE – "&amp;W122&amp;" blank/old input(s)","Market-derived + assumptions")</f>
        <v>Market-derived + assumptions</v>
      </c>
      <c r="V122" s="9" t="s">
        <v>183</v>
      </c>
      <c r="W122" s="13" t="n">
        <f aca="false">'04 DETAILED RATE ANALYSIS'!J2670</f>
        <v>0</v>
      </c>
      <c r="X122" s="9" t="s">
        <v>112</v>
      </c>
      <c r="Y122" s="9" t="s">
        <v>113</v>
      </c>
      <c r="Z122" s="9" t="s">
        <v>114</v>
      </c>
      <c r="AA122" s="5"/>
      <c r="AB122" s="15" t="str">
        <f aca="false">IF(COUNTIF($A$5:$A$999,A122)&gt;1,"DUPLICATE","")</f>
        <v/>
      </c>
    </row>
    <row r="123" customFormat="false" ht="60" hidden="false" customHeight="true" outlineLevel="0" collapsed="false">
      <c r="A123" s="9" t="s">
        <v>633</v>
      </c>
      <c r="B123" s="9" t="s">
        <v>104</v>
      </c>
      <c r="C123" s="9" t="s">
        <v>219</v>
      </c>
      <c r="D123" s="9" t="s">
        <v>634</v>
      </c>
      <c r="E123" s="5" t="s">
        <v>635</v>
      </c>
      <c r="F123" s="5" t="s">
        <v>636</v>
      </c>
      <c r="G123" s="9" t="s">
        <v>212</v>
      </c>
      <c r="H123" s="9" t="str">
        <f aca="false">City</f>
        <v>Lahore</v>
      </c>
      <c r="I123" s="9" t="s">
        <v>110</v>
      </c>
      <c r="J123" s="13" t="n">
        <f aca="false">'04 DETAILED RATE ANALYSIS'!J2681</f>
        <v>54.5158333333333</v>
      </c>
      <c r="K123" s="13" t="n">
        <f aca="false">'04 DETAILED RATE ANALYSIS'!J2684</f>
        <v>39.38</v>
      </c>
      <c r="L123" s="13" t="n">
        <f aca="false">'04 DETAILED RATE ANALYSIS'!J2685</f>
        <v>10</v>
      </c>
      <c r="M123" s="13" t="n">
        <f aca="false">'04 DETAILED RATE ANALYSIS'!J2686</f>
        <v>0</v>
      </c>
      <c r="N123" s="13" t="n">
        <f aca="false">'04 DETAILED RATE ANALYSIS'!J2682</f>
        <v>2.86458333333334</v>
      </c>
      <c r="O123" s="13" t="n">
        <f aca="false">'04 DETAILED RATE ANALYSIS'!J2687</f>
        <v>106.760416666667</v>
      </c>
      <c r="P123" s="13" t="n">
        <f aca="false">'04 DETAILED RATE ANALYSIS'!J2688+'04 DETAILED RATE ANALYSIS'!J2689</f>
        <v>8.54083333333333</v>
      </c>
      <c r="Q123" s="13" t="n">
        <f aca="false">'04 DETAILED RATE ANALYSIS'!J2690</f>
        <v>10.6760416666667</v>
      </c>
      <c r="R123" s="13" t="n">
        <f aca="false">'04 DETAILED RATE ANALYSIS'!J2692</f>
        <v>0</v>
      </c>
      <c r="S123" s="14" t="n">
        <f aca="false">'04 DETAILED RATE ANALYSIS'!J2693</f>
        <v>126</v>
      </c>
      <c r="T123" s="13" t="n">
        <f aca="false">S123*100</f>
        <v>12600</v>
      </c>
      <c r="U123" s="15" t="str">
        <f aca="false">IF(W123&gt;0,"INCOMPLETE – "&amp;W123&amp;" blank/old input(s)","Market-derived + assumptions")</f>
        <v>Market-derived + assumptions</v>
      </c>
      <c r="V123" s="9" t="s">
        <v>111</v>
      </c>
      <c r="W123" s="13" t="n">
        <f aca="false">'04 DETAILED RATE ANALYSIS'!J2694</f>
        <v>0</v>
      </c>
      <c r="X123" s="9" t="s">
        <v>112</v>
      </c>
      <c r="Y123" s="9" t="s">
        <v>113</v>
      </c>
      <c r="Z123" s="9" t="s">
        <v>114</v>
      </c>
      <c r="AA123" s="5"/>
      <c r="AB123" s="15" t="str">
        <f aca="false">IF(COUNTIF($A$5:$A$999,A123)&gt;1,"DUPLICATE","")</f>
        <v/>
      </c>
    </row>
    <row r="124" customFormat="false" ht="60" hidden="false" customHeight="true" outlineLevel="0" collapsed="false">
      <c r="A124" s="9" t="s">
        <v>637</v>
      </c>
      <c r="B124" s="9" t="s">
        <v>104</v>
      </c>
      <c r="C124" s="9" t="s">
        <v>219</v>
      </c>
      <c r="D124" s="9" t="s">
        <v>638</v>
      </c>
      <c r="E124" s="5" t="s">
        <v>639</v>
      </c>
      <c r="F124" s="5" t="s">
        <v>636</v>
      </c>
      <c r="G124" s="9" t="s">
        <v>212</v>
      </c>
      <c r="H124" s="9" t="str">
        <f aca="false">City</f>
        <v>Lahore</v>
      </c>
      <c r="I124" s="9" t="s">
        <v>110</v>
      </c>
      <c r="J124" s="13" t="n">
        <f aca="false">'04 DETAILED RATE ANALYSIS'!J2704</f>
        <v>54.5158333333333</v>
      </c>
      <c r="K124" s="13" t="n">
        <f aca="false">'04 DETAILED RATE ANALYSIS'!J2707</f>
        <v>30.2923076923077</v>
      </c>
      <c r="L124" s="13" t="n">
        <f aca="false">'04 DETAILED RATE ANALYSIS'!J2708</f>
        <v>0</v>
      </c>
      <c r="M124" s="13" t="n">
        <f aca="false">'04 DETAILED RATE ANALYSIS'!J2709</f>
        <v>0</v>
      </c>
      <c r="N124" s="13" t="n">
        <f aca="false">'04 DETAILED RATE ANALYSIS'!J2705</f>
        <v>2.86458333333334</v>
      </c>
      <c r="O124" s="13" t="n">
        <f aca="false">'04 DETAILED RATE ANALYSIS'!J2710</f>
        <v>87.6727243589744</v>
      </c>
      <c r="P124" s="13" t="n">
        <f aca="false">'04 DETAILED RATE ANALYSIS'!J2711+'04 DETAILED RATE ANALYSIS'!J2712</f>
        <v>7.01381794871795</v>
      </c>
      <c r="Q124" s="13" t="n">
        <f aca="false">'04 DETAILED RATE ANALYSIS'!J2713</f>
        <v>8.76727243589744</v>
      </c>
      <c r="R124" s="13" t="n">
        <f aca="false">'04 DETAILED RATE ANALYSIS'!J2715</f>
        <v>0</v>
      </c>
      <c r="S124" s="14" t="n">
        <f aca="false">'04 DETAILED RATE ANALYSIS'!J2716</f>
        <v>103</v>
      </c>
      <c r="T124" s="13" t="n">
        <f aca="false">S124*100</f>
        <v>10300</v>
      </c>
      <c r="U124" s="15" t="str">
        <f aca="false">IF(W124&gt;0,"INCOMPLETE – "&amp;W124&amp;" blank/old input(s)","Market-derived + assumptions")</f>
        <v>Market-derived + assumptions</v>
      </c>
      <c r="V124" s="9" t="s">
        <v>111</v>
      </c>
      <c r="W124" s="13" t="n">
        <f aca="false">'04 DETAILED RATE ANALYSIS'!J2717</f>
        <v>0</v>
      </c>
      <c r="X124" s="9" t="s">
        <v>112</v>
      </c>
      <c r="Y124" s="9" t="s">
        <v>113</v>
      </c>
      <c r="Z124" s="9" t="s">
        <v>114</v>
      </c>
      <c r="AA124" s="5"/>
      <c r="AB124" s="15" t="str">
        <f aca="false">IF(COUNTIF($A$5:$A$999,A124)&gt;1,"DUPLICATE","")</f>
        <v/>
      </c>
    </row>
    <row r="125" customFormat="false" ht="60" hidden="false" customHeight="true" outlineLevel="0" collapsed="false">
      <c r="A125" s="9" t="s">
        <v>640</v>
      </c>
      <c r="B125" s="9" t="s">
        <v>104</v>
      </c>
      <c r="C125" s="9" t="s">
        <v>194</v>
      </c>
      <c r="D125" s="9" t="s">
        <v>641</v>
      </c>
      <c r="E125" s="5" t="s">
        <v>642</v>
      </c>
      <c r="F125" s="5" t="s">
        <v>643</v>
      </c>
      <c r="G125" s="9" t="s">
        <v>644</v>
      </c>
      <c r="H125" s="9" t="str">
        <f aca="false">City</f>
        <v>Lahore</v>
      </c>
      <c r="I125" s="9" t="s">
        <v>110</v>
      </c>
      <c r="J125" s="13" t="n">
        <f aca="false">'04 DETAILED RATE ANALYSIS'!J2725</f>
        <v>245450</v>
      </c>
      <c r="K125" s="13" t="n">
        <f aca="false">'04 DETAILED RATE ANALYSIS'!J2728</f>
        <v>11077.7777777778</v>
      </c>
      <c r="L125" s="13" t="n">
        <f aca="false">'04 DETAILED RATE ANALYSIS'!J2729</f>
        <v>0</v>
      </c>
      <c r="M125" s="13" t="n">
        <f aca="false">'04 DETAILED RATE ANALYSIS'!J2730</f>
        <v>0</v>
      </c>
      <c r="N125" s="13" t="n">
        <f aca="false">'04 DETAILED RATE ANALYSIS'!J2726</f>
        <v>7260</v>
      </c>
      <c r="O125" s="13" t="n">
        <f aca="false">'04 DETAILED RATE ANALYSIS'!J2731</f>
        <v>263787.777777778</v>
      </c>
      <c r="P125" s="13" t="n">
        <f aca="false">'04 DETAILED RATE ANALYSIS'!J2732+'04 DETAILED RATE ANALYSIS'!J2733</f>
        <v>21103.0222222222</v>
      </c>
      <c r="Q125" s="13" t="n">
        <f aca="false">'04 DETAILED RATE ANALYSIS'!J2734</f>
        <v>26378.7777777778</v>
      </c>
      <c r="R125" s="13" t="n">
        <f aca="false">'04 DETAILED RATE ANALYSIS'!J2736</f>
        <v>0</v>
      </c>
      <c r="S125" s="14" t="n">
        <f aca="false">'04 DETAILED RATE ANALYSIS'!J2737</f>
        <v>311270</v>
      </c>
      <c r="T125" s="13" t="n">
        <f aca="false">S125*100</f>
        <v>31127000</v>
      </c>
      <c r="U125" s="15" t="str">
        <f aca="false">IF(W125&gt;0,"INCOMPLETE – "&amp;W125&amp;" blank/old input(s)","Market-derived + assumptions")</f>
        <v>Market-derived + assumptions</v>
      </c>
      <c r="V125" s="9" t="s">
        <v>183</v>
      </c>
      <c r="W125" s="13" t="n">
        <f aca="false">'04 DETAILED RATE ANALYSIS'!J2738</f>
        <v>0</v>
      </c>
      <c r="X125" s="9" t="s">
        <v>112</v>
      </c>
      <c r="Y125" s="9" t="s">
        <v>113</v>
      </c>
      <c r="Z125" s="9" t="s">
        <v>114</v>
      </c>
      <c r="AA125" s="5"/>
      <c r="AB125" s="15" t="str">
        <f aca="false">IF(COUNTIF($A$5:$A$999,A125)&gt;1,"DUPLICATE","")</f>
        <v/>
      </c>
    </row>
    <row r="126" customFormat="false" ht="60" hidden="false" customHeight="true" outlineLevel="0" collapsed="false">
      <c r="A126" s="9" t="s">
        <v>645</v>
      </c>
      <c r="B126" s="9" t="s">
        <v>104</v>
      </c>
      <c r="C126" s="9" t="s">
        <v>105</v>
      </c>
      <c r="D126" s="9" t="s">
        <v>646</v>
      </c>
      <c r="E126" s="5" t="s">
        <v>647</v>
      </c>
      <c r="F126" s="5" t="s">
        <v>648</v>
      </c>
      <c r="G126" s="9" t="s">
        <v>109</v>
      </c>
      <c r="H126" s="9" t="str">
        <f aca="false">City</f>
        <v>Lahore</v>
      </c>
      <c r="I126" s="9" t="s">
        <v>110</v>
      </c>
      <c r="J126" s="13" t="n">
        <f aca="false">'04 DETAILED RATE ANALYSIS'!J2747</f>
        <v>337.25</v>
      </c>
      <c r="K126" s="13" t="n">
        <f aca="false">'04 DETAILED RATE ANALYSIS'!J2750</f>
        <v>93.5741935483871</v>
      </c>
      <c r="L126" s="13" t="n">
        <f aca="false">'04 DETAILED RATE ANALYSIS'!J2751</f>
        <v>29.7845161290323</v>
      </c>
      <c r="M126" s="13" t="n">
        <f aca="false">'04 DETAILED RATE ANALYSIS'!J2752</f>
        <v>0</v>
      </c>
      <c r="N126" s="13" t="n">
        <f aca="false">'04 DETAILED RATE ANALYSIS'!J2748</f>
        <v>6.745</v>
      </c>
      <c r="O126" s="13" t="n">
        <f aca="false">'04 DETAILED RATE ANALYSIS'!J2753</f>
        <v>467.353709677419</v>
      </c>
      <c r="P126" s="13" t="n">
        <f aca="false">'04 DETAILED RATE ANALYSIS'!J2754+'04 DETAILED RATE ANALYSIS'!J2755</f>
        <v>37.3882967741936</v>
      </c>
      <c r="Q126" s="13" t="n">
        <f aca="false">'04 DETAILED RATE ANALYSIS'!J2756</f>
        <v>46.7353709677419</v>
      </c>
      <c r="R126" s="13" t="n">
        <f aca="false">'04 DETAILED RATE ANALYSIS'!J2758</f>
        <v>0</v>
      </c>
      <c r="S126" s="14" t="n">
        <f aca="false">'04 DETAILED RATE ANALYSIS'!J2759</f>
        <v>551</v>
      </c>
      <c r="T126" s="13" t="n">
        <f aca="false">S126*100</f>
        <v>55100</v>
      </c>
      <c r="U126" s="15" t="str">
        <f aca="false">IF(W126&gt;0,"INCOMPLETE – "&amp;W126&amp;" blank/old input(s)","Market-derived + assumptions")</f>
        <v>Market-derived + assumptions</v>
      </c>
      <c r="V126" s="9" t="s">
        <v>649</v>
      </c>
      <c r="W126" s="13" t="n">
        <f aca="false">'04 DETAILED RATE ANALYSIS'!J2760</f>
        <v>0</v>
      </c>
      <c r="X126" s="9" t="s">
        <v>112</v>
      </c>
      <c r="Y126" s="9" t="s">
        <v>113</v>
      </c>
      <c r="Z126" s="9" t="s">
        <v>114</v>
      </c>
      <c r="AA126" s="5" t="s">
        <v>650</v>
      </c>
      <c r="AB126" s="15" t="str">
        <f aca="false">IF(COUNTIF($A$5:$A$999,A126)&gt;1,"DUPLICATE","")</f>
        <v/>
      </c>
    </row>
    <row r="127" customFormat="false" ht="60" hidden="false" customHeight="true" outlineLevel="0" collapsed="false">
      <c r="A127" s="9" t="s">
        <v>651</v>
      </c>
      <c r="B127" s="9" t="s">
        <v>104</v>
      </c>
      <c r="C127" s="9" t="s">
        <v>105</v>
      </c>
      <c r="D127" s="9" t="s">
        <v>652</v>
      </c>
      <c r="E127" s="5" t="s">
        <v>653</v>
      </c>
      <c r="F127" s="5" t="s">
        <v>648</v>
      </c>
      <c r="G127" s="9" t="s">
        <v>109</v>
      </c>
      <c r="H127" s="9" t="str">
        <f aca="false">City</f>
        <v>Lahore</v>
      </c>
      <c r="I127" s="9" t="s">
        <v>110</v>
      </c>
      <c r="J127" s="13" t="n">
        <f aca="false">'04 DETAILED RATE ANALYSIS'!J2769</f>
        <v>331.31</v>
      </c>
      <c r="K127" s="13" t="n">
        <f aca="false">'04 DETAILED RATE ANALYSIS'!J2772</f>
        <v>93.5741935483871</v>
      </c>
      <c r="L127" s="13" t="n">
        <f aca="false">'04 DETAILED RATE ANALYSIS'!J2773</f>
        <v>29.7845161290323</v>
      </c>
      <c r="M127" s="13" t="n">
        <f aca="false">'04 DETAILED RATE ANALYSIS'!J2774</f>
        <v>0</v>
      </c>
      <c r="N127" s="13" t="n">
        <f aca="false">'04 DETAILED RATE ANALYSIS'!J2770</f>
        <v>6.62619999999998</v>
      </c>
      <c r="O127" s="13" t="n">
        <f aca="false">'04 DETAILED RATE ANALYSIS'!J2775</f>
        <v>461.294909677419</v>
      </c>
      <c r="P127" s="13" t="n">
        <f aca="false">'04 DETAILED RATE ANALYSIS'!J2776+'04 DETAILED RATE ANALYSIS'!J2777</f>
        <v>36.9035927741936</v>
      </c>
      <c r="Q127" s="13" t="n">
        <f aca="false">'04 DETAILED RATE ANALYSIS'!J2778</f>
        <v>46.1294909677419</v>
      </c>
      <c r="R127" s="13" t="n">
        <f aca="false">'04 DETAILED RATE ANALYSIS'!J2780</f>
        <v>0</v>
      </c>
      <c r="S127" s="14" t="n">
        <f aca="false">'04 DETAILED RATE ANALYSIS'!J2781</f>
        <v>544</v>
      </c>
      <c r="T127" s="13" t="n">
        <f aca="false">S127*100</f>
        <v>54400</v>
      </c>
      <c r="U127" s="15" t="str">
        <f aca="false">IF(W127&gt;0,"INCOMPLETE – "&amp;W127&amp;" blank/old input(s)","Market-derived + assumptions")</f>
        <v>Market-derived + assumptions</v>
      </c>
      <c r="V127" s="9" t="s">
        <v>649</v>
      </c>
      <c r="W127" s="13" t="n">
        <f aca="false">'04 DETAILED RATE ANALYSIS'!J2782</f>
        <v>0</v>
      </c>
      <c r="X127" s="9" t="s">
        <v>112</v>
      </c>
      <c r="Y127" s="9" t="s">
        <v>113</v>
      </c>
      <c r="Z127" s="9" t="s">
        <v>114</v>
      </c>
      <c r="AA127" s="5" t="s">
        <v>650</v>
      </c>
      <c r="AB127" s="15" t="str">
        <f aca="false">IF(COUNTIF($A$5:$A$999,A127)&gt;1,"DUPLICATE","")</f>
        <v/>
      </c>
    </row>
    <row r="128" customFormat="false" ht="60" hidden="false" customHeight="true" outlineLevel="0" collapsed="false">
      <c r="A128" s="9" t="s">
        <v>654</v>
      </c>
      <c r="B128" s="9" t="s">
        <v>104</v>
      </c>
      <c r="C128" s="9" t="s">
        <v>105</v>
      </c>
      <c r="D128" s="9" t="s">
        <v>655</v>
      </c>
      <c r="E128" s="5" t="s">
        <v>656</v>
      </c>
      <c r="F128" s="5" t="s">
        <v>648</v>
      </c>
      <c r="G128" s="9" t="s">
        <v>109</v>
      </c>
      <c r="H128" s="9" t="str">
        <f aca="false">City</f>
        <v>Lahore</v>
      </c>
      <c r="I128" s="9" t="s">
        <v>110</v>
      </c>
      <c r="J128" s="13" t="n">
        <f aca="false">'04 DETAILED RATE ANALYSIS'!J2791</f>
        <v>427.58</v>
      </c>
      <c r="K128" s="13" t="n">
        <f aca="false">'04 DETAILED RATE ANALYSIS'!J2794</f>
        <v>93.5741935483871</v>
      </c>
      <c r="L128" s="13" t="n">
        <f aca="false">'04 DETAILED RATE ANALYSIS'!J2795</f>
        <v>29.7845161290323</v>
      </c>
      <c r="M128" s="13" t="n">
        <f aca="false">'04 DETAILED RATE ANALYSIS'!J2796</f>
        <v>0</v>
      </c>
      <c r="N128" s="13" t="n">
        <f aca="false">'04 DETAILED RATE ANALYSIS'!J2792</f>
        <v>8.55160000000001</v>
      </c>
      <c r="O128" s="13" t="n">
        <f aca="false">'04 DETAILED RATE ANALYSIS'!J2797</f>
        <v>559.490309677419</v>
      </c>
      <c r="P128" s="13" t="n">
        <f aca="false">'04 DETAILED RATE ANALYSIS'!J2798+'04 DETAILED RATE ANALYSIS'!J2799</f>
        <v>44.7592247741935</v>
      </c>
      <c r="Q128" s="13" t="n">
        <f aca="false">'04 DETAILED RATE ANALYSIS'!J2800</f>
        <v>55.9490309677419</v>
      </c>
      <c r="R128" s="13" t="n">
        <f aca="false">'04 DETAILED RATE ANALYSIS'!J2802</f>
        <v>0</v>
      </c>
      <c r="S128" s="14" t="n">
        <f aca="false">'04 DETAILED RATE ANALYSIS'!J2803</f>
        <v>660</v>
      </c>
      <c r="T128" s="13" t="n">
        <f aca="false">S128*100</f>
        <v>66000</v>
      </c>
      <c r="U128" s="15" t="str">
        <f aca="false">IF(W128&gt;0,"INCOMPLETE – "&amp;W128&amp;" blank/old input(s)","Market-derived + assumptions")</f>
        <v>Market-derived + assumptions</v>
      </c>
      <c r="V128" s="9" t="s">
        <v>649</v>
      </c>
      <c r="W128" s="13" t="n">
        <f aca="false">'04 DETAILED RATE ANALYSIS'!J2804</f>
        <v>0</v>
      </c>
      <c r="X128" s="9" t="s">
        <v>112</v>
      </c>
      <c r="Y128" s="9" t="s">
        <v>113</v>
      </c>
      <c r="Z128" s="9" t="s">
        <v>114</v>
      </c>
      <c r="AA128" s="5" t="s">
        <v>650</v>
      </c>
      <c r="AB128" s="15" t="str">
        <f aca="false">IF(COUNTIF($A$5:$A$999,A128)&gt;1,"DUPLICATE","")</f>
        <v/>
      </c>
    </row>
    <row r="129" customFormat="false" ht="60" hidden="false" customHeight="true" outlineLevel="0" collapsed="false">
      <c r="A129" s="9" t="s">
        <v>657</v>
      </c>
      <c r="B129" s="9" t="s">
        <v>104</v>
      </c>
      <c r="C129" s="9" t="s">
        <v>117</v>
      </c>
      <c r="D129" s="9" t="s">
        <v>658</v>
      </c>
      <c r="E129" s="5" t="s">
        <v>659</v>
      </c>
      <c r="F129" s="5" t="s">
        <v>648</v>
      </c>
      <c r="G129" s="9" t="s">
        <v>109</v>
      </c>
      <c r="H129" s="9" t="str">
        <f aca="false">City</f>
        <v>Lahore</v>
      </c>
      <c r="I129" s="9" t="s">
        <v>110</v>
      </c>
      <c r="J129" s="13" t="n">
        <f aca="false">'04 DETAILED RATE ANALYSIS'!J2813</f>
        <v>270.03</v>
      </c>
      <c r="K129" s="13" t="n">
        <f aca="false">'04 DETAILED RATE ANALYSIS'!J2816</f>
        <v>93.5741935483871</v>
      </c>
      <c r="L129" s="13" t="n">
        <f aca="false">'04 DETAILED RATE ANALYSIS'!J2817</f>
        <v>29.7845161290323</v>
      </c>
      <c r="M129" s="13" t="n">
        <f aca="false">'04 DETAILED RATE ANALYSIS'!J2818</f>
        <v>0</v>
      </c>
      <c r="N129" s="13" t="n">
        <f aca="false">'04 DETAILED RATE ANALYSIS'!J2814</f>
        <v>5.4006</v>
      </c>
      <c r="O129" s="13" t="n">
        <f aca="false">'04 DETAILED RATE ANALYSIS'!J2819</f>
        <v>398.789309677419</v>
      </c>
      <c r="P129" s="13" t="n">
        <f aca="false">'04 DETAILED RATE ANALYSIS'!J2820+'04 DETAILED RATE ANALYSIS'!J2821</f>
        <v>31.9031447741936</v>
      </c>
      <c r="Q129" s="13" t="n">
        <f aca="false">'04 DETAILED RATE ANALYSIS'!J2822</f>
        <v>39.8789309677419</v>
      </c>
      <c r="R129" s="13" t="n">
        <f aca="false">'04 DETAILED RATE ANALYSIS'!J2824</f>
        <v>0</v>
      </c>
      <c r="S129" s="14" t="n">
        <f aca="false">'04 DETAILED RATE ANALYSIS'!J2825</f>
        <v>471</v>
      </c>
      <c r="T129" s="13" t="n">
        <f aca="false">S129*100</f>
        <v>47100</v>
      </c>
      <c r="U129" s="15" t="str">
        <f aca="false">IF(W129&gt;0,"INCOMPLETE – "&amp;W129&amp;" blank/old input(s)","Market-derived + assumptions")</f>
        <v>Market-derived + assumptions</v>
      </c>
      <c r="V129" s="9" t="s">
        <v>649</v>
      </c>
      <c r="W129" s="13" t="n">
        <f aca="false">'04 DETAILED RATE ANALYSIS'!J2826</f>
        <v>0</v>
      </c>
      <c r="X129" s="9" t="s">
        <v>112</v>
      </c>
      <c r="Y129" s="9" t="s">
        <v>113</v>
      </c>
      <c r="Z129" s="9" t="s">
        <v>114</v>
      </c>
      <c r="AA129" s="5" t="s">
        <v>650</v>
      </c>
      <c r="AB129" s="15" t="str">
        <f aca="false">IF(COUNTIF($A$5:$A$999,A129)&gt;1,"DUPLICATE","")</f>
        <v/>
      </c>
    </row>
    <row r="130" customFormat="false" ht="21.75" hidden="false" customHeight="true" outlineLevel="0" collapsed="false">
      <c r="A130" s="9" t="s">
        <v>660</v>
      </c>
      <c r="B130" s="9" t="s">
        <v>104</v>
      </c>
      <c r="C130" s="9" t="s">
        <v>105</v>
      </c>
      <c r="D130" s="9" t="s">
        <v>661</v>
      </c>
      <c r="E130" s="5" t="s">
        <v>662</v>
      </c>
      <c r="F130" s="5" t="s">
        <v>663</v>
      </c>
      <c r="G130" s="9" t="s">
        <v>109</v>
      </c>
      <c r="H130" s="9" t="str">
        <f aca="false">City</f>
        <v>Lahore</v>
      </c>
      <c r="I130" s="9" t="s">
        <v>110</v>
      </c>
      <c r="J130" s="13" t="n">
        <f aca="false">'04 DETAILED RATE ANALYSIS'!J2831</f>
        <v>0</v>
      </c>
      <c r="K130" s="13" t="n">
        <f aca="false">'04 DETAILED RATE ANALYSIS'!J2834</f>
        <v>60.9</v>
      </c>
      <c r="L130" s="13" t="n">
        <f aca="false">'04 DETAILED RATE ANALYSIS'!J2835</f>
        <v>0</v>
      </c>
      <c r="M130" s="13" t="n">
        <f aca="false">'04 DETAILED RATE ANALYSIS'!J2836</f>
        <v>0</v>
      </c>
      <c r="N130" s="13" t="n">
        <f aca="false">'04 DETAILED RATE ANALYSIS'!J2832</f>
        <v>0</v>
      </c>
      <c r="O130" s="13" t="n">
        <f aca="false">'04 DETAILED RATE ANALYSIS'!J2837</f>
        <v>60.9</v>
      </c>
      <c r="P130" s="13" t="n">
        <f aca="false">'04 DETAILED RATE ANALYSIS'!J2838+'04 DETAILED RATE ANALYSIS'!J2839</f>
        <v>4.872</v>
      </c>
      <c r="Q130" s="13" t="n">
        <f aca="false">'04 DETAILED RATE ANALYSIS'!J2840</f>
        <v>6.09</v>
      </c>
      <c r="R130" s="13" t="n">
        <f aca="false">'04 DETAILED RATE ANALYSIS'!J2842</f>
        <v>0</v>
      </c>
      <c r="S130" s="14" t="n">
        <f aca="false">'04 DETAILED RATE ANALYSIS'!J2843</f>
        <v>72</v>
      </c>
      <c r="T130" s="13" t="n">
        <f aca="false">S130*100</f>
        <v>7200</v>
      </c>
      <c r="U130" s="10" t="str">
        <f aca="false">IF(W130&gt;0,"INCOMPLETE – "&amp;W130&amp;" blank/old input(s)","Market-derived + assumptions")</f>
        <v>Market-derived + assumptions</v>
      </c>
      <c r="V130" s="9" t="s">
        <v>183</v>
      </c>
      <c r="W130" s="13" t="n">
        <f aca="false">'04 DETAILED RATE ANALYSIS'!J2844</f>
        <v>0</v>
      </c>
      <c r="X130" s="9" t="s">
        <v>664</v>
      </c>
      <c r="Y130" s="9" t="s">
        <v>110</v>
      </c>
      <c r="Z130" s="9" t="s">
        <v>114</v>
      </c>
      <c r="AA130" s="5" t="s">
        <v>665</v>
      </c>
      <c r="AB130" s="10" t="str">
        <f aca="false">IF(COUNTIF($A$5:$A$999,A130)&gt;1,"DUPLICATE","")</f>
        <v/>
      </c>
    </row>
    <row r="131" customFormat="false" ht="21.75" hidden="false" customHeight="true" outlineLevel="0" collapsed="false">
      <c r="A131" s="9" t="s">
        <v>666</v>
      </c>
      <c r="B131" s="9" t="s">
        <v>104</v>
      </c>
      <c r="C131" s="9" t="s">
        <v>201</v>
      </c>
      <c r="D131" s="9" t="s">
        <v>661</v>
      </c>
      <c r="E131" s="5" t="s">
        <v>667</v>
      </c>
      <c r="F131" s="5" t="s">
        <v>663</v>
      </c>
      <c r="G131" s="9" t="s">
        <v>109</v>
      </c>
      <c r="H131" s="9" t="str">
        <f aca="false">City</f>
        <v>Lahore</v>
      </c>
      <c r="I131" s="9" t="s">
        <v>110</v>
      </c>
      <c r="J131" s="13" t="n">
        <f aca="false">'04 DETAILED RATE ANALYSIS'!J2849</f>
        <v>0</v>
      </c>
      <c r="K131" s="13" t="n">
        <f aca="false">'04 DETAILED RATE ANALYSIS'!J2852</f>
        <v>17.9345</v>
      </c>
      <c r="L131" s="13" t="n">
        <f aca="false">'04 DETAILED RATE ANALYSIS'!J2853</f>
        <v>0</v>
      </c>
      <c r="M131" s="13" t="n">
        <f aca="false">'04 DETAILED RATE ANALYSIS'!J2854</f>
        <v>0</v>
      </c>
      <c r="N131" s="13" t="n">
        <f aca="false">'04 DETAILED RATE ANALYSIS'!J2850</f>
        <v>0</v>
      </c>
      <c r="O131" s="13" t="n">
        <f aca="false">'04 DETAILED RATE ANALYSIS'!J2855</f>
        <v>17.9345</v>
      </c>
      <c r="P131" s="13" t="n">
        <f aca="false">'04 DETAILED RATE ANALYSIS'!J2856+'04 DETAILED RATE ANALYSIS'!J2857</f>
        <v>1.43476</v>
      </c>
      <c r="Q131" s="13" t="n">
        <f aca="false">'04 DETAILED RATE ANALYSIS'!J2858</f>
        <v>1.79345</v>
      </c>
      <c r="R131" s="13" t="n">
        <f aca="false">'04 DETAILED RATE ANALYSIS'!J2860</f>
        <v>0</v>
      </c>
      <c r="S131" s="14" t="n">
        <f aca="false">'04 DETAILED RATE ANALYSIS'!J2861</f>
        <v>21</v>
      </c>
      <c r="T131" s="13" t="n">
        <f aca="false">S131*100</f>
        <v>2100</v>
      </c>
      <c r="U131" s="10" t="str">
        <f aca="false">IF(W131&gt;0,"INCOMPLETE – "&amp;W131&amp;" blank/old input(s)","Market-derived + assumptions")</f>
        <v>Market-derived + assumptions</v>
      </c>
      <c r="V131" s="9" t="s">
        <v>183</v>
      </c>
      <c r="W131" s="13" t="n">
        <f aca="false">'04 DETAILED RATE ANALYSIS'!J2862</f>
        <v>0</v>
      </c>
      <c r="X131" s="9" t="s">
        <v>664</v>
      </c>
      <c r="Y131" s="9" t="s">
        <v>110</v>
      </c>
      <c r="Z131" s="9" t="s">
        <v>114</v>
      </c>
      <c r="AA131" s="5" t="s">
        <v>668</v>
      </c>
      <c r="AB131" s="10" t="str">
        <f aca="false">IF(COUNTIF($A$5:$A$999,A131)&gt;1,"DUPLICATE","")</f>
        <v/>
      </c>
    </row>
    <row r="132" customFormat="false" ht="21.75" hidden="false" customHeight="true" outlineLevel="0" collapsed="false">
      <c r="A132" s="9" t="s">
        <v>669</v>
      </c>
      <c r="B132" s="9" t="s">
        <v>104</v>
      </c>
      <c r="C132" s="9" t="s">
        <v>201</v>
      </c>
      <c r="D132" s="9" t="s">
        <v>661</v>
      </c>
      <c r="E132" s="5" t="s">
        <v>670</v>
      </c>
      <c r="F132" s="5" t="s">
        <v>663</v>
      </c>
      <c r="G132" s="9" t="s">
        <v>109</v>
      </c>
      <c r="H132" s="9" t="str">
        <f aca="false">City</f>
        <v>Lahore</v>
      </c>
      <c r="I132" s="9" t="s">
        <v>110</v>
      </c>
      <c r="J132" s="13" t="n">
        <f aca="false">'04 DETAILED RATE ANALYSIS'!J2867</f>
        <v>0</v>
      </c>
      <c r="K132" s="13" t="n">
        <f aca="false">'04 DETAILED RATE ANALYSIS'!J2870</f>
        <v>40.269</v>
      </c>
      <c r="L132" s="13" t="n">
        <f aca="false">'04 DETAILED RATE ANALYSIS'!J2871</f>
        <v>0</v>
      </c>
      <c r="M132" s="13" t="n">
        <f aca="false">'04 DETAILED RATE ANALYSIS'!J2872</f>
        <v>0</v>
      </c>
      <c r="N132" s="13" t="n">
        <f aca="false">'04 DETAILED RATE ANALYSIS'!J2868</f>
        <v>0</v>
      </c>
      <c r="O132" s="13" t="n">
        <f aca="false">'04 DETAILED RATE ANALYSIS'!J2873</f>
        <v>40.269</v>
      </c>
      <c r="P132" s="13" t="n">
        <f aca="false">'04 DETAILED RATE ANALYSIS'!J2874+'04 DETAILED RATE ANALYSIS'!J2875</f>
        <v>3.22152</v>
      </c>
      <c r="Q132" s="13" t="n">
        <f aca="false">'04 DETAILED RATE ANALYSIS'!J2876</f>
        <v>4.0269</v>
      </c>
      <c r="R132" s="13" t="n">
        <f aca="false">'04 DETAILED RATE ANALYSIS'!J2878</f>
        <v>0</v>
      </c>
      <c r="S132" s="14" t="n">
        <f aca="false">'04 DETAILED RATE ANALYSIS'!J2879</f>
        <v>48</v>
      </c>
      <c r="T132" s="13" t="n">
        <f aca="false">S132*100</f>
        <v>4800</v>
      </c>
      <c r="U132" s="10" t="str">
        <f aca="false">IF(W132&gt;0,"INCOMPLETE – "&amp;W132&amp;" blank/old input(s)","Market-derived + assumptions")</f>
        <v>Market-derived + assumptions</v>
      </c>
      <c r="V132" s="9" t="s">
        <v>183</v>
      </c>
      <c r="W132" s="13" t="n">
        <f aca="false">'04 DETAILED RATE ANALYSIS'!J2880</f>
        <v>0</v>
      </c>
      <c r="X132" s="9" t="s">
        <v>664</v>
      </c>
      <c r="Y132" s="9" t="s">
        <v>110</v>
      </c>
      <c r="Z132" s="9" t="s">
        <v>114</v>
      </c>
      <c r="AA132" s="5" t="s">
        <v>671</v>
      </c>
      <c r="AB132" s="10" t="str">
        <f aca="false">IF(COUNTIF($A$5:$A$999,A132)&gt;1,"DUPLICATE","")</f>
        <v/>
      </c>
    </row>
    <row r="133" customFormat="false" ht="21.75" hidden="false" customHeight="true" outlineLevel="0" collapsed="false">
      <c r="A133" s="9" t="s">
        <v>672</v>
      </c>
      <c r="B133" s="9" t="s">
        <v>104</v>
      </c>
      <c r="C133" s="9" t="s">
        <v>201</v>
      </c>
      <c r="D133" s="9" t="s">
        <v>661</v>
      </c>
      <c r="E133" s="5" t="s">
        <v>673</v>
      </c>
      <c r="F133" s="5" t="s">
        <v>663</v>
      </c>
      <c r="G133" s="9" t="s">
        <v>109</v>
      </c>
      <c r="H133" s="9" t="str">
        <f aca="false">City</f>
        <v>Lahore</v>
      </c>
      <c r="I133" s="9" t="s">
        <v>110</v>
      </c>
      <c r="J133" s="13" t="n">
        <f aca="false">'04 DETAILED RATE ANALYSIS'!J2885</f>
        <v>0</v>
      </c>
      <c r="K133" s="13" t="n">
        <f aca="false">'04 DETAILED RATE ANALYSIS'!J2888</f>
        <v>62.603</v>
      </c>
      <c r="L133" s="13" t="n">
        <f aca="false">'04 DETAILED RATE ANALYSIS'!J2889</f>
        <v>0</v>
      </c>
      <c r="M133" s="13" t="n">
        <f aca="false">'04 DETAILED RATE ANALYSIS'!J2890</f>
        <v>0</v>
      </c>
      <c r="N133" s="13" t="n">
        <f aca="false">'04 DETAILED RATE ANALYSIS'!J2886</f>
        <v>0</v>
      </c>
      <c r="O133" s="13" t="n">
        <f aca="false">'04 DETAILED RATE ANALYSIS'!J2891</f>
        <v>62.603</v>
      </c>
      <c r="P133" s="13" t="n">
        <f aca="false">'04 DETAILED RATE ANALYSIS'!J2892+'04 DETAILED RATE ANALYSIS'!J2893</f>
        <v>5.00824</v>
      </c>
      <c r="Q133" s="13" t="n">
        <f aca="false">'04 DETAILED RATE ANALYSIS'!J2894</f>
        <v>6.2603</v>
      </c>
      <c r="R133" s="13" t="n">
        <f aca="false">'04 DETAILED RATE ANALYSIS'!J2896</f>
        <v>0</v>
      </c>
      <c r="S133" s="14" t="n">
        <f aca="false">'04 DETAILED RATE ANALYSIS'!J2897</f>
        <v>74</v>
      </c>
      <c r="T133" s="13" t="n">
        <f aca="false">S133*100</f>
        <v>7400</v>
      </c>
      <c r="U133" s="10" t="str">
        <f aca="false">IF(W133&gt;0,"INCOMPLETE – "&amp;W133&amp;" blank/old input(s)","Market-derived + assumptions")</f>
        <v>Market-derived + assumptions</v>
      </c>
      <c r="V133" s="9" t="s">
        <v>183</v>
      </c>
      <c r="W133" s="13" t="n">
        <f aca="false">'04 DETAILED RATE ANALYSIS'!J2898</f>
        <v>0</v>
      </c>
      <c r="X133" s="9" t="s">
        <v>664</v>
      </c>
      <c r="Y133" s="9" t="s">
        <v>110</v>
      </c>
      <c r="Z133" s="9" t="s">
        <v>114</v>
      </c>
      <c r="AA133" s="5" t="s">
        <v>674</v>
      </c>
      <c r="AB133" s="10" t="str">
        <f aca="false">IF(COUNTIF($A$5:$A$999,A133)&gt;1,"DUPLICATE","")</f>
        <v/>
      </c>
    </row>
    <row r="134" customFormat="false" ht="21.75" hidden="false" customHeight="true" outlineLevel="0" collapsed="false">
      <c r="A134" s="9" t="s">
        <v>675</v>
      </c>
      <c r="B134" s="9" t="s">
        <v>104</v>
      </c>
      <c r="C134" s="9" t="s">
        <v>201</v>
      </c>
      <c r="D134" s="9" t="s">
        <v>661</v>
      </c>
      <c r="E134" s="5" t="s">
        <v>676</v>
      </c>
      <c r="F134" s="5" t="s">
        <v>663</v>
      </c>
      <c r="G134" s="9" t="s">
        <v>109</v>
      </c>
      <c r="H134" s="9" t="str">
        <f aca="false">City</f>
        <v>Lahore</v>
      </c>
      <c r="I134" s="9" t="s">
        <v>110</v>
      </c>
      <c r="J134" s="13" t="n">
        <f aca="false">'04 DETAILED RATE ANALYSIS'!J2903</f>
        <v>0</v>
      </c>
      <c r="K134" s="13" t="n">
        <f aca="false">'04 DETAILED RATE ANALYSIS'!J2906</f>
        <v>100.505</v>
      </c>
      <c r="L134" s="13" t="n">
        <f aca="false">'04 DETAILED RATE ANALYSIS'!J2907</f>
        <v>0</v>
      </c>
      <c r="M134" s="13" t="n">
        <f aca="false">'04 DETAILED RATE ANALYSIS'!J2908</f>
        <v>0</v>
      </c>
      <c r="N134" s="13" t="n">
        <f aca="false">'04 DETAILED RATE ANALYSIS'!J2904</f>
        <v>0</v>
      </c>
      <c r="O134" s="13" t="n">
        <f aca="false">'04 DETAILED RATE ANALYSIS'!J2909</f>
        <v>100.505</v>
      </c>
      <c r="P134" s="13" t="n">
        <f aca="false">'04 DETAILED RATE ANALYSIS'!J2910+'04 DETAILED RATE ANALYSIS'!J2911</f>
        <v>8.0404</v>
      </c>
      <c r="Q134" s="13" t="n">
        <f aca="false">'04 DETAILED RATE ANALYSIS'!J2912</f>
        <v>10.0505</v>
      </c>
      <c r="R134" s="13" t="n">
        <f aca="false">'04 DETAILED RATE ANALYSIS'!J2914</f>
        <v>0</v>
      </c>
      <c r="S134" s="14" t="n">
        <f aca="false">'04 DETAILED RATE ANALYSIS'!J2915</f>
        <v>119</v>
      </c>
      <c r="T134" s="13" t="n">
        <f aca="false">S134*100</f>
        <v>11900</v>
      </c>
      <c r="U134" s="10" t="str">
        <f aca="false">IF(W134&gt;0,"INCOMPLETE – "&amp;W134&amp;" blank/old input(s)","Market-derived + assumptions")</f>
        <v>Market-derived + assumptions</v>
      </c>
      <c r="V134" s="9" t="s">
        <v>183</v>
      </c>
      <c r="W134" s="13" t="n">
        <f aca="false">'04 DETAILED RATE ANALYSIS'!J2916</f>
        <v>0</v>
      </c>
      <c r="X134" s="9" t="s">
        <v>664</v>
      </c>
      <c r="Y134" s="9" t="s">
        <v>110</v>
      </c>
      <c r="Z134" s="9" t="s">
        <v>114</v>
      </c>
      <c r="AA134" s="5" t="s">
        <v>677</v>
      </c>
      <c r="AB134" s="10" t="str">
        <f aca="false">IF(COUNTIF($A$5:$A$999,A134)&gt;1,"DUPLICATE","")</f>
        <v/>
      </c>
    </row>
    <row r="135" customFormat="false" ht="21.75" hidden="false" customHeight="true" outlineLevel="0" collapsed="false">
      <c r="A135" s="9" t="s">
        <v>678</v>
      </c>
      <c r="B135" s="9" t="s">
        <v>104</v>
      </c>
      <c r="C135" s="9" t="s">
        <v>201</v>
      </c>
      <c r="D135" s="9" t="s">
        <v>661</v>
      </c>
      <c r="E135" s="5" t="s">
        <v>679</v>
      </c>
      <c r="F135" s="5" t="s">
        <v>663</v>
      </c>
      <c r="G135" s="9" t="s">
        <v>109</v>
      </c>
      <c r="H135" s="9" t="str">
        <f aca="false">City</f>
        <v>Lahore</v>
      </c>
      <c r="I135" s="9" t="s">
        <v>110</v>
      </c>
      <c r="J135" s="13" t="n">
        <f aca="false">'04 DETAILED RATE ANALYSIS'!J2921</f>
        <v>0</v>
      </c>
      <c r="K135" s="13" t="n">
        <f aca="false">'04 DETAILED RATE ANALYSIS'!J2924</f>
        <v>10.7605</v>
      </c>
      <c r="L135" s="13" t="n">
        <f aca="false">'04 DETAILED RATE ANALYSIS'!J2925</f>
        <v>0</v>
      </c>
      <c r="M135" s="13" t="n">
        <f aca="false">'04 DETAILED RATE ANALYSIS'!J2926</f>
        <v>0</v>
      </c>
      <c r="N135" s="13" t="n">
        <f aca="false">'04 DETAILED RATE ANALYSIS'!J2922</f>
        <v>0</v>
      </c>
      <c r="O135" s="13" t="n">
        <f aca="false">'04 DETAILED RATE ANALYSIS'!J2927</f>
        <v>10.7605</v>
      </c>
      <c r="P135" s="13" t="n">
        <f aca="false">'04 DETAILED RATE ANALYSIS'!J2928+'04 DETAILED RATE ANALYSIS'!J2929</f>
        <v>0.86084</v>
      </c>
      <c r="Q135" s="13" t="n">
        <f aca="false">'04 DETAILED RATE ANALYSIS'!J2930</f>
        <v>1.07605</v>
      </c>
      <c r="R135" s="13" t="n">
        <f aca="false">'04 DETAILED RATE ANALYSIS'!J2932</f>
        <v>0</v>
      </c>
      <c r="S135" s="14" t="n">
        <f aca="false">'04 DETAILED RATE ANALYSIS'!J2933</f>
        <v>13</v>
      </c>
      <c r="T135" s="13" t="n">
        <f aca="false">S135*100</f>
        <v>1300</v>
      </c>
      <c r="U135" s="10" t="str">
        <f aca="false">IF(W135&gt;0,"INCOMPLETE – "&amp;W135&amp;" blank/old input(s)","Market-derived + assumptions")</f>
        <v>Market-derived + assumptions</v>
      </c>
      <c r="V135" s="9" t="s">
        <v>183</v>
      </c>
      <c r="W135" s="13" t="n">
        <f aca="false">'04 DETAILED RATE ANALYSIS'!J2934</f>
        <v>0</v>
      </c>
      <c r="X135" s="9" t="s">
        <v>664</v>
      </c>
      <c r="Y135" s="9" t="s">
        <v>110</v>
      </c>
      <c r="Z135" s="9" t="s">
        <v>114</v>
      </c>
      <c r="AA135" s="5" t="s">
        <v>680</v>
      </c>
      <c r="AB135" s="10" t="str">
        <f aca="false">IF(COUNTIF($A$5:$A$999,A135)&gt;1,"DUPLICATE","")</f>
        <v/>
      </c>
    </row>
    <row r="136" customFormat="false" ht="21.75" hidden="false" customHeight="true" outlineLevel="0" collapsed="false">
      <c r="A136" s="9" t="s">
        <v>681</v>
      </c>
      <c r="B136" s="9" t="s">
        <v>207</v>
      </c>
      <c r="C136" s="9" t="s">
        <v>208</v>
      </c>
      <c r="D136" s="9" t="s">
        <v>661</v>
      </c>
      <c r="E136" s="5" t="s">
        <v>682</v>
      </c>
      <c r="F136" s="5" t="s">
        <v>663</v>
      </c>
      <c r="G136" s="9" t="s">
        <v>212</v>
      </c>
      <c r="H136" s="9" t="str">
        <f aca="false">City</f>
        <v>Lahore</v>
      </c>
      <c r="I136" s="9" t="s">
        <v>110</v>
      </c>
      <c r="J136" s="13" t="n">
        <f aca="false">'04 DETAILED RATE ANALYSIS'!J2939</f>
        <v>0</v>
      </c>
      <c r="K136" s="13" t="n">
        <f aca="false">'04 DETAILED RATE ANALYSIS'!J2942</f>
        <v>6.5945</v>
      </c>
      <c r="L136" s="13" t="n">
        <f aca="false">'04 DETAILED RATE ANALYSIS'!J2943</f>
        <v>0</v>
      </c>
      <c r="M136" s="13" t="n">
        <f aca="false">'04 DETAILED RATE ANALYSIS'!J2944</f>
        <v>0</v>
      </c>
      <c r="N136" s="13" t="n">
        <f aca="false">'04 DETAILED RATE ANALYSIS'!J2940</f>
        <v>0</v>
      </c>
      <c r="O136" s="13" t="n">
        <f aca="false">'04 DETAILED RATE ANALYSIS'!J2945</f>
        <v>6.5945</v>
      </c>
      <c r="P136" s="13" t="n">
        <f aca="false">'04 DETAILED RATE ANALYSIS'!J2946+'04 DETAILED RATE ANALYSIS'!J2947</f>
        <v>0.52756</v>
      </c>
      <c r="Q136" s="13" t="n">
        <f aca="false">'04 DETAILED RATE ANALYSIS'!J2948</f>
        <v>0.65945</v>
      </c>
      <c r="R136" s="13" t="n">
        <f aca="false">'04 DETAILED RATE ANALYSIS'!J2950</f>
        <v>0</v>
      </c>
      <c r="S136" s="14" t="n">
        <f aca="false">'04 DETAILED RATE ANALYSIS'!J2951</f>
        <v>8</v>
      </c>
      <c r="T136" s="13" t="n">
        <f aca="false">S136*100</f>
        <v>800</v>
      </c>
      <c r="U136" s="10" t="str">
        <f aca="false">IF(W136&gt;0,"INCOMPLETE – "&amp;W136&amp;" blank/old input(s)","Market-derived + assumptions")</f>
        <v>Market-derived + assumptions</v>
      </c>
      <c r="V136" s="9" t="s">
        <v>183</v>
      </c>
      <c r="W136" s="13" t="n">
        <f aca="false">'04 DETAILED RATE ANALYSIS'!J2952</f>
        <v>0</v>
      </c>
      <c r="X136" s="9" t="s">
        <v>664</v>
      </c>
      <c r="Y136" s="9" t="s">
        <v>110</v>
      </c>
      <c r="Z136" s="9" t="s">
        <v>114</v>
      </c>
      <c r="AA136" s="5" t="s">
        <v>683</v>
      </c>
      <c r="AB136" s="10" t="str">
        <f aca="false">IF(COUNTIF($A$5:$A$999,A136)&gt;1,"DUPLICATE","")</f>
        <v/>
      </c>
    </row>
    <row r="137" customFormat="false" ht="21.75" hidden="false" customHeight="true" outlineLevel="0" collapsed="false">
      <c r="A137" s="9" t="s">
        <v>684</v>
      </c>
      <c r="B137" s="9" t="s">
        <v>207</v>
      </c>
      <c r="C137" s="9" t="s">
        <v>279</v>
      </c>
      <c r="D137" s="9" t="s">
        <v>661</v>
      </c>
      <c r="E137" s="5" t="s">
        <v>685</v>
      </c>
      <c r="F137" s="5" t="s">
        <v>663</v>
      </c>
      <c r="G137" s="9" t="s">
        <v>212</v>
      </c>
      <c r="H137" s="9" t="str">
        <f aca="false">City</f>
        <v>Lahore</v>
      </c>
      <c r="I137" s="9" t="s">
        <v>110</v>
      </c>
      <c r="J137" s="13" t="n">
        <f aca="false">'04 DETAILED RATE ANALYSIS'!J2957</f>
        <v>0</v>
      </c>
      <c r="K137" s="13" t="n">
        <f aca="false">'04 DETAILED RATE ANALYSIS'!J2960</f>
        <v>12.181</v>
      </c>
      <c r="L137" s="13" t="n">
        <f aca="false">'04 DETAILED RATE ANALYSIS'!J2961</f>
        <v>0</v>
      </c>
      <c r="M137" s="13" t="n">
        <f aca="false">'04 DETAILED RATE ANALYSIS'!J2962</f>
        <v>0</v>
      </c>
      <c r="N137" s="13" t="n">
        <f aca="false">'04 DETAILED RATE ANALYSIS'!J2958</f>
        <v>0</v>
      </c>
      <c r="O137" s="13" t="n">
        <f aca="false">'04 DETAILED RATE ANALYSIS'!J2963</f>
        <v>12.181</v>
      </c>
      <c r="P137" s="13" t="n">
        <f aca="false">'04 DETAILED RATE ANALYSIS'!J2964+'04 DETAILED RATE ANALYSIS'!J2965</f>
        <v>0.97448</v>
      </c>
      <c r="Q137" s="13" t="n">
        <f aca="false">'04 DETAILED RATE ANALYSIS'!J2966</f>
        <v>1.2181</v>
      </c>
      <c r="R137" s="13" t="n">
        <f aca="false">'04 DETAILED RATE ANALYSIS'!J2968</f>
        <v>0</v>
      </c>
      <c r="S137" s="14" t="n">
        <f aca="false">'04 DETAILED RATE ANALYSIS'!J2969</f>
        <v>14</v>
      </c>
      <c r="T137" s="13" t="n">
        <f aca="false">S137*100</f>
        <v>1400</v>
      </c>
      <c r="U137" s="10" t="str">
        <f aca="false">IF(W137&gt;0,"INCOMPLETE – "&amp;W137&amp;" blank/old input(s)","Market-derived + assumptions")</f>
        <v>Market-derived + assumptions</v>
      </c>
      <c r="V137" s="9" t="s">
        <v>183</v>
      </c>
      <c r="W137" s="13" t="n">
        <f aca="false">'04 DETAILED RATE ANALYSIS'!J2970</f>
        <v>0</v>
      </c>
      <c r="X137" s="9" t="s">
        <v>664</v>
      </c>
      <c r="Y137" s="9" t="s">
        <v>110</v>
      </c>
      <c r="Z137" s="9" t="s">
        <v>114</v>
      </c>
      <c r="AA137" s="5" t="s">
        <v>686</v>
      </c>
      <c r="AB137" s="10" t="str">
        <f aca="false">IF(COUNTIF($A$5:$A$999,A137)&gt;1,"DUPLICATE","")</f>
        <v/>
      </c>
    </row>
    <row r="138" customFormat="false" ht="21.75" hidden="false" customHeight="true" outlineLevel="0" collapsed="false">
      <c r="A138" s="9" t="s">
        <v>687</v>
      </c>
      <c r="B138" s="9" t="s">
        <v>688</v>
      </c>
      <c r="C138" s="9" t="s">
        <v>423</v>
      </c>
      <c r="D138" s="9" t="s">
        <v>689</v>
      </c>
      <c r="E138" s="5" t="s">
        <v>690</v>
      </c>
      <c r="F138" s="5" t="s">
        <v>691</v>
      </c>
      <c r="G138" s="9" t="s">
        <v>386</v>
      </c>
      <c r="H138" s="9" t="str">
        <f aca="false">City</f>
        <v>Lahore</v>
      </c>
      <c r="I138" s="9" t="s">
        <v>110</v>
      </c>
      <c r="J138" s="13" t="n">
        <f aca="false">'04 DETAILED RATE ANALYSIS'!J2980</f>
        <v>555.975</v>
      </c>
      <c r="K138" s="13" t="n">
        <f aca="false">'04 DETAILED RATE ANALYSIS'!J2983</f>
        <v>243.411764705882</v>
      </c>
      <c r="L138" s="13" t="n">
        <f aca="false">'04 DETAILED RATE ANALYSIS'!J2984</f>
        <v>0</v>
      </c>
      <c r="M138" s="13" t="n">
        <f aca="false">'04 DETAILED RATE ANALYSIS'!J2985</f>
        <v>0</v>
      </c>
      <c r="N138" s="13" t="n">
        <f aca="false">'04 DETAILED RATE ANALYSIS'!J2981</f>
        <v>18.1999999999999</v>
      </c>
      <c r="O138" s="13" t="n">
        <f aca="false">'04 DETAILED RATE ANALYSIS'!J2986</f>
        <v>817.586764705882</v>
      </c>
      <c r="P138" s="13" t="n">
        <f aca="false">'04 DETAILED RATE ANALYSIS'!J2987+'04 DETAILED RATE ANALYSIS'!J2988</f>
        <v>65.4069411764706</v>
      </c>
      <c r="Q138" s="13" t="n">
        <f aca="false">'04 DETAILED RATE ANALYSIS'!J2989</f>
        <v>81.7586764705882</v>
      </c>
      <c r="R138" s="13" t="n">
        <f aca="false">'04 DETAILED RATE ANALYSIS'!J2991</f>
        <v>0</v>
      </c>
      <c r="S138" s="14" t="n">
        <f aca="false">'04 DETAILED RATE ANALYSIS'!J2992</f>
        <v>965</v>
      </c>
      <c r="T138" s="13" t="n">
        <f aca="false">S138*100</f>
        <v>96500</v>
      </c>
      <c r="U138" s="10" t="str">
        <f aca="false">IF(W138&gt;0,"INCOMPLETE – "&amp;W138&amp;" blank/old input(s)","Market-derived + assumptions")</f>
        <v>INCOMPLETE – 4 blank/old input(s)</v>
      </c>
      <c r="V138" s="9" t="s">
        <v>111</v>
      </c>
      <c r="W138" s="13" t="n">
        <f aca="false">'04 DETAILED RATE ANALYSIS'!J2993</f>
        <v>4</v>
      </c>
      <c r="X138" s="9" t="s">
        <v>664</v>
      </c>
      <c r="Y138" s="9" t="s">
        <v>110</v>
      </c>
      <c r="Z138" s="9" t="s">
        <v>114</v>
      </c>
      <c r="AA138" s="5" t="s">
        <v>692</v>
      </c>
      <c r="AB138" s="10" t="str">
        <f aca="false">IF(COUNTIF($A$5:$A$999,A138)&gt;1,"DUPLICATE","")</f>
        <v/>
      </c>
    </row>
    <row r="139" customFormat="false" ht="21.75" hidden="false" customHeight="true" outlineLevel="0" collapsed="false">
      <c r="A139" s="9" t="s">
        <v>693</v>
      </c>
      <c r="B139" s="9" t="s">
        <v>688</v>
      </c>
      <c r="C139" s="9" t="s">
        <v>481</v>
      </c>
      <c r="D139" s="9" t="s">
        <v>694</v>
      </c>
      <c r="E139" s="5" t="s">
        <v>695</v>
      </c>
      <c r="F139" s="5" t="s">
        <v>696</v>
      </c>
      <c r="G139" s="9" t="s">
        <v>368</v>
      </c>
      <c r="H139" s="9" t="str">
        <f aca="false">City</f>
        <v>Lahore</v>
      </c>
      <c r="I139" s="9" t="s">
        <v>110</v>
      </c>
      <c r="J139" s="13" t="n">
        <f aca="false">'04 DETAILED RATE ANALYSIS'!J3000</f>
        <v>44179</v>
      </c>
      <c r="K139" s="13" t="n">
        <f aca="false">'04 DETAILED RATE ANALYSIS'!J3003</f>
        <v>2069</v>
      </c>
      <c r="L139" s="13" t="n">
        <f aca="false">'04 DETAILED RATE ANALYSIS'!J3004</f>
        <v>0</v>
      </c>
      <c r="M139" s="13" t="n">
        <f aca="false">'04 DETAILED RATE ANALYSIS'!J3005</f>
        <v>0</v>
      </c>
      <c r="N139" s="13" t="n">
        <f aca="false">'04 DETAILED RATE ANALYSIS'!J3001</f>
        <v>0</v>
      </c>
      <c r="O139" s="13" t="n">
        <f aca="false">'04 DETAILED RATE ANALYSIS'!J3006</f>
        <v>46248</v>
      </c>
      <c r="P139" s="13" t="n">
        <f aca="false">'04 DETAILED RATE ANALYSIS'!J3007+'04 DETAILED RATE ANALYSIS'!J3008</f>
        <v>3699.84</v>
      </c>
      <c r="Q139" s="13" t="n">
        <f aca="false">'04 DETAILED RATE ANALYSIS'!J3009</f>
        <v>4624.8</v>
      </c>
      <c r="R139" s="13" t="n">
        <f aca="false">'04 DETAILED RATE ANALYSIS'!J3011</f>
        <v>0</v>
      </c>
      <c r="S139" s="14" t="n">
        <f aca="false">'04 DETAILED RATE ANALYSIS'!J3012</f>
        <v>54573</v>
      </c>
      <c r="T139" s="13" t="n">
        <f aca="false">S139*100</f>
        <v>5457300</v>
      </c>
      <c r="U139" s="10" t="str">
        <f aca="false">IF(W139&gt;0,"INCOMPLETE – "&amp;W139&amp;" blank/old input(s)","Market-derived + assumptions")</f>
        <v>INCOMPLETE – 1 blank/old input(s)</v>
      </c>
      <c r="V139" s="9" t="s">
        <v>111</v>
      </c>
      <c r="W139" s="13" t="n">
        <f aca="false">'04 DETAILED RATE ANALYSIS'!J3013</f>
        <v>1</v>
      </c>
      <c r="X139" s="9" t="s">
        <v>664</v>
      </c>
      <c r="Y139" s="9" t="s">
        <v>110</v>
      </c>
      <c r="Z139" s="9" t="s">
        <v>114</v>
      </c>
      <c r="AA139" s="5" t="s">
        <v>697</v>
      </c>
      <c r="AB139" s="10" t="str">
        <f aca="false">IF(COUNTIF($A$5:$A$999,A139)&gt;1,"DUPLICATE","")</f>
        <v/>
      </c>
    </row>
    <row r="140" customFormat="false" ht="21.75" hidden="false" customHeight="true" outlineLevel="0" collapsed="false">
      <c r="A140" s="9" t="s">
        <v>698</v>
      </c>
      <c r="B140" s="9" t="s">
        <v>573</v>
      </c>
      <c r="C140" s="9" t="s">
        <v>699</v>
      </c>
      <c r="D140" s="9" t="s">
        <v>700</v>
      </c>
      <c r="E140" s="5" t="s">
        <v>701</v>
      </c>
      <c r="F140" s="5" t="s">
        <v>702</v>
      </c>
      <c r="G140" s="9" t="s">
        <v>212</v>
      </c>
      <c r="H140" s="9" t="str">
        <f aca="false">City</f>
        <v>Lahore</v>
      </c>
      <c r="I140" s="9" t="s">
        <v>110</v>
      </c>
      <c r="J140" s="13" t="n">
        <f aca="false">'04 DETAILED RATE ANALYSIS'!J3018</f>
        <v>2075.00740740741</v>
      </c>
      <c r="K140" s="13" t="n">
        <f aca="false">'04 DETAILED RATE ANALYSIS'!J3021</f>
        <v>0</v>
      </c>
      <c r="L140" s="13" t="n">
        <f aca="false">'04 DETAILED RATE ANALYSIS'!J3022</f>
        <v>0</v>
      </c>
      <c r="M140" s="13" t="n">
        <f aca="false">'04 DETAILED RATE ANALYSIS'!J3023</f>
        <v>0</v>
      </c>
      <c r="N140" s="13" t="n">
        <f aca="false">'04 DETAILED RATE ANALYSIS'!J3019</f>
        <v>0</v>
      </c>
      <c r="O140" s="13" t="n">
        <f aca="false">'04 DETAILED RATE ANALYSIS'!J3024</f>
        <v>2075.00740740741</v>
      </c>
      <c r="P140" s="13" t="n">
        <f aca="false">'04 DETAILED RATE ANALYSIS'!J3025+'04 DETAILED RATE ANALYSIS'!J3026</f>
        <v>166.000592592593</v>
      </c>
      <c r="Q140" s="13" t="n">
        <f aca="false">'04 DETAILED RATE ANALYSIS'!J3027</f>
        <v>207.500740740741</v>
      </c>
      <c r="R140" s="13" t="n">
        <f aca="false">'04 DETAILED RATE ANALYSIS'!J3029</f>
        <v>0</v>
      </c>
      <c r="S140" s="14" t="n">
        <f aca="false">'04 DETAILED RATE ANALYSIS'!J3030</f>
        <v>2449</v>
      </c>
      <c r="T140" s="13" t="n">
        <f aca="false">S140*100</f>
        <v>244900</v>
      </c>
      <c r="U140" s="10" t="str">
        <f aca="false">IF(W140&gt;0,"INCOMPLETE – "&amp;W140&amp;" blank/old input(s)","Market-derived + assumptions")</f>
        <v>INCOMPLETE – 1 blank/old input(s)</v>
      </c>
      <c r="V140" s="9" t="s">
        <v>111</v>
      </c>
      <c r="W140" s="13" t="n">
        <f aca="false">'04 DETAILED RATE ANALYSIS'!J3031</f>
        <v>1</v>
      </c>
      <c r="X140" s="9" t="s">
        <v>664</v>
      </c>
      <c r="Y140" s="9" t="s">
        <v>110</v>
      </c>
      <c r="Z140" s="9" t="s">
        <v>114</v>
      </c>
      <c r="AA140" s="5" t="s">
        <v>703</v>
      </c>
      <c r="AB140" s="10" t="str">
        <f aca="false">IF(COUNTIF($A$5:$A$999,A140)&gt;1,"DUPLICATE","")</f>
        <v/>
      </c>
    </row>
    <row r="141" customFormat="false" ht="21.75" hidden="false" customHeight="true" outlineLevel="0" collapsed="false">
      <c r="A141" s="9" t="s">
        <v>704</v>
      </c>
      <c r="B141" s="9" t="s">
        <v>324</v>
      </c>
      <c r="C141" s="9" t="s">
        <v>705</v>
      </c>
      <c r="D141" s="9" t="s">
        <v>706</v>
      </c>
      <c r="E141" s="5" t="s">
        <v>707</v>
      </c>
      <c r="F141" s="5" t="s">
        <v>708</v>
      </c>
      <c r="G141" s="9" t="s">
        <v>709</v>
      </c>
      <c r="H141" s="9" t="str">
        <f aca="false">City</f>
        <v>Lahore</v>
      </c>
      <c r="I141" s="9" t="s">
        <v>110</v>
      </c>
      <c r="J141" s="13" t="n">
        <f aca="false">'04 DETAILED RATE ANALYSIS'!J3036</f>
        <v>500000</v>
      </c>
      <c r="K141" s="13" t="n">
        <f aca="false">'04 DETAILED RATE ANALYSIS'!J3039</f>
        <v>0</v>
      </c>
      <c r="L141" s="13" t="n">
        <f aca="false">'04 DETAILED RATE ANALYSIS'!J3040</f>
        <v>0</v>
      </c>
      <c r="M141" s="13" t="n">
        <f aca="false">'04 DETAILED RATE ANALYSIS'!J3041</f>
        <v>0</v>
      </c>
      <c r="N141" s="13" t="n">
        <f aca="false">'04 DETAILED RATE ANALYSIS'!J3037</f>
        <v>0</v>
      </c>
      <c r="O141" s="13" t="n">
        <f aca="false">'04 DETAILED RATE ANALYSIS'!J3042</f>
        <v>500000</v>
      </c>
      <c r="P141" s="13" t="n">
        <f aca="false">'04 DETAILED RATE ANALYSIS'!J3043+'04 DETAILED RATE ANALYSIS'!J3044</f>
        <v>40000</v>
      </c>
      <c r="Q141" s="13" t="n">
        <f aca="false">'04 DETAILED RATE ANALYSIS'!J3045</f>
        <v>50000</v>
      </c>
      <c r="R141" s="13" t="n">
        <f aca="false">'04 DETAILED RATE ANALYSIS'!J3047</f>
        <v>0</v>
      </c>
      <c r="S141" s="14" t="n">
        <f aca="false">'04 DETAILED RATE ANALYSIS'!J3048</f>
        <v>590000</v>
      </c>
      <c r="T141" s="13" t="n">
        <f aca="false">S141*100</f>
        <v>59000000</v>
      </c>
      <c r="U141" s="10" t="str">
        <f aca="false">IF(W141&gt;0,"INCOMPLETE – "&amp;W141&amp;" blank/old input(s)","Market-derived + assumptions")</f>
        <v>Market-derived + assumptions</v>
      </c>
      <c r="V141" s="9" t="s">
        <v>111</v>
      </c>
      <c r="W141" s="13" t="n">
        <f aca="false">'04 DETAILED RATE ANALYSIS'!J3049</f>
        <v>0</v>
      </c>
      <c r="X141" s="9" t="s">
        <v>664</v>
      </c>
      <c r="Y141" s="9" t="s">
        <v>110</v>
      </c>
      <c r="Z141" s="9" t="s">
        <v>114</v>
      </c>
      <c r="AA141" s="5" t="s">
        <v>710</v>
      </c>
      <c r="AB141" s="10" t="str">
        <f aca="false">IF(COUNTIF($A$5:$A$999,A141)&gt;1,"DUPLICATE","")</f>
        <v/>
      </c>
    </row>
    <row r="142" customFormat="false" ht="21.75" hidden="false" customHeight="true" outlineLevel="0" collapsed="false">
      <c r="A142" s="9" t="s">
        <v>711</v>
      </c>
      <c r="B142" s="9" t="s">
        <v>324</v>
      </c>
      <c r="C142" s="9" t="s">
        <v>705</v>
      </c>
      <c r="D142" s="9" t="s">
        <v>712</v>
      </c>
      <c r="E142" s="5" t="s">
        <v>713</v>
      </c>
      <c r="F142" s="5" t="s">
        <v>708</v>
      </c>
      <c r="G142" s="9" t="s">
        <v>709</v>
      </c>
      <c r="H142" s="9" t="str">
        <f aca="false">City</f>
        <v>Lahore</v>
      </c>
      <c r="I142" s="9" t="s">
        <v>110</v>
      </c>
      <c r="J142" s="13" t="n">
        <f aca="false">'04 DETAILED RATE ANALYSIS'!J3054</f>
        <v>1500000</v>
      </c>
      <c r="K142" s="13" t="n">
        <f aca="false">'04 DETAILED RATE ANALYSIS'!J3057</f>
        <v>0</v>
      </c>
      <c r="L142" s="13" t="n">
        <f aca="false">'04 DETAILED RATE ANALYSIS'!J3058</f>
        <v>0</v>
      </c>
      <c r="M142" s="13" t="n">
        <f aca="false">'04 DETAILED RATE ANALYSIS'!J3059</f>
        <v>0</v>
      </c>
      <c r="N142" s="13" t="n">
        <f aca="false">'04 DETAILED RATE ANALYSIS'!J3055</f>
        <v>0</v>
      </c>
      <c r="O142" s="13" t="n">
        <f aca="false">'04 DETAILED RATE ANALYSIS'!J3060</f>
        <v>1500000</v>
      </c>
      <c r="P142" s="13" t="n">
        <f aca="false">'04 DETAILED RATE ANALYSIS'!J3061+'04 DETAILED RATE ANALYSIS'!J3062</f>
        <v>120000</v>
      </c>
      <c r="Q142" s="13" t="n">
        <f aca="false">'04 DETAILED RATE ANALYSIS'!J3063</f>
        <v>150000</v>
      </c>
      <c r="R142" s="13" t="n">
        <f aca="false">'04 DETAILED RATE ANALYSIS'!J3065</f>
        <v>0</v>
      </c>
      <c r="S142" s="14" t="n">
        <f aca="false">'04 DETAILED RATE ANALYSIS'!J3066</f>
        <v>1770000</v>
      </c>
      <c r="T142" s="13" t="n">
        <f aca="false">S142*100</f>
        <v>177000000</v>
      </c>
      <c r="U142" s="10" t="str">
        <f aca="false">IF(W142&gt;0,"INCOMPLETE – "&amp;W142&amp;" blank/old input(s)","Market-derived + assumptions")</f>
        <v>Market-derived + assumptions</v>
      </c>
      <c r="V142" s="9" t="s">
        <v>111</v>
      </c>
      <c r="W142" s="13" t="n">
        <f aca="false">'04 DETAILED RATE ANALYSIS'!J3067</f>
        <v>0</v>
      </c>
      <c r="X142" s="9" t="s">
        <v>664</v>
      </c>
      <c r="Y142" s="9" t="s">
        <v>110</v>
      </c>
      <c r="Z142" s="9" t="s">
        <v>114</v>
      </c>
      <c r="AA142" s="5" t="s">
        <v>710</v>
      </c>
      <c r="AB142" s="10" t="str">
        <f aca="false">IF(COUNTIF($A$5:$A$999,A142)&gt;1,"DUPLICATE","")</f>
        <v/>
      </c>
    </row>
    <row r="143" customFormat="false" ht="42.75" hidden="false" customHeight="true" outlineLevel="0" collapsed="false">
      <c r="A143" s="9" t="s">
        <v>714</v>
      </c>
      <c r="B143" s="9" t="s">
        <v>324</v>
      </c>
      <c r="C143" s="9" t="s">
        <v>705</v>
      </c>
      <c r="D143" s="9" t="s">
        <v>715</v>
      </c>
      <c r="E143" s="5" t="s">
        <v>716</v>
      </c>
      <c r="F143" s="5" t="s">
        <v>708</v>
      </c>
      <c r="G143" s="9" t="s">
        <v>717</v>
      </c>
      <c r="H143" s="9" t="str">
        <f aca="false">City</f>
        <v>Lahore</v>
      </c>
      <c r="I143" s="9" t="s">
        <v>110</v>
      </c>
      <c r="J143" s="13" t="n">
        <f aca="false">'04 DETAILED RATE ANALYSIS'!J3072</f>
        <v>150000</v>
      </c>
      <c r="K143" s="13" t="n">
        <f aca="false">'04 DETAILED RATE ANALYSIS'!J3075</f>
        <v>0</v>
      </c>
      <c r="L143" s="13" t="n">
        <f aca="false">'04 DETAILED RATE ANALYSIS'!J3076</f>
        <v>0</v>
      </c>
      <c r="M143" s="13" t="n">
        <f aca="false">'04 DETAILED RATE ANALYSIS'!J3077</f>
        <v>0</v>
      </c>
      <c r="N143" s="13" t="n">
        <f aca="false">'04 DETAILED RATE ANALYSIS'!J3073</f>
        <v>0</v>
      </c>
      <c r="O143" s="13" t="n">
        <f aca="false">'04 DETAILED RATE ANALYSIS'!J3078</f>
        <v>150000</v>
      </c>
      <c r="P143" s="13" t="n">
        <f aca="false">'04 DETAILED RATE ANALYSIS'!J3079+'04 DETAILED RATE ANALYSIS'!J3080</f>
        <v>12000</v>
      </c>
      <c r="Q143" s="13" t="n">
        <f aca="false">'04 DETAILED RATE ANALYSIS'!J3081</f>
        <v>15000</v>
      </c>
      <c r="R143" s="13" t="n">
        <f aca="false">'04 DETAILED RATE ANALYSIS'!J3083</f>
        <v>0</v>
      </c>
      <c r="S143" s="14" t="n">
        <f aca="false">'04 DETAILED RATE ANALYSIS'!J3084</f>
        <v>177000</v>
      </c>
      <c r="T143" s="13" t="n">
        <f aca="false">S143*100</f>
        <v>17700000</v>
      </c>
      <c r="U143" s="10" t="str">
        <f aca="false">IF(W143&gt;0,"INCOMPLETE – "&amp;W143&amp;" blank/old input(s)","Market-derived + assumptions")</f>
        <v>Market-derived + assumptions</v>
      </c>
      <c r="V143" s="9" t="s">
        <v>111</v>
      </c>
      <c r="W143" s="13" t="n">
        <f aca="false">'04 DETAILED RATE ANALYSIS'!J3085</f>
        <v>0</v>
      </c>
      <c r="X143" s="9" t="s">
        <v>664</v>
      </c>
      <c r="Y143" s="9" t="s">
        <v>110</v>
      </c>
      <c r="Z143" s="9" t="s">
        <v>114</v>
      </c>
      <c r="AA143" s="5" t="s">
        <v>718</v>
      </c>
      <c r="AB143" s="10" t="str">
        <f aca="false">IF(COUNTIF($A$5:$A$999,A143)&gt;1,"DUPLICATE","")</f>
        <v/>
      </c>
    </row>
    <row r="144" customFormat="false" ht="21.75" hidden="false" customHeight="true" outlineLevel="0" collapsed="false">
      <c r="A144" s="9" t="s">
        <v>719</v>
      </c>
      <c r="B144" s="9" t="s">
        <v>324</v>
      </c>
      <c r="C144" s="9" t="s">
        <v>705</v>
      </c>
      <c r="D144" s="9" t="s">
        <v>720</v>
      </c>
      <c r="E144" s="5" t="s">
        <v>721</v>
      </c>
      <c r="F144" s="5" t="s">
        <v>708</v>
      </c>
      <c r="G144" s="9" t="s">
        <v>368</v>
      </c>
      <c r="H144" s="9" t="str">
        <f aca="false">City</f>
        <v>Lahore</v>
      </c>
      <c r="I144" s="9" t="s">
        <v>110</v>
      </c>
      <c r="J144" s="13" t="n">
        <f aca="false">'04 DETAILED RATE ANALYSIS'!J3090</f>
        <v>4500</v>
      </c>
      <c r="K144" s="13" t="n">
        <f aca="false">'04 DETAILED RATE ANALYSIS'!J3093</f>
        <v>0</v>
      </c>
      <c r="L144" s="13" t="n">
        <f aca="false">'04 DETAILED RATE ANALYSIS'!J3094</f>
        <v>0</v>
      </c>
      <c r="M144" s="13" t="n">
        <f aca="false">'04 DETAILED RATE ANALYSIS'!J3095</f>
        <v>0</v>
      </c>
      <c r="N144" s="13" t="n">
        <f aca="false">'04 DETAILED RATE ANALYSIS'!J3091</f>
        <v>0</v>
      </c>
      <c r="O144" s="13" t="n">
        <f aca="false">'04 DETAILED RATE ANALYSIS'!J3096</f>
        <v>4500</v>
      </c>
      <c r="P144" s="13" t="n">
        <f aca="false">'04 DETAILED RATE ANALYSIS'!J3097+'04 DETAILED RATE ANALYSIS'!J3098</f>
        <v>360</v>
      </c>
      <c r="Q144" s="13" t="n">
        <f aca="false">'04 DETAILED RATE ANALYSIS'!J3099</f>
        <v>450</v>
      </c>
      <c r="R144" s="13" t="n">
        <f aca="false">'04 DETAILED RATE ANALYSIS'!J3101</f>
        <v>0</v>
      </c>
      <c r="S144" s="14" t="n">
        <f aca="false">'04 DETAILED RATE ANALYSIS'!J3102</f>
        <v>5310</v>
      </c>
      <c r="T144" s="13" t="n">
        <f aca="false">S144*100</f>
        <v>531000</v>
      </c>
      <c r="U144" s="10" t="str">
        <f aca="false">IF(W144&gt;0,"INCOMPLETE – "&amp;W144&amp;" blank/old input(s)","Market-derived + assumptions")</f>
        <v>Market-derived + assumptions</v>
      </c>
      <c r="V144" s="9" t="s">
        <v>111</v>
      </c>
      <c r="W144" s="13" t="n">
        <f aca="false">'04 DETAILED RATE ANALYSIS'!J3103</f>
        <v>0</v>
      </c>
      <c r="X144" s="9" t="s">
        <v>664</v>
      </c>
      <c r="Y144" s="9" t="s">
        <v>110</v>
      </c>
      <c r="Z144" s="9" t="s">
        <v>114</v>
      </c>
      <c r="AA144" s="5" t="s">
        <v>710</v>
      </c>
      <c r="AB144" s="10" t="str">
        <f aca="false">IF(COUNTIF($A$5:$A$999,A144)&gt;1,"DUPLICATE","")</f>
        <v/>
      </c>
    </row>
    <row r="145" customFormat="false" ht="21.75" hidden="false" customHeight="true" outlineLevel="0" collapsed="false">
      <c r="A145" s="9" t="s">
        <v>722</v>
      </c>
      <c r="B145" s="9" t="s">
        <v>324</v>
      </c>
      <c r="C145" s="9" t="s">
        <v>705</v>
      </c>
      <c r="D145" s="9" t="s">
        <v>723</v>
      </c>
      <c r="E145" s="5" t="s">
        <v>724</v>
      </c>
      <c r="F145" s="5" t="s">
        <v>708</v>
      </c>
      <c r="G145" s="9" t="s">
        <v>212</v>
      </c>
      <c r="H145" s="9" t="str">
        <f aca="false">City</f>
        <v>Lahore</v>
      </c>
      <c r="I145" s="9" t="s">
        <v>110</v>
      </c>
      <c r="J145" s="13" t="n">
        <f aca="false">'04 DETAILED RATE ANALYSIS'!J3108</f>
        <v>6</v>
      </c>
      <c r="K145" s="13" t="n">
        <f aca="false">'04 DETAILED RATE ANALYSIS'!J3111</f>
        <v>0</v>
      </c>
      <c r="L145" s="13" t="n">
        <f aca="false">'04 DETAILED RATE ANALYSIS'!J3112</f>
        <v>0</v>
      </c>
      <c r="M145" s="13" t="n">
        <f aca="false">'04 DETAILED RATE ANALYSIS'!J3113</f>
        <v>0</v>
      </c>
      <c r="N145" s="13" t="n">
        <f aca="false">'04 DETAILED RATE ANALYSIS'!J3109</f>
        <v>0</v>
      </c>
      <c r="O145" s="13" t="n">
        <f aca="false">'04 DETAILED RATE ANALYSIS'!J3114</f>
        <v>6</v>
      </c>
      <c r="P145" s="13" t="n">
        <f aca="false">'04 DETAILED RATE ANALYSIS'!J3115+'04 DETAILED RATE ANALYSIS'!J3116</f>
        <v>0.48</v>
      </c>
      <c r="Q145" s="13" t="n">
        <f aca="false">'04 DETAILED RATE ANALYSIS'!J3117</f>
        <v>0.6</v>
      </c>
      <c r="R145" s="13" t="n">
        <f aca="false">'04 DETAILED RATE ANALYSIS'!J3119</f>
        <v>0</v>
      </c>
      <c r="S145" s="14" t="n">
        <f aca="false">'04 DETAILED RATE ANALYSIS'!J3120</f>
        <v>7</v>
      </c>
      <c r="T145" s="13" t="n">
        <f aca="false">S145*100</f>
        <v>700</v>
      </c>
      <c r="U145" s="10" t="str">
        <f aca="false">IF(W145&gt;0,"INCOMPLETE – "&amp;W145&amp;" blank/old input(s)","Market-derived + assumptions")</f>
        <v>Market-derived + assumptions</v>
      </c>
      <c r="V145" s="9" t="s">
        <v>111</v>
      </c>
      <c r="W145" s="13" t="n">
        <f aca="false">'04 DETAILED RATE ANALYSIS'!J3121</f>
        <v>0</v>
      </c>
      <c r="X145" s="9" t="s">
        <v>664</v>
      </c>
      <c r="Y145" s="9" t="s">
        <v>110</v>
      </c>
      <c r="Z145" s="9" t="s">
        <v>114</v>
      </c>
      <c r="AA145" s="5" t="s">
        <v>710</v>
      </c>
      <c r="AB145" s="10" t="str">
        <f aca="false">IF(COUNTIF($A$5:$A$999,A145)&gt;1,"DUPLICATE","")</f>
        <v/>
      </c>
    </row>
    <row r="146" customFormat="false" ht="32.25" hidden="false" customHeight="true" outlineLevel="0" collapsed="false">
      <c r="A146" s="9" t="s">
        <v>725</v>
      </c>
      <c r="B146" s="9" t="s">
        <v>207</v>
      </c>
      <c r="C146" s="9" t="s">
        <v>304</v>
      </c>
      <c r="D146" s="9" t="s">
        <v>726</v>
      </c>
      <c r="E146" s="5" t="s">
        <v>727</v>
      </c>
      <c r="F146" s="5" t="s">
        <v>708</v>
      </c>
      <c r="G146" s="9" t="s">
        <v>212</v>
      </c>
      <c r="H146" s="9" t="str">
        <f aca="false">City</f>
        <v>Lahore</v>
      </c>
      <c r="I146" s="9" t="s">
        <v>110</v>
      </c>
      <c r="J146" s="13" t="n">
        <f aca="false">'04 DETAILED RATE ANALYSIS'!J3128</f>
        <v>224.91</v>
      </c>
      <c r="K146" s="13" t="n">
        <f aca="false">'04 DETAILED RATE ANALYSIS'!J3131</f>
        <v>39.5866666666667</v>
      </c>
      <c r="L146" s="13" t="n">
        <f aca="false">'04 DETAILED RATE ANALYSIS'!J3132</f>
        <v>0</v>
      </c>
      <c r="M146" s="13" t="n">
        <f aca="false">'04 DETAILED RATE ANALYSIS'!J3133</f>
        <v>0</v>
      </c>
      <c r="N146" s="13" t="n">
        <f aca="false">'04 DETAILED RATE ANALYSIS'!J3129</f>
        <v>0</v>
      </c>
      <c r="O146" s="13" t="n">
        <f aca="false">'04 DETAILED RATE ANALYSIS'!J3134</f>
        <v>264.496666666667</v>
      </c>
      <c r="P146" s="13" t="n">
        <f aca="false">'04 DETAILED RATE ANALYSIS'!J3135+'04 DETAILED RATE ANALYSIS'!J3136</f>
        <v>21.1597333333333</v>
      </c>
      <c r="Q146" s="13" t="n">
        <f aca="false">'04 DETAILED RATE ANALYSIS'!J3137</f>
        <v>26.4496666666667</v>
      </c>
      <c r="R146" s="13" t="n">
        <f aca="false">'04 DETAILED RATE ANALYSIS'!J3139</f>
        <v>0</v>
      </c>
      <c r="S146" s="14" t="n">
        <f aca="false">'04 DETAILED RATE ANALYSIS'!J3140</f>
        <v>312</v>
      </c>
      <c r="T146" s="13" t="n">
        <f aca="false">S146*100</f>
        <v>31200</v>
      </c>
      <c r="U146" s="10" t="str">
        <f aca="false">IF(W146&gt;0,"INCOMPLETE – "&amp;W146&amp;" blank/old input(s)","Market-derived + assumptions")</f>
        <v>Market-derived + assumptions</v>
      </c>
      <c r="V146" s="9" t="s">
        <v>111</v>
      </c>
      <c r="W146" s="13" t="n">
        <f aca="false">'04 DETAILED RATE ANALYSIS'!J3141</f>
        <v>0</v>
      </c>
      <c r="X146" s="9" t="s">
        <v>664</v>
      </c>
      <c r="Y146" s="9" t="s">
        <v>110</v>
      </c>
      <c r="Z146" s="9" t="s">
        <v>114</v>
      </c>
      <c r="AA146" s="5" t="s">
        <v>728</v>
      </c>
      <c r="AB146" s="10" t="str">
        <f aca="false">IF(COUNTIF($A$5:$A$999,A146)&gt;1,"DUPLICATE","")</f>
        <v/>
      </c>
    </row>
    <row r="147" customFormat="false" ht="21.75" hidden="false" customHeight="true" outlineLevel="0" collapsed="false">
      <c r="A147" s="9" t="s">
        <v>729</v>
      </c>
      <c r="B147" s="9" t="s">
        <v>207</v>
      </c>
      <c r="C147" s="9" t="s">
        <v>304</v>
      </c>
      <c r="D147" s="9" t="s">
        <v>730</v>
      </c>
      <c r="E147" s="5" t="s">
        <v>731</v>
      </c>
      <c r="F147" s="5" t="s">
        <v>708</v>
      </c>
      <c r="G147" s="9" t="s">
        <v>212</v>
      </c>
      <c r="H147" s="9" t="str">
        <f aca="false">City</f>
        <v>Lahore</v>
      </c>
      <c r="I147" s="9" t="s">
        <v>110</v>
      </c>
      <c r="J147" s="13" t="n">
        <f aca="false">'04 DETAILED RATE ANALYSIS'!J3146</f>
        <v>450</v>
      </c>
      <c r="K147" s="13" t="n">
        <f aca="false">'04 DETAILED RATE ANALYSIS'!J3149</f>
        <v>0</v>
      </c>
      <c r="L147" s="13" t="n">
        <f aca="false">'04 DETAILED RATE ANALYSIS'!J3150</f>
        <v>0</v>
      </c>
      <c r="M147" s="13" t="n">
        <f aca="false">'04 DETAILED RATE ANALYSIS'!J3151</f>
        <v>0</v>
      </c>
      <c r="N147" s="13" t="n">
        <f aca="false">'04 DETAILED RATE ANALYSIS'!J3147</f>
        <v>0</v>
      </c>
      <c r="O147" s="13" t="n">
        <f aca="false">'04 DETAILED RATE ANALYSIS'!J3152</f>
        <v>450</v>
      </c>
      <c r="P147" s="13" t="n">
        <f aca="false">'04 DETAILED RATE ANALYSIS'!J3153+'04 DETAILED RATE ANALYSIS'!J3154</f>
        <v>36</v>
      </c>
      <c r="Q147" s="13" t="n">
        <f aca="false">'04 DETAILED RATE ANALYSIS'!J3155</f>
        <v>45</v>
      </c>
      <c r="R147" s="13" t="n">
        <f aca="false">'04 DETAILED RATE ANALYSIS'!J3157</f>
        <v>0</v>
      </c>
      <c r="S147" s="14" t="n">
        <f aca="false">'04 DETAILED RATE ANALYSIS'!J3158</f>
        <v>531</v>
      </c>
      <c r="T147" s="13" t="n">
        <f aca="false">S147*100</f>
        <v>53100</v>
      </c>
      <c r="U147" s="10" t="str">
        <f aca="false">IF(W147&gt;0,"INCOMPLETE – "&amp;W147&amp;" blank/old input(s)","Market-derived + assumptions")</f>
        <v>Market-derived + assumptions</v>
      </c>
      <c r="V147" s="9" t="s">
        <v>111</v>
      </c>
      <c r="W147" s="13" t="n">
        <f aca="false">'04 DETAILED RATE ANALYSIS'!J3159</f>
        <v>0</v>
      </c>
      <c r="X147" s="9" t="s">
        <v>664</v>
      </c>
      <c r="Y147" s="9" t="s">
        <v>110</v>
      </c>
      <c r="Z147" s="9" t="s">
        <v>114</v>
      </c>
      <c r="AA147" s="5" t="s">
        <v>710</v>
      </c>
      <c r="AB147" s="10" t="str">
        <f aca="false">IF(COUNTIF($A$5:$A$999,A147)&gt;1,"DUPLICATE","")</f>
        <v/>
      </c>
    </row>
    <row r="148" customFormat="false" ht="21.75" hidden="false" customHeight="true" outlineLevel="0" collapsed="false">
      <c r="A148" s="9" t="s">
        <v>732</v>
      </c>
      <c r="B148" s="9" t="s">
        <v>207</v>
      </c>
      <c r="C148" s="9" t="s">
        <v>304</v>
      </c>
      <c r="D148" s="9" t="s">
        <v>733</v>
      </c>
      <c r="E148" s="5" t="s">
        <v>734</v>
      </c>
      <c r="F148" s="5" t="s">
        <v>708</v>
      </c>
      <c r="G148" s="9" t="s">
        <v>368</v>
      </c>
      <c r="H148" s="9" t="str">
        <f aca="false">City</f>
        <v>Lahore</v>
      </c>
      <c r="I148" s="9" t="s">
        <v>110</v>
      </c>
      <c r="J148" s="13" t="n">
        <f aca="false">'04 DETAILED RATE ANALYSIS'!J3164</f>
        <v>6500</v>
      </c>
      <c r="K148" s="13" t="n">
        <f aca="false">'04 DETAILED RATE ANALYSIS'!J3167</f>
        <v>0</v>
      </c>
      <c r="L148" s="13" t="n">
        <f aca="false">'04 DETAILED RATE ANALYSIS'!J3168</f>
        <v>0</v>
      </c>
      <c r="M148" s="13" t="n">
        <f aca="false">'04 DETAILED RATE ANALYSIS'!J3169</f>
        <v>0</v>
      </c>
      <c r="N148" s="13" t="n">
        <f aca="false">'04 DETAILED RATE ANALYSIS'!J3165</f>
        <v>0</v>
      </c>
      <c r="O148" s="13" t="n">
        <f aca="false">'04 DETAILED RATE ANALYSIS'!J3170</f>
        <v>6500</v>
      </c>
      <c r="P148" s="13" t="n">
        <f aca="false">'04 DETAILED RATE ANALYSIS'!J3171+'04 DETAILED RATE ANALYSIS'!J3172</f>
        <v>520</v>
      </c>
      <c r="Q148" s="13" t="n">
        <f aca="false">'04 DETAILED RATE ANALYSIS'!J3173</f>
        <v>650</v>
      </c>
      <c r="R148" s="13" t="n">
        <f aca="false">'04 DETAILED RATE ANALYSIS'!J3175</f>
        <v>0</v>
      </c>
      <c r="S148" s="14" t="n">
        <f aca="false">'04 DETAILED RATE ANALYSIS'!J3176</f>
        <v>7670</v>
      </c>
      <c r="T148" s="13" t="n">
        <f aca="false">S148*100</f>
        <v>767000</v>
      </c>
      <c r="U148" s="10" t="str">
        <f aca="false">IF(W148&gt;0,"INCOMPLETE – "&amp;W148&amp;" blank/old input(s)","Market-derived + assumptions")</f>
        <v>Market-derived + assumptions</v>
      </c>
      <c r="V148" s="9" t="s">
        <v>111</v>
      </c>
      <c r="W148" s="13" t="n">
        <f aca="false">'04 DETAILED RATE ANALYSIS'!J3177</f>
        <v>0</v>
      </c>
      <c r="X148" s="9" t="s">
        <v>664</v>
      </c>
      <c r="Y148" s="9" t="s">
        <v>110</v>
      </c>
      <c r="Z148" s="9" t="s">
        <v>114</v>
      </c>
      <c r="AA148" s="5" t="s">
        <v>710</v>
      </c>
      <c r="AB148" s="10" t="str">
        <f aca="false">IF(COUNTIF($A$5:$A$999,A148)&gt;1,"DUPLICATE","")</f>
        <v/>
      </c>
    </row>
    <row r="149" customFormat="false" ht="21.75" hidden="false" customHeight="true" outlineLevel="0" collapsed="false">
      <c r="A149" s="9" t="s">
        <v>735</v>
      </c>
      <c r="B149" s="9" t="s">
        <v>207</v>
      </c>
      <c r="C149" s="9" t="s">
        <v>279</v>
      </c>
      <c r="D149" s="9" t="s">
        <v>736</v>
      </c>
      <c r="E149" s="5" t="s">
        <v>737</v>
      </c>
      <c r="F149" s="5" t="s">
        <v>708</v>
      </c>
      <c r="G149" s="9" t="s">
        <v>212</v>
      </c>
      <c r="H149" s="9" t="str">
        <f aca="false">City</f>
        <v>Lahore</v>
      </c>
      <c r="I149" s="9" t="s">
        <v>110</v>
      </c>
      <c r="J149" s="13" t="n">
        <f aca="false">'04 DETAILED RATE ANALYSIS'!J3182</f>
        <v>350</v>
      </c>
      <c r="K149" s="13" t="n">
        <f aca="false">'04 DETAILED RATE ANALYSIS'!J3185</f>
        <v>0</v>
      </c>
      <c r="L149" s="13" t="n">
        <f aca="false">'04 DETAILED RATE ANALYSIS'!J3186</f>
        <v>0</v>
      </c>
      <c r="M149" s="13" t="n">
        <f aca="false">'04 DETAILED RATE ANALYSIS'!J3187</f>
        <v>0</v>
      </c>
      <c r="N149" s="13" t="n">
        <f aca="false">'04 DETAILED RATE ANALYSIS'!J3183</f>
        <v>0</v>
      </c>
      <c r="O149" s="13" t="n">
        <f aca="false">'04 DETAILED RATE ANALYSIS'!J3188</f>
        <v>350</v>
      </c>
      <c r="P149" s="13" t="n">
        <f aca="false">'04 DETAILED RATE ANALYSIS'!J3189+'04 DETAILED RATE ANALYSIS'!J3190</f>
        <v>28</v>
      </c>
      <c r="Q149" s="13" t="n">
        <f aca="false">'04 DETAILED RATE ANALYSIS'!J3191</f>
        <v>35</v>
      </c>
      <c r="R149" s="13" t="n">
        <f aca="false">'04 DETAILED RATE ANALYSIS'!J3193</f>
        <v>0</v>
      </c>
      <c r="S149" s="14" t="n">
        <f aca="false">'04 DETAILED RATE ANALYSIS'!J3194</f>
        <v>413</v>
      </c>
      <c r="T149" s="13" t="n">
        <f aca="false">S149*100</f>
        <v>41300</v>
      </c>
      <c r="U149" s="10" t="str">
        <f aca="false">IF(W149&gt;0,"INCOMPLETE – "&amp;W149&amp;" blank/old input(s)","Market-derived + assumptions")</f>
        <v>Market-derived + assumptions</v>
      </c>
      <c r="V149" s="9" t="s">
        <v>111</v>
      </c>
      <c r="W149" s="13" t="n">
        <f aca="false">'04 DETAILED RATE ANALYSIS'!J3195</f>
        <v>0</v>
      </c>
      <c r="X149" s="9" t="s">
        <v>664</v>
      </c>
      <c r="Y149" s="9" t="s">
        <v>110</v>
      </c>
      <c r="Z149" s="9" t="s">
        <v>114</v>
      </c>
      <c r="AA149" s="5" t="s">
        <v>710</v>
      </c>
      <c r="AB149" s="10" t="str">
        <f aca="false">IF(COUNTIF($A$5:$A$999,A149)&gt;1,"DUPLICATE","")</f>
        <v/>
      </c>
    </row>
    <row r="150" customFormat="false" ht="21.75" hidden="false" customHeight="true" outlineLevel="0" collapsed="false">
      <c r="A150" s="9" t="s">
        <v>738</v>
      </c>
      <c r="B150" s="9" t="s">
        <v>207</v>
      </c>
      <c r="C150" s="9" t="s">
        <v>288</v>
      </c>
      <c r="D150" s="9" t="s">
        <v>739</v>
      </c>
      <c r="E150" s="5" t="s">
        <v>740</v>
      </c>
      <c r="F150" s="5" t="s">
        <v>708</v>
      </c>
      <c r="G150" s="9" t="s">
        <v>212</v>
      </c>
      <c r="H150" s="9" t="str">
        <f aca="false">City</f>
        <v>Lahore</v>
      </c>
      <c r="I150" s="9" t="s">
        <v>110</v>
      </c>
      <c r="J150" s="13" t="n">
        <f aca="false">'04 DETAILED RATE ANALYSIS'!J3200</f>
        <v>180</v>
      </c>
      <c r="K150" s="13" t="n">
        <f aca="false">'04 DETAILED RATE ANALYSIS'!J3203</f>
        <v>0</v>
      </c>
      <c r="L150" s="13" t="n">
        <f aca="false">'04 DETAILED RATE ANALYSIS'!J3204</f>
        <v>0</v>
      </c>
      <c r="M150" s="13" t="n">
        <f aca="false">'04 DETAILED RATE ANALYSIS'!J3205</f>
        <v>0</v>
      </c>
      <c r="N150" s="13" t="n">
        <f aca="false">'04 DETAILED RATE ANALYSIS'!J3201</f>
        <v>0</v>
      </c>
      <c r="O150" s="13" t="n">
        <f aca="false">'04 DETAILED RATE ANALYSIS'!J3206</f>
        <v>180</v>
      </c>
      <c r="P150" s="13" t="n">
        <f aca="false">'04 DETAILED RATE ANALYSIS'!J3207+'04 DETAILED RATE ANALYSIS'!J3208</f>
        <v>14.4</v>
      </c>
      <c r="Q150" s="13" t="n">
        <f aca="false">'04 DETAILED RATE ANALYSIS'!J3209</f>
        <v>18</v>
      </c>
      <c r="R150" s="13" t="n">
        <f aca="false">'04 DETAILED RATE ANALYSIS'!J3211</f>
        <v>0</v>
      </c>
      <c r="S150" s="14" t="n">
        <f aca="false">'04 DETAILED RATE ANALYSIS'!J3212</f>
        <v>212</v>
      </c>
      <c r="T150" s="13" t="n">
        <f aca="false">S150*100</f>
        <v>21200</v>
      </c>
      <c r="U150" s="10" t="str">
        <f aca="false">IF(W150&gt;0,"INCOMPLETE – "&amp;W150&amp;" blank/old input(s)","Market-derived + assumptions")</f>
        <v>Market-derived + assumptions</v>
      </c>
      <c r="V150" s="9" t="s">
        <v>111</v>
      </c>
      <c r="W150" s="13" t="n">
        <f aca="false">'04 DETAILED RATE ANALYSIS'!J3213</f>
        <v>0</v>
      </c>
      <c r="X150" s="9" t="s">
        <v>664</v>
      </c>
      <c r="Y150" s="9" t="s">
        <v>110</v>
      </c>
      <c r="Z150" s="9" t="s">
        <v>114</v>
      </c>
      <c r="AA150" s="5" t="s">
        <v>710</v>
      </c>
      <c r="AB150" s="10" t="str">
        <f aca="false">IF(COUNTIF($A$5:$A$999,A150)&gt;1,"DUPLICATE","")</f>
        <v/>
      </c>
    </row>
    <row r="151" customFormat="false" ht="21.75" hidden="false" customHeight="true" outlineLevel="0" collapsed="false">
      <c r="A151" s="9" t="s">
        <v>741</v>
      </c>
      <c r="B151" s="9" t="s">
        <v>207</v>
      </c>
      <c r="C151" s="9" t="s">
        <v>288</v>
      </c>
      <c r="D151" s="9" t="s">
        <v>742</v>
      </c>
      <c r="E151" s="5" t="s">
        <v>743</v>
      </c>
      <c r="F151" s="5" t="s">
        <v>708</v>
      </c>
      <c r="G151" s="9" t="s">
        <v>212</v>
      </c>
      <c r="H151" s="9" t="str">
        <f aca="false">City</f>
        <v>Lahore</v>
      </c>
      <c r="I151" s="9" t="s">
        <v>110</v>
      </c>
      <c r="J151" s="13" t="n">
        <f aca="false">'04 DETAILED RATE ANALYSIS'!J3218</f>
        <v>900</v>
      </c>
      <c r="K151" s="13" t="n">
        <f aca="false">'04 DETAILED RATE ANALYSIS'!J3221</f>
        <v>0</v>
      </c>
      <c r="L151" s="13" t="n">
        <f aca="false">'04 DETAILED RATE ANALYSIS'!J3222</f>
        <v>0</v>
      </c>
      <c r="M151" s="13" t="n">
        <f aca="false">'04 DETAILED RATE ANALYSIS'!J3223</f>
        <v>0</v>
      </c>
      <c r="N151" s="13" t="n">
        <f aca="false">'04 DETAILED RATE ANALYSIS'!J3219</f>
        <v>0</v>
      </c>
      <c r="O151" s="13" t="n">
        <f aca="false">'04 DETAILED RATE ANALYSIS'!J3224</f>
        <v>900</v>
      </c>
      <c r="P151" s="13" t="n">
        <f aca="false">'04 DETAILED RATE ANALYSIS'!J3225+'04 DETAILED RATE ANALYSIS'!J3226</f>
        <v>72</v>
      </c>
      <c r="Q151" s="13" t="n">
        <f aca="false">'04 DETAILED RATE ANALYSIS'!J3227</f>
        <v>90</v>
      </c>
      <c r="R151" s="13" t="n">
        <f aca="false">'04 DETAILED RATE ANALYSIS'!J3229</f>
        <v>0</v>
      </c>
      <c r="S151" s="14" t="n">
        <f aca="false">'04 DETAILED RATE ANALYSIS'!J3230</f>
        <v>1062</v>
      </c>
      <c r="T151" s="13" t="n">
        <f aca="false">S151*100</f>
        <v>106200</v>
      </c>
      <c r="U151" s="10" t="str">
        <f aca="false">IF(W151&gt;0,"INCOMPLETE – "&amp;W151&amp;" blank/old input(s)","Market-derived + assumptions")</f>
        <v>Market-derived + assumptions</v>
      </c>
      <c r="V151" s="9" t="s">
        <v>111</v>
      </c>
      <c r="W151" s="13" t="n">
        <f aca="false">'04 DETAILED RATE ANALYSIS'!J3231</f>
        <v>0</v>
      </c>
      <c r="X151" s="9" t="s">
        <v>664</v>
      </c>
      <c r="Y151" s="9" t="s">
        <v>110</v>
      </c>
      <c r="Z151" s="9" t="s">
        <v>114</v>
      </c>
      <c r="AA151" s="5" t="s">
        <v>710</v>
      </c>
      <c r="AB151" s="10" t="str">
        <f aca="false">IF(COUNTIF($A$5:$A$999,A151)&gt;1,"DUPLICATE","")</f>
        <v/>
      </c>
    </row>
    <row r="152" customFormat="false" ht="21.75" hidden="false" customHeight="true" outlineLevel="0" collapsed="false">
      <c r="A152" s="9" t="s">
        <v>744</v>
      </c>
      <c r="B152" s="9" t="s">
        <v>207</v>
      </c>
      <c r="C152" s="9" t="s">
        <v>364</v>
      </c>
      <c r="D152" s="9" t="s">
        <v>745</v>
      </c>
      <c r="E152" s="5" t="s">
        <v>746</v>
      </c>
      <c r="F152" s="5" t="s">
        <v>708</v>
      </c>
      <c r="G152" s="9" t="s">
        <v>368</v>
      </c>
      <c r="H152" s="9" t="str">
        <f aca="false">City</f>
        <v>Lahore</v>
      </c>
      <c r="I152" s="9" t="s">
        <v>110</v>
      </c>
      <c r="J152" s="13" t="n">
        <f aca="false">'04 DETAILED RATE ANALYSIS'!J3236</f>
        <v>120000</v>
      </c>
      <c r="K152" s="13" t="n">
        <f aca="false">'04 DETAILED RATE ANALYSIS'!J3239</f>
        <v>0</v>
      </c>
      <c r="L152" s="13" t="n">
        <f aca="false">'04 DETAILED RATE ANALYSIS'!J3240</f>
        <v>0</v>
      </c>
      <c r="M152" s="13" t="n">
        <f aca="false">'04 DETAILED RATE ANALYSIS'!J3241</f>
        <v>0</v>
      </c>
      <c r="N152" s="13" t="n">
        <f aca="false">'04 DETAILED RATE ANALYSIS'!J3237</f>
        <v>0</v>
      </c>
      <c r="O152" s="13" t="n">
        <f aca="false">'04 DETAILED RATE ANALYSIS'!J3242</f>
        <v>120000</v>
      </c>
      <c r="P152" s="13" t="n">
        <f aca="false">'04 DETAILED RATE ANALYSIS'!J3243+'04 DETAILED RATE ANALYSIS'!J3244</f>
        <v>9600</v>
      </c>
      <c r="Q152" s="13" t="n">
        <f aca="false">'04 DETAILED RATE ANALYSIS'!J3245</f>
        <v>12000</v>
      </c>
      <c r="R152" s="13" t="n">
        <f aca="false">'04 DETAILED RATE ANALYSIS'!J3247</f>
        <v>0</v>
      </c>
      <c r="S152" s="14" t="n">
        <f aca="false">'04 DETAILED RATE ANALYSIS'!J3248</f>
        <v>141600</v>
      </c>
      <c r="T152" s="13" t="n">
        <f aca="false">S152*100</f>
        <v>14160000</v>
      </c>
      <c r="U152" s="10" t="str">
        <f aca="false">IF(W152&gt;0,"INCOMPLETE – "&amp;W152&amp;" blank/old input(s)","Market-derived + assumptions")</f>
        <v>Market-derived + assumptions</v>
      </c>
      <c r="V152" s="9" t="s">
        <v>111</v>
      </c>
      <c r="W152" s="13" t="n">
        <f aca="false">'04 DETAILED RATE ANALYSIS'!J3249</f>
        <v>0</v>
      </c>
      <c r="X152" s="9" t="s">
        <v>664</v>
      </c>
      <c r="Y152" s="9" t="s">
        <v>110</v>
      </c>
      <c r="Z152" s="9" t="s">
        <v>114</v>
      </c>
      <c r="AA152" s="5" t="s">
        <v>710</v>
      </c>
      <c r="AB152" s="10" t="str">
        <f aca="false">IF(COUNTIF($A$5:$A$999,A152)&gt;1,"DUPLICATE","")</f>
        <v/>
      </c>
    </row>
    <row r="153" customFormat="false" ht="21.75" hidden="false" customHeight="true" outlineLevel="0" collapsed="false">
      <c r="A153" s="9" t="s">
        <v>747</v>
      </c>
      <c r="B153" s="9" t="s">
        <v>388</v>
      </c>
      <c r="C153" s="9" t="s">
        <v>394</v>
      </c>
      <c r="D153" s="9" t="s">
        <v>748</v>
      </c>
      <c r="E153" s="5" t="s">
        <v>749</v>
      </c>
      <c r="F153" s="5" t="s">
        <v>708</v>
      </c>
      <c r="G153" s="9" t="s">
        <v>212</v>
      </c>
      <c r="H153" s="9" t="str">
        <f aca="false">City</f>
        <v>Lahore</v>
      </c>
      <c r="I153" s="9" t="s">
        <v>110</v>
      </c>
      <c r="J153" s="13" t="n">
        <f aca="false">'04 DETAILED RATE ANALYSIS'!J3254</f>
        <v>1200</v>
      </c>
      <c r="K153" s="13" t="n">
        <f aca="false">'04 DETAILED RATE ANALYSIS'!J3257</f>
        <v>0</v>
      </c>
      <c r="L153" s="13" t="n">
        <f aca="false">'04 DETAILED RATE ANALYSIS'!J3258</f>
        <v>0</v>
      </c>
      <c r="M153" s="13" t="n">
        <f aca="false">'04 DETAILED RATE ANALYSIS'!J3259</f>
        <v>0</v>
      </c>
      <c r="N153" s="13" t="n">
        <f aca="false">'04 DETAILED RATE ANALYSIS'!J3255</f>
        <v>0</v>
      </c>
      <c r="O153" s="13" t="n">
        <f aca="false">'04 DETAILED RATE ANALYSIS'!J3260</f>
        <v>1200</v>
      </c>
      <c r="P153" s="13" t="n">
        <f aca="false">'04 DETAILED RATE ANALYSIS'!J3261+'04 DETAILED RATE ANALYSIS'!J3262</f>
        <v>96</v>
      </c>
      <c r="Q153" s="13" t="n">
        <f aca="false">'04 DETAILED RATE ANALYSIS'!J3263</f>
        <v>120</v>
      </c>
      <c r="R153" s="13" t="n">
        <f aca="false">'04 DETAILED RATE ANALYSIS'!J3265</f>
        <v>0</v>
      </c>
      <c r="S153" s="14" t="n">
        <f aca="false">'04 DETAILED RATE ANALYSIS'!J3266</f>
        <v>1416</v>
      </c>
      <c r="T153" s="13" t="n">
        <f aca="false">S153*100</f>
        <v>141600</v>
      </c>
      <c r="U153" s="10" t="str">
        <f aca="false">IF(W153&gt;0,"INCOMPLETE – "&amp;W153&amp;" blank/old input(s)","Market-derived + assumptions")</f>
        <v>Market-derived + assumptions</v>
      </c>
      <c r="V153" s="9" t="s">
        <v>111</v>
      </c>
      <c r="W153" s="13" t="n">
        <f aca="false">'04 DETAILED RATE ANALYSIS'!J3267</f>
        <v>0</v>
      </c>
      <c r="X153" s="9" t="s">
        <v>664</v>
      </c>
      <c r="Y153" s="9" t="s">
        <v>110</v>
      </c>
      <c r="Z153" s="9" t="s">
        <v>114</v>
      </c>
      <c r="AA153" s="5" t="s">
        <v>710</v>
      </c>
      <c r="AB153" s="10" t="str">
        <f aca="false">IF(COUNTIF($A$5:$A$999,A153)&gt;1,"DUPLICATE","")</f>
        <v/>
      </c>
    </row>
    <row r="154" customFormat="false" ht="21.75" hidden="false" customHeight="true" outlineLevel="0" collapsed="false">
      <c r="A154" s="9" t="s">
        <v>750</v>
      </c>
      <c r="B154" s="9" t="s">
        <v>388</v>
      </c>
      <c r="C154" s="9" t="s">
        <v>394</v>
      </c>
      <c r="D154" s="9" t="s">
        <v>751</v>
      </c>
      <c r="E154" s="5" t="s">
        <v>752</v>
      </c>
      <c r="F154" s="5" t="s">
        <v>708</v>
      </c>
      <c r="G154" s="9" t="s">
        <v>212</v>
      </c>
      <c r="H154" s="9" t="str">
        <f aca="false">City</f>
        <v>Lahore</v>
      </c>
      <c r="I154" s="9" t="s">
        <v>110</v>
      </c>
      <c r="J154" s="13" t="n">
        <f aca="false">'04 DETAILED RATE ANALYSIS'!J3272</f>
        <v>650</v>
      </c>
      <c r="K154" s="13" t="n">
        <f aca="false">'04 DETAILED RATE ANALYSIS'!J3275</f>
        <v>0</v>
      </c>
      <c r="L154" s="13" t="n">
        <f aca="false">'04 DETAILED RATE ANALYSIS'!J3276</f>
        <v>0</v>
      </c>
      <c r="M154" s="13" t="n">
        <f aca="false">'04 DETAILED RATE ANALYSIS'!J3277</f>
        <v>0</v>
      </c>
      <c r="N154" s="13" t="n">
        <f aca="false">'04 DETAILED RATE ANALYSIS'!J3273</f>
        <v>0</v>
      </c>
      <c r="O154" s="13" t="n">
        <f aca="false">'04 DETAILED RATE ANALYSIS'!J3278</f>
        <v>650</v>
      </c>
      <c r="P154" s="13" t="n">
        <f aca="false">'04 DETAILED RATE ANALYSIS'!J3279+'04 DETAILED RATE ANALYSIS'!J3280</f>
        <v>52</v>
      </c>
      <c r="Q154" s="13" t="n">
        <f aca="false">'04 DETAILED RATE ANALYSIS'!J3281</f>
        <v>65</v>
      </c>
      <c r="R154" s="13" t="n">
        <f aca="false">'04 DETAILED RATE ANALYSIS'!J3283</f>
        <v>0</v>
      </c>
      <c r="S154" s="14" t="n">
        <f aca="false">'04 DETAILED RATE ANALYSIS'!J3284</f>
        <v>767</v>
      </c>
      <c r="T154" s="13" t="n">
        <f aca="false">S154*100</f>
        <v>76700</v>
      </c>
      <c r="U154" s="10" t="str">
        <f aca="false">IF(W154&gt;0,"INCOMPLETE – "&amp;W154&amp;" blank/old input(s)","Market-derived + assumptions")</f>
        <v>Market-derived + assumptions</v>
      </c>
      <c r="V154" s="9" t="s">
        <v>111</v>
      </c>
      <c r="W154" s="13" t="n">
        <f aca="false">'04 DETAILED RATE ANALYSIS'!J3285</f>
        <v>0</v>
      </c>
      <c r="X154" s="9" t="s">
        <v>664</v>
      </c>
      <c r="Y154" s="9" t="s">
        <v>110</v>
      </c>
      <c r="Z154" s="9" t="s">
        <v>114</v>
      </c>
      <c r="AA154" s="5" t="s">
        <v>710</v>
      </c>
      <c r="AB154" s="10" t="str">
        <f aca="false">IF(COUNTIF($A$5:$A$999,A154)&gt;1,"DUPLICATE","")</f>
        <v/>
      </c>
    </row>
    <row r="155" customFormat="false" ht="21.75" hidden="false" customHeight="true" outlineLevel="0" collapsed="false">
      <c r="A155" s="9" t="s">
        <v>753</v>
      </c>
      <c r="B155" s="9" t="s">
        <v>388</v>
      </c>
      <c r="C155" s="9" t="s">
        <v>754</v>
      </c>
      <c r="D155" s="9" t="s">
        <v>754</v>
      </c>
      <c r="E155" s="5" t="s">
        <v>755</v>
      </c>
      <c r="F155" s="5" t="s">
        <v>708</v>
      </c>
      <c r="G155" s="9" t="s">
        <v>212</v>
      </c>
      <c r="H155" s="9" t="str">
        <f aca="false">City</f>
        <v>Lahore</v>
      </c>
      <c r="I155" s="9" t="s">
        <v>110</v>
      </c>
      <c r="J155" s="13" t="n">
        <f aca="false">'04 DETAILED RATE ANALYSIS'!J3290</f>
        <v>3500</v>
      </c>
      <c r="K155" s="13" t="n">
        <f aca="false">'04 DETAILED RATE ANALYSIS'!J3293</f>
        <v>0</v>
      </c>
      <c r="L155" s="13" t="n">
        <f aca="false">'04 DETAILED RATE ANALYSIS'!J3294</f>
        <v>0</v>
      </c>
      <c r="M155" s="13" t="n">
        <f aca="false">'04 DETAILED RATE ANALYSIS'!J3295</f>
        <v>0</v>
      </c>
      <c r="N155" s="13" t="n">
        <f aca="false">'04 DETAILED RATE ANALYSIS'!J3291</f>
        <v>0</v>
      </c>
      <c r="O155" s="13" t="n">
        <f aca="false">'04 DETAILED RATE ANALYSIS'!J3296</f>
        <v>3500</v>
      </c>
      <c r="P155" s="13" t="n">
        <f aca="false">'04 DETAILED RATE ANALYSIS'!J3297+'04 DETAILED RATE ANALYSIS'!J3298</f>
        <v>280</v>
      </c>
      <c r="Q155" s="13" t="n">
        <f aca="false">'04 DETAILED RATE ANALYSIS'!J3299</f>
        <v>350</v>
      </c>
      <c r="R155" s="13" t="n">
        <f aca="false">'04 DETAILED RATE ANALYSIS'!J3301</f>
        <v>0</v>
      </c>
      <c r="S155" s="14" t="n">
        <f aca="false">'04 DETAILED RATE ANALYSIS'!J3302</f>
        <v>4130</v>
      </c>
      <c r="T155" s="13" t="n">
        <f aca="false">S155*100</f>
        <v>413000</v>
      </c>
      <c r="U155" s="10" t="str">
        <f aca="false">IF(W155&gt;0,"INCOMPLETE – "&amp;W155&amp;" blank/old input(s)","Market-derived + assumptions")</f>
        <v>Market-derived + assumptions</v>
      </c>
      <c r="V155" s="9" t="s">
        <v>111</v>
      </c>
      <c r="W155" s="13" t="n">
        <f aca="false">'04 DETAILED RATE ANALYSIS'!J3303</f>
        <v>0</v>
      </c>
      <c r="X155" s="9" t="s">
        <v>664</v>
      </c>
      <c r="Y155" s="9" t="s">
        <v>110</v>
      </c>
      <c r="Z155" s="9" t="s">
        <v>114</v>
      </c>
      <c r="AA155" s="5" t="s">
        <v>710</v>
      </c>
      <c r="AB155" s="10" t="str">
        <f aca="false">IF(COUNTIF($A$5:$A$999,A155)&gt;1,"DUPLICATE","")</f>
        <v/>
      </c>
    </row>
    <row r="156" customFormat="false" ht="21.75" hidden="false" customHeight="true" outlineLevel="0" collapsed="false">
      <c r="A156" s="9" t="s">
        <v>756</v>
      </c>
      <c r="B156" s="9" t="s">
        <v>388</v>
      </c>
      <c r="C156" s="9" t="s">
        <v>757</v>
      </c>
      <c r="D156" s="9" t="s">
        <v>757</v>
      </c>
      <c r="E156" s="5" t="s">
        <v>758</v>
      </c>
      <c r="F156" s="5" t="s">
        <v>708</v>
      </c>
      <c r="G156" s="9" t="s">
        <v>212</v>
      </c>
      <c r="H156" s="9" t="str">
        <f aca="false">City</f>
        <v>Lahore</v>
      </c>
      <c r="I156" s="9" t="s">
        <v>110</v>
      </c>
      <c r="J156" s="13" t="n">
        <f aca="false">'04 DETAILED RATE ANALYSIS'!J3308</f>
        <v>2500</v>
      </c>
      <c r="K156" s="13" t="n">
        <f aca="false">'04 DETAILED RATE ANALYSIS'!J3311</f>
        <v>0</v>
      </c>
      <c r="L156" s="13" t="n">
        <f aca="false">'04 DETAILED RATE ANALYSIS'!J3312</f>
        <v>0</v>
      </c>
      <c r="M156" s="13" t="n">
        <f aca="false">'04 DETAILED RATE ANALYSIS'!J3313</f>
        <v>0</v>
      </c>
      <c r="N156" s="13" t="n">
        <f aca="false">'04 DETAILED RATE ANALYSIS'!J3309</f>
        <v>0</v>
      </c>
      <c r="O156" s="13" t="n">
        <f aca="false">'04 DETAILED RATE ANALYSIS'!J3314</f>
        <v>2500</v>
      </c>
      <c r="P156" s="13" t="n">
        <f aca="false">'04 DETAILED RATE ANALYSIS'!J3315+'04 DETAILED RATE ANALYSIS'!J3316</f>
        <v>200</v>
      </c>
      <c r="Q156" s="13" t="n">
        <f aca="false">'04 DETAILED RATE ANALYSIS'!J3317</f>
        <v>250</v>
      </c>
      <c r="R156" s="13" t="n">
        <f aca="false">'04 DETAILED RATE ANALYSIS'!J3319</f>
        <v>0</v>
      </c>
      <c r="S156" s="14" t="n">
        <f aca="false">'04 DETAILED RATE ANALYSIS'!J3320</f>
        <v>2950</v>
      </c>
      <c r="T156" s="13" t="n">
        <f aca="false">S156*100</f>
        <v>295000</v>
      </c>
      <c r="U156" s="10" t="str">
        <f aca="false">IF(W156&gt;0,"INCOMPLETE – "&amp;W156&amp;" blank/old input(s)","Market-derived + assumptions")</f>
        <v>Market-derived + assumptions</v>
      </c>
      <c r="V156" s="9" t="s">
        <v>111</v>
      </c>
      <c r="W156" s="13" t="n">
        <f aca="false">'04 DETAILED RATE ANALYSIS'!J3321</f>
        <v>0</v>
      </c>
      <c r="X156" s="9" t="s">
        <v>664</v>
      </c>
      <c r="Y156" s="9" t="s">
        <v>110</v>
      </c>
      <c r="Z156" s="9" t="s">
        <v>114</v>
      </c>
      <c r="AA156" s="5" t="s">
        <v>710</v>
      </c>
      <c r="AB156" s="10" t="str">
        <f aca="false">IF(COUNTIF($A$5:$A$999,A156)&gt;1,"DUPLICATE","")</f>
        <v/>
      </c>
    </row>
    <row r="157" customFormat="false" ht="32.25" hidden="false" customHeight="true" outlineLevel="0" collapsed="false">
      <c r="A157" s="9" t="s">
        <v>759</v>
      </c>
      <c r="B157" s="9" t="s">
        <v>688</v>
      </c>
      <c r="C157" s="9" t="s">
        <v>473</v>
      </c>
      <c r="D157" s="9" t="s">
        <v>760</v>
      </c>
      <c r="E157" s="5" t="s">
        <v>761</v>
      </c>
      <c r="F157" s="5" t="s">
        <v>708</v>
      </c>
      <c r="G157" s="9" t="s">
        <v>368</v>
      </c>
      <c r="H157" s="9" t="str">
        <f aca="false">City</f>
        <v>Lahore</v>
      </c>
      <c r="I157" s="9" t="s">
        <v>110</v>
      </c>
      <c r="J157" s="13" t="n">
        <f aca="false">'04 DETAILED RATE ANALYSIS'!J3328</f>
        <v>25000</v>
      </c>
      <c r="K157" s="13" t="n">
        <f aca="false">'04 DETAILED RATE ANALYSIS'!J3331</f>
        <v>4597.77777777778</v>
      </c>
      <c r="L157" s="13" t="n">
        <f aca="false">'04 DETAILED RATE ANALYSIS'!J3332</f>
        <v>0</v>
      </c>
      <c r="M157" s="13" t="n">
        <f aca="false">'04 DETAILED RATE ANALYSIS'!J3333</f>
        <v>0</v>
      </c>
      <c r="N157" s="13" t="n">
        <f aca="false">'04 DETAILED RATE ANALYSIS'!J3329</f>
        <v>0</v>
      </c>
      <c r="O157" s="13" t="n">
        <f aca="false">'04 DETAILED RATE ANALYSIS'!J3334</f>
        <v>29597.7777777778</v>
      </c>
      <c r="P157" s="13" t="n">
        <f aca="false">'04 DETAILED RATE ANALYSIS'!J3335+'04 DETAILED RATE ANALYSIS'!J3336</f>
        <v>2367.82222222222</v>
      </c>
      <c r="Q157" s="13" t="n">
        <f aca="false">'04 DETAILED RATE ANALYSIS'!J3337</f>
        <v>2959.77777777778</v>
      </c>
      <c r="R157" s="13" t="n">
        <f aca="false">'04 DETAILED RATE ANALYSIS'!J3339</f>
        <v>0</v>
      </c>
      <c r="S157" s="14" t="n">
        <f aca="false">'04 DETAILED RATE ANALYSIS'!J3340</f>
        <v>34925</v>
      </c>
      <c r="T157" s="13" t="n">
        <f aca="false">S157*100</f>
        <v>3492500</v>
      </c>
      <c r="U157" s="10" t="str">
        <f aca="false">IF(W157&gt;0,"INCOMPLETE – "&amp;W157&amp;" blank/old input(s)","Market-derived + assumptions")</f>
        <v>Market-derived + assumptions</v>
      </c>
      <c r="V157" s="9" t="s">
        <v>111</v>
      </c>
      <c r="W157" s="13" t="n">
        <f aca="false">'04 DETAILED RATE ANALYSIS'!J3341</f>
        <v>0</v>
      </c>
      <c r="X157" s="9" t="s">
        <v>664</v>
      </c>
      <c r="Y157" s="9" t="s">
        <v>110</v>
      </c>
      <c r="Z157" s="9" t="s">
        <v>114</v>
      </c>
      <c r="AA157" s="5" t="s">
        <v>762</v>
      </c>
      <c r="AB157" s="10" t="str">
        <f aca="false">IF(COUNTIF($A$5:$A$999,A157)&gt;1,"DUPLICATE","")</f>
        <v/>
      </c>
    </row>
    <row r="158" customFormat="false" ht="32.25" hidden="false" customHeight="true" outlineLevel="0" collapsed="false">
      <c r="A158" s="9" t="s">
        <v>763</v>
      </c>
      <c r="B158" s="9" t="s">
        <v>688</v>
      </c>
      <c r="C158" s="9" t="s">
        <v>434</v>
      </c>
      <c r="D158" s="9" t="s">
        <v>764</v>
      </c>
      <c r="E158" s="5" t="s">
        <v>765</v>
      </c>
      <c r="F158" s="5" t="s">
        <v>708</v>
      </c>
      <c r="G158" s="9" t="s">
        <v>386</v>
      </c>
      <c r="H158" s="9" t="str">
        <f aca="false">City</f>
        <v>Lahore</v>
      </c>
      <c r="I158" s="9" t="s">
        <v>110</v>
      </c>
      <c r="J158" s="13" t="n">
        <f aca="false">'04 DETAILED RATE ANALYSIS'!J3348</f>
        <v>180</v>
      </c>
      <c r="K158" s="13" t="n">
        <f aca="false">'04 DETAILED RATE ANALYSIS'!J3351</f>
        <v>91.9555555555556</v>
      </c>
      <c r="L158" s="13" t="n">
        <f aca="false">'04 DETAILED RATE ANALYSIS'!J3352</f>
        <v>0</v>
      </c>
      <c r="M158" s="13" t="n">
        <f aca="false">'04 DETAILED RATE ANALYSIS'!J3353</f>
        <v>0</v>
      </c>
      <c r="N158" s="13" t="n">
        <f aca="false">'04 DETAILED RATE ANALYSIS'!J3349</f>
        <v>0</v>
      </c>
      <c r="O158" s="13" t="n">
        <f aca="false">'04 DETAILED RATE ANALYSIS'!J3354</f>
        <v>271.955555555556</v>
      </c>
      <c r="P158" s="13" t="n">
        <f aca="false">'04 DETAILED RATE ANALYSIS'!J3355+'04 DETAILED RATE ANALYSIS'!J3356</f>
        <v>21.7564444444444</v>
      </c>
      <c r="Q158" s="13" t="n">
        <f aca="false">'04 DETAILED RATE ANALYSIS'!J3357</f>
        <v>27.1955555555556</v>
      </c>
      <c r="R158" s="13" t="n">
        <f aca="false">'04 DETAILED RATE ANALYSIS'!J3359</f>
        <v>0</v>
      </c>
      <c r="S158" s="14" t="n">
        <f aca="false">'04 DETAILED RATE ANALYSIS'!J3360</f>
        <v>321</v>
      </c>
      <c r="T158" s="13" t="n">
        <f aca="false">S158*100</f>
        <v>32100</v>
      </c>
      <c r="U158" s="10" t="str">
        <f aca="false">IF(W158&gt;0,"INCOMPLETE – "&amp;W158&amp;" blank/old input(s)","Market-derived + assumptions")</f>
        <v>Market-derived + assumptions</v>
      </c>
      <c r="V158" s="9" t="s">
        <v>111</v>
      </c>
      <c r="W158" s="13" t="n">
        <f aca="false">'04 DETAILED RATE ANALYSIS'!J3361</f>
        <v>0</v>
      </c>
      <c r="X158" s="9" t="s">
        <v>664</v>
      </c>
      <c r="Y158" s="9" t="s">
        <v>110</v>
      </c>
      <c r="Z158" s="9" t="s">
        <v>114</v>
      </c>
      <c r="AA158" s="5" t="s">
        <v>766</v>
      </c>
      <c r="AB158" s="10" t="str">
        <f aca="false">IF(COUNTIF($A$5:$A$999,A158)&gt;1,"DUPLICATE","")</f>
        <v/>
      </c>
    </row>
    <row r="159" customFormat="false" ht="21.75" hidden="false" customHeight="true" outlineLevel="0" collapsed="false">
      <c r="A159" s="9" t="s">
        <v>767</v>
      </c>
      <c r="B159" s="9" t="s">
        <v>688</v>
      </c>
      <c r="C159" s="9" t="s">
        <v>65</v>
      </c>
      <c r="D159" s="9" t="s">
        <v>768</v>
      </c>
      <c r="E159" s="5" t="s">
        <v>769</v>
      </c>
      <c r="F159" s="5" t="s">
        <v>708</v>
      </c>
      <c r="G159" s="9" t="s">
        <v>368</v>
      </c>
      <c r="H159" s="9" t="str">
        <f aca="false">City</f>
        <v>Lahore</v>
      </c>
      <c r="I159" s="9" t="s">
        <v>110</v>
      </c>
      <c r="J159" s="13" t="n">
        <f aca="false">'04 DETAILED RATE ANALYSIS'!J3366</f>
        <v>85000</v>
      </c>
      <c r="K159" s="13" t="n">
        <f aca="false">'04 DETAILED RATE ANALYSIS'!J3369</f>
        <v>0</v>
      </c>
      <c r="L159" s="13" t="n">
        <f aca="false">'04 DETAILED RATE ANALYSIS'!J3370</f>
        <v>0</v>
      </c>
      <c r="M159" s="13" t="n">
        <f aca="false">'04 DETAILED RATE ANALYSIS'!J3371</f>
        <v>0</v>
      </c>
      <c r="N159" s="13" t="n">
        <f aca="false">'04 DETAILED RATE ANALYSIS'!J3367</f>
        <v>0</v>
      </c>
      <c r="O159" s="13" t="n">
        <f aca="false">'04 DETAILED RATE ANALYSIS'!J3372</f>
        <v>85000</v>
      </c>
      <c r="P159" s="13" t="n">
        <f aca="false">'04 DETAILED RATE ANALYSIS'!J3373+'04 DETAILED RATE ANALYSIS'!J3374</f>
        <v>6800</v>
      </c>
      <c r="Q159" s="13" t="n">
        <f aca="false">'04 DETAILED RATE ANALYSIS'!J3375</f>
        <v>8500</v>
      </c>
      <c r="R159" s="13" t="n">
        <f aca="false">'04 DETAILED RATE ANALYSIS'!J3377</f>
        <v>0</v>
      </c>
      <c r="S159" s="14" t="n">
        <f aca="false">'04 DETAILED RATE ANALYSIS'!J3378</f>
        <v>100300</v>
      </c>
      <c r="T159" s="13" t="n">
        <f aca="false">S159*100</f>
        <v>10030000</v>
      </c>
      <c r="U159" s="10" t="str">
        <f aca="false">IF(W159&gt;0,"INCOMPLETE – "&amp;W159&amp;" blank/old input(s)","Market-derived + assumptions")</f>
        <v>Market-derived + assumptions</v>
      </c>
      <c r="V159" s="9" t="s">
        <v>111</v>
      </c>
      <c r="W159" s="13" t="n">
        <f aca="false">'04 DETAILED RATE ANALYSIS'!J3379</f>
        <v>0</v>
      </c>
      <c r="X159" s="9" t="s">
        <v>664</v>
      </c>
      <c r="Y159" s="9" t="s">
        <v>110</v>
      </c>
      <c r="Z159" s="9" t="s">
        <v>114</v>
      </c>
      <c r="AA159" s="5" t="s">
        <v>710</v>
      </c>
      <c r="AB159" s="10" t="str">
        <f aca="false">IF(COUNTIF($A$5:$A$999,A159)&gt;1,"DUPLICATE","")</f>
        <v/>
      </c>
    </row>
    <row r="160" customFormat="false" ht="21.75" hidden="false" customHeight="true" outlineLevel="0" collapsed="false">
      <c r="A160" s="9" t="s">
        <v>770</v>
      </c>
      <c r="B160" s="9" t="s">
        <v>688</v>
      </c>
      <c r="C160" s="9" t="s">
        <v>546</v>
      </c>
      <c r="D160" s="9" t="s">
        <v>771</v>
      </c>
      <c r="E160" s="5" t="s">
        <v>772</v>
      </c>
      <c r="F160" s="5" t="s">
        <v>708</v>
      </c>
      <c r="G160" s="9" t="s">
        <v>386</v>
      </c>
      <c r="H160" s="9" t="str">
        <f aca="false">City</f>
        <v>Lahore</v>
      </c>
      <c r="I160" s="9" t="s">
        <v>110</v>
      </c>
      <c r="J160" s="13" t="n">
        <f aca="false">'04 DETAILED RATE ANALYSIS'!J3384</f>
        <v>350</v>
      </c>
      <c r="K160" s="13" t="n">
        <f aca="false">'04 DETAILED RATE ANALYSIS'!J3387</f>
        <v>0</v>
      </c>
      <c r="L160" s="13" t="n">
        <f aca="false">'04 DETAILED RATE ANALYSIS'!J3388</f>
        <v>0</v>
      </c>
      <c r="M160" s="13" t="n">
        <f aca="false">'04 DETAILED RATE ANALYSIS'!J3389</f>
        <v>0</v>
      </c>
      <c r="N160" s="13" t="n">
        <f aca="false">'04 DETAILED RATE ANALYSIS'!J3385</f>
        <v>0</v>
      </c>
      <c r="O160" s="13" t="n">
        <f aca="false">'04 DETAILED RATE ANALYSIS'!J3390</f>
        <v>350</v>
      </c>
      <c r="P160" s="13" t="n">
        <f aca="false">'04 DETAILED RATE ANALYSIS'!J3391+'04 DETAILED RATE ANALYSIS'!J3392</f>
        <v>28</v>
      </c>
      <c r="Q160" s="13" t="n">
        <f aca="false">'04 DETAILED RATE ANALYSIS'!J3393</f>
        <v>35</v>
      </c>
      <c r="R160" s="13" t="n">
        <f aca="false">'04 DETAILED RATE ANALYSIS'!J3395</f>
        <v>0</v>
      </c>
      <c r="S160" s="14" t="n">
        <f aca="false">'04 DETAILED RATE ANALYSIS'!J3396</f>
        <v>413</v>
      </c>
      <c r="T160" s="13" t="n">
        <f aca="false">S160*100</f>
        <v>41300</v>
      </c>
      <c r="U160" s="10" t="str">
        <f aca="false">IF(W160&gt;0,"INCOMPLETE – "&amp;W160&amp;" blank/old input(s)","Market-derived + assumptions")</f>
        <v>Market-derived + assumptions</v>
      </c>
      <c r="V160" s="9" t="s">
        <v>111</v>
      </c>
      <c r="W160" s="13" t="n">
        <f aca="false">'04 DETAILED RATE ANALYSIS'!J3397</f>
        <v>0</v>
      </c>
      <c r="X160" s="9" t="s">
        <v>664</v>
      </c>
      <c r="Y160" s="9" t="s">
        <v>110</v>
      </c>
      <c r="Z160" s="9" t="s">
        <v>114</v>
      </c>
      <c r="AA160" s="5" t="s">
        <v>710</v>
      </c>
      <c r="AB160" s="10" t="str">
        <f aca="false">IF(COUNTIF($A$5:$A$999,A160)&gt;1,"DUPLICATE","")</f>
        <v/>
      </c>
    </row>
    <row r="161" customFormat="false" ht="21.75" hidden="false" customHeight="true" outlineLevel="0" collapsed="false">
      <c r="A161" s="9" t="s">
        <v>773</v>
      </c>
      <c r="B161" s="9" t="s">
        <v>688</v>
      </c>
      <c r="C161" s="9" t="s">
        <v>567</v>
      </c>
      <c r="D161" s="9" t="s">
        <v>774</v>
      </c>
      <c r="E161" s="5" t="s">
        <v>775</v>
      </c>
      <c r="F161" s="5" t="s">
        <v>708</v>
      </c>
      <c r="G161" s="9" t="s">
        <v>368</v>
      </c>
      <c r="H161" s="9" t="str">
        <f aca="false">City</f>
        <v>Lahore</v>
      </c>
      <c r="I161" s="9" t="s">
        <v>110</v>
      </c>
      <c r="J161" s="13" t="n">
        <f aca="false">'04 DETAILED RATE ANALYSIS'!J3402</f>
        <v>22000000</v>
      </c>
      <c r="K161" s="13" t="n">
        <f aca="false">'04 DETAILED RATE ANALYSIS'!J3405</f>
        <v>0</v>
      </c>
      <c r="L161" s="13" t="n">
        <f aca="false">'04 DETAILED RATE ANALYSIS'!J3406</f>
        <v>0</v>
      </c>
      <c r="M161" s="13" t="n">
        <f aca="false">'04 DETAILED RATE ANALYSIS'!J3407</f>
        <v>0</v>
      </c>
      <c r="N161" s="13" t="n">
        <f aca="false">'04 DETAILED RATE ANALYSIS'!J3403</f>
        <v>0</v>
      </c>
      <c r="O161" s="13" t="n">
        <f aca="false">'04 DETAILED RATE ANALYSIS'!J3408</f>
        <v>22000000</v>
      </c>
      <c r="P161" s="13" t="n">
        <f aca="false">'04 DETAILED RATE ANALYSIS'!J3409+'04 DETAILED RATE ANALYSIS'!J3410</f>
        <v>1760000</v>
      </c>
      <c r="Q161" s="13" t="n">
        <f aca="false">'04 DETAILED RATE ANALYSIS'!J3411</f>
        <v>2200000</v>
      </c>
      <c r="R161" s="13" t="n">
        <f aca="false">'04 DETAILED RATE ANALYSIS'!J3413</f>
        <v>0</v>
      </c>
      <c r="S161" s="14" t="n">
        <f aca="false">'04 DETAILED RATE ANALYSIS'!J3414</f>
        <v>25960000</v>
      </c>
      <c r="T161" s="13" t="n">
        <f aca="false">S161*100</f>
        <v>2596000000</v>
      </c>
      <c r="U161" s="10" t="str">
        <f aca="false">IF(W161&gt;0,"INCOMPLETE – "&amp;W161&amp;" blank/old input(s)","Market-derived + assumptions")</f>
        <v>Market-derived + assumptions</v>
      </c>
      <c r="V161" s="9" t="s">
        <v>111</v>
      </c>
      <c r="W161" s="13" t="n">
        <f aca="false">'04 DETAILED RATE ANALYSIS'!J3415</f>
        <v>0</v>
      </c>
      <c r="X161" s="9" t="s">
        <v>664</v>
      </c>
      <c r="Y161" s="9" t="s">
        <v>110</v>
      </c>
      <c r="Z161" s="9" t="s">
        <v>114</v>
      </c>
      <c r="AA161" s="5" t="s">
        <v>710</v>
      </c>
      <c r="AB161" s="10" t="str">
        <f aca="false">IF(COUNTIF($A$5:$A$999,A161)&gt;1,"DUPLICATE","")</f>
        <v/>
      </c>
    </row>
    <row r="162" customFormat="false" ht="21.75" hidden="false" customHeight="true" outlineLevel="0" collapsed="false">
      <c r="A162" s="9" t="s">
        <v>776</v>
      </c>
      <c r="B162" s="9" t="s">
        <v>403</v>
      </c>
      <c r="C162" s="9" t="s">
        <v>428</v>
      </c>
      <c r="D162" s="9" t="s">
        <v>777</v>
      </c>
      <c r="E162" s="5" t="s">
        <v>778</v>
      </c>
      <c r="F162" s="5" t="s">
        <v>708</v>
      </c>
      <c r="G162" s="9" t="s">
        <v>212</v>
      </c>
      <c r="H162" s="9" t="str">
        <f aca="false">City</f>
        <v>Lahore</v>
      </c>
      <c r="I162" s="9" t="s">
        <v>110</v>
      </c>
      <c r="J162" s="13" t="n">
        <f aca="false">'04 DETAILED RATE ANALYSIS'!J3420</f>
        <v>80</v>
      </c>
      <c r="K162" s="13" t="n">
        <f aca="false">'04 DETAILED RATE ANALYSIS'!J3423</f>
        <v>0</v>
      </c>
      <c r="L162" s="13" t="n">
        <f aca="false">'04 DETAILED RATE ANALYSIS'!J3424</f>
        <v>0</v>
      </c>
      <c r="M162" s="13" t="n">
        <f aca="false">'04 DETAILED RATE ANALYSIS'!J3425</f>
        <v>0</v>
      </c>
      <c r="N162" s="13" t="n">
        <f aca="false">'04 DETAILED RATE ANALYSIS'!J3421</f>
        <v>0</v>
      </c>
      <c r="O162" s="13" t="n">
        <f aca="false">'04 DETAILED RATE ANALYSIS'!J3426</f>
        <v>80</v>
      </c>
      <c r="P162" s="13" t="n">
        <f aca="false">'04 DETAILED RATE ANALYSIS'!J3427+'04 DETAILED RATE ANALYSIS'!J3428</f>
        <v>6.4</v>
      </c>
      <c r="Q162" s="13" t="n">
        <f aca="false">'04 DETAILED RATE ANALYSIS'!J3429</f>
        <v>8</v>
      </c>
      <c r="R162" s="13" t="n">
        <f aca="false">'04 DETAILED RATE ANALYSIS'!J3431</f>
        <v>0</v>
      </c>
      <c r="S162" s="14" t="n">
        <f aca="false">'04 DETAILED RATE ANALYSIS'!J3432</f>
        <v>94</v>
      </c>
      <c r="T162" s="13" t="n">
        <f aca="false">S162*100</f>
        <v>9400</v>
      </c>
      <c r="U162" s="10" t="str">
        <f aca="false">IF(W162&gt;0,"INCOMPLETE – "&amp;W162&amp;" blank/old input(s)","Market-derived + assumptions")</f>
        <v>Market-derived + assumptions</v>
      </c>
      <c r="V162" s="9" t="s">
        <v>111</v>
      </c>
      <c r="W162" s="13" t="n">
        <f aca="false">'04 DETAILED RATE ANALYSIS'!J3433</f>
        <v>0</v>
      </c>
      <c r="X162" s="9" t="s">
        <v>664</v>
      </c>
      <c r="Y162" s="9" t="s">
        <v>110</v>
      </c>
      <c r="Z162" s="9" t="s">
        <v>114</v>
      </c>
      <c r="AA162" s="5" t="s">
        <v>710</v>
      </c>
      <c r="AB162" s="10" t="str">
        <f aca="false">IF(COUNTIF($A$5:$A$999,A162)&gt;1,"DUPLICATE","")</f>
        <v/>
      </c>
    </row>
    <row r="163" customFormat="false" ht="21.75" hidden="false" customHeight="true" outlineLevel="0" collapsed="false">
      <c r="A163" s="9" t="s">
        <v>779</v>
      </c>
      <c r="B163" s="9" t="s">
        <v>688</v>
      </c>
      <c r="C163" s="9" t="s">
        <v>67</v>
      </c>
      <c r="D163" s="9" t="s">
        <v>780</v>
      </c>
      <c r="E163" s="5" t="s">
        <v>781</v>
      </c>
      <c r="F163" s="5" t="s">
        <v>708</v>
      </c>
      <c r="G163" s="9" t="s">
        <v>782</v>
      </c>
      <c r="H163" s="9" t="str">
        <f aca="false">City</f>
        <v>Lahore</v>
      </c>
      <c r="I163" s="9" t="s">
        <v>110</v>
      </c>
      <c r="J163" s="13" t="n">
        <f aca="false">'04 DETAILED RATE ANALYSIS'!J3438</f>
        <v>300000</v>
      </c>
      <c r="K163" s="13" t="n">
        <f aca="false">'04 DETAILED RATE ANALYSIS'!J3441</f>
        <v>0</v>
      </c>
      <c r="L163" s="13" t="n">
        <f aca="false">'04 DETAILED RATE ANALYSIS'!J3442</f>
        <v>0</v>
      </c>
      <c r="M163" s="13" t="n">
        <f aca="false">'04 DETAILED RATE ANALYSIS'!J3443</f>
        <v>0</v>
      </c>
      <c r="N163" s="13" t="n">
        <f aca="false">'04 DETAILED RATE ANALYSIS'!J3439</f>
        <v>0</v>
      </c>
      <c r="O163" s="13" t="n">
        <f aca="false">'04 DETAILED RATE ANALYSIS'!J3444</f>
        <v>300000</v>
      </c>
      <c r="P163" s="13" t="n">
        <f aca="false">'04 DETAILED RATE ANALYSIS'!J3445+'04 DETAILED RATE ANALYSIS'!J3446</f>
        <v>24000</v>
      </c>
      <c r="Q163" s="13" t="n">
        <f aca="false">'04 DETAILED RATE ANALYSIS'!J3447</f>
        <v>30000</v>
      </c>
      <c r="R163" s="13" t="n">
        <f aca="false">'04 DETAILED RATE ANALYSIS'!J3449</f>
        <v>0</v>
      </c>
      <c r="S163" s="14" t="n">
        <f aca="false">'04 DETAILED RATE ANALYSIS'!J3450</f>
        <v>354000</v>
      </c>
      <c r="T163" s="13" t="n">
        <f aca="false">S163*100</f>
        <v>35400000</v>
      </c>
      <c r="U163" s="10" t="str">
        <f aca="false">IF(W163&gt;0,"INCOMPLETE – "&amp;W163&amp;" blank/old input(s)","Market-derived + assumptions")</f>
        <v>Market-derived + assumptions</v>
      </c>
      <c r="V163" s="9" t="s">
        <v>111</v>
      </c>
      <c r="W163" s="13" t="n">
        <f aca="false">'04 DETAILED RATE ANALYSIS'!J3451</f>
        <v>0</v>
      </c>
      <c r="X163" s="9" t="s">
        <v>664</v>
      </c>
      <c r="Y163" s="9" t="s">
        <v>110</v>
      </c>
      <c r="Z163" s="9" t="s">
        <v>114</v>
      </c>
      <c r="AA163" s="5" t="s">
        <v>710</v>
      </c>
      <c r="AB163" s="10" t="str">
        <f aca="false">IF(COUNTIF($A$5:$A$999,A163)&gt;1,"DUPLICATE","")</f>
        <v/>
      </c>
    </row>
    <row r="164" customFormat="false" ht="21.75" hidden="false" customHeight="true" outlineLevel="0" collapsed="false">
      <c r="A164" s="9" t="s">
        <v>783</v>
      </c>
      <c r="B164" s="9" t="s">
        <v>688</v>
      </c>
      <c r="C164" s="9" t="s">
        <v>503</v>
      </c>
      <c r="D164" s="9" t="s">
        <v>784</v>
      </c>
      <c r="E164" s="5" t="s">
        <v>785</v>
      </c>
      <c r="F164" s="5" t="s">
        <v>708</v>
      </c>
      <c r="G164" s="9" t="s">
        <v>368</v>
      </c>
      <c r="H164" s="9" t="str">
        <f aca="false">City</f>
        <v>Lahore</v>
      </c>
      <c r="I164" s="9" t="s">
        <v>110</v>
      </c>
      <c r="J164" s="13" t="n">
        <f aca="false">'04 DETAILED RATE ANALYSIS'!J3456</f>
        <v>2000000</v>
      </c>
      <c r="K164" s="13" t="n">
        <f aca="false">'04 DETAILED RATE ANALYSIS'!J3459</f>
        <v>0</v>
      </c>
      <c r="L164" s="13" t="n">
        <f aca="false">'04 DETAILED RATE ANALYSIS'!J3460</f>
        <v>0</v>
      </c>
      <c r="M164" s="13" t="n">
        <f aca="false">'04 DETAILED RATE ANALYSIS'!J3461</f>
        <v>0</v>
      </c>
      <c r="N164" s="13" t="n">
        <f aca="false">'04 DETAILED RATE ANALYSIS'!J3457</f>
        <v>0</v>
      </c>
      <c r="O164" s="13" t="n">
        <f aca="false">'04 DETAILED RATE ANALYSIS'!J3462</f>
        <v>2000000</v>
      </c>
      <c r="P164" s="13" t="n">
        <f aca="false">'04 DETAILED RATE ANALYSIS'!J3463+'04 DETAILED RATE ANALYSIS'!J3464</f>
        <v>160000</v>
      </c>
      <c r="Q164" s="13" t="n">
        <f aca="false">'04 DETAILED RATE ANALYSIS'!J3465</f>
        <v>200000</v>
      </c>
      <c r="R164" s="13" t="n">
        <f aca="false">'04 DETAILED RATE ANALYSIS'!J3467</f>
        <v>0</v>
      </c>
      <c r="S164" s="14" t="n">
        <f aca="false">'04 DETAILED RATE ANALYSIS'!J3468</f>
        <v>2360000</v>
      </c>
      <c r="T164" s="13" t="n">
        <f aca="false">S164*100</f>
        <v>236000000</v>
      </c>
      <c r="U164" s="10" t="str">
        <f aca="false">IF(W164&gt;0,"INCOMPLETE – "&amp;W164&amp;" blank/old input(s)","Market-derived + assumptions")</f>
        <v>Market-derived + assumptions</v>
      </c>
      <c r="V164" s="9" t="s">
        <v>111</v>
      </c>
      <c r="W164" s="13" t="n">
        <f aca="false">'04 DETAILED RATE ANALYSIS'!J3469</f>
        <v>0</v>
      </c>
      <c r="X164" s="9" t="s">
        <v>664</v>
      </c>
      <c r="Y164" s="9" t="s">
        <v>110</v>
      </c>
      <c r="Z164" s="9" t="s">
        <v>114</v>
      </c>
      <c r="AA164" s="5" t="s">
        <v>710</v>
      </c>
      <c r="AB164" s="10" t="str">
        <f aca="false">IF(COUNTIF($A$5:$A$999,A164)&gt;1,"DUPLICATE","")</f>
        <v/>
      </c>
    </row>
  </sheetData>
  <autoFilter ref="A4:AB164"/>
  <conditionalFormatting sqref="U5:U129">
    <cfRule type="expression" priority="2" aboveAverage="0" equalAverage="0" bottom="0" percent="0" rank="0" text="" dxfId="7">
      <formula>LEFT(U5,10)="INCOMPLETE"</formula>
    </cfRule>
  </conditionalFormatting>
  <conditionalFormatting sqref="AB5:AB129">
    <cfRule type="expression" priority="3" aboveAverage="0" equalAverage="0" bottom="0" percent="0" rank="0" text="" dxfId="7">
      <formula>AB5="DUPLICATE"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50"/>
    <col collapsed="false" customWidth="true" hidden="false" outlineLevel="0" max="5" min="5" style="1" width="7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0"/>
  </cols>
  <sheetData>
    <row r="1" customFormat="false" ht="15.75" hidden="false" customHeight="true" outlineLevel="0" collapsed="false">
      <c r="A1" s="2" t="s">
        <v>786</v>
      </c>
    </row>
    <row r="2" customFormat="false" ht="15" hidden="false" customHeight="true" outlineLevel="0" collapsed="false">
      <c r="A2" s="3" t="s">
        <v>787</v>
      </c>
    </row>
    <row r="4" customFormat="false" ht="39.75" hidden="false" customHeight="true" outlineLevel="0" collapsed="false">
      <c r="A4" s="4" t="s">
        <v>103</v>
      </c>
      <c r="B4" s="16" t="s">
        <v>107</v>
      </c>
      <c r="C4" s="16"/>
      <c r="D4" s="16"/>
      <c r="E4" s="16"/>
      <c r="F4" s="16"/>
      <c r="G4" s="16"/>
      <c r="H4" s="16"/>
      <c r="I4" s="16"/>
      <c r="J4" s="4" t="s">
        <v>788</v>
      </c>
      <c r="K4" s="17"/>
    </row>
    <row r="5" customFormat="false" ht="21.75" hidden="false" customHeight="true" outlineLevel="0" collapsed="false">
      <c r="A5" s="12" t="s">
        <v>75</v>
      </c>
      <c r="B5" s="12" t="s">
        <v>789</v>
      </c>
      <c r="C5" s="12" t="s">
        <v>790</v>
      </c>
      <c r="D5" s="12" t="s">
        <v>791</v>
      </c>
      <c r="E5" s="12" t="s">
        <v>81</v>
      </c>
      <c r="F5" s="12" t="s">
        <v>792</v>
      </c>
      <c r="G5" s="12" t="s">
        <v>793</v>
      </c>
      <c r="H5" s="12" t="s">
        <v>794</v>
      </c>
      <c r="I5" s="12" t="s">
        <v>795</v>
      </c>
      <c r="J5" s="12" t="s">
        <v>796</v>
      </c>
      <c r="K5" s="12" t="s">
        <v>797</v>
      </c>
    </row>
    <row r="6" customFormat="false" ht="15" hidden="false" customHeight="true" outlineLevel="0" collapsed="false">
      <c r="A6" s="9" t="s">
        <v>103</v>
      </c>
      <c r="B6" s="9" t="s">
        <v>798</v>
      </c>
      <c r="C6" s="9" t="s">
        <v>799</v>
      </c>
      <c r="D6" s="5" t="s">
        <v>800</v>
      </c>
      <c r="E6" s="9" t="s">
        <v>801</v>
      </c>
      <c r="F6" s="18" t="n">
        <f aca="false">'15 MIX DESIGN LIBRARY'!J5</f>
        <v>0.31148237292935</v>
      </c>
      <c r="G6" s="13" t="n">
        <f aca="false">N(INDEX('05 MATERIAL RATE LIBRARY'!$E$5:$E$400,MATCH("MAT-CEM-OPC",'05 MATERIAL RATE LIBRARY'!$A$5:$A$400,0)))</f>
        <v>1575</v>
      </c>
      <c r="H6" s="19" t="n">
        <f aca="false">W_Cem</f>
        <v>0.02</v>
      </c>
      <c r="I6" s="18" t="n">
        <f aca="false">F6*(1+H6)</f>
        <v>0.317712020387937</v>
      </c>
      <c r="J6" s="13" t="n">
        <f aca="false">I6*G6</f>
        <v>500.396432111001</v>
      </c>
      <c r="K6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" customFormat="false" ht="15" hidden="false" customHeight="true" outlineLevel="0" collapsed="false">
      <c r="A7" s="9" t="s">
        <v>103</v>
      </c>
      <c r="B7" s="9" t="s">
        <v>798</v>
      </c>
      <c r="C7" s="9" t="s">
        <v>802</v>
      </c>
      <c r="D7" s="5" t="s">
        <v>803</v>
      </c>
      <c r="E7" s="9" t="s">
        <v>109</v>
      </c>
      <c r="F7" s="18" t="n">
        <f aca="false">'15 MIX DESIGN LIBRARY'!J6</f>
        <v>0.278901649857168</v>
      </c>
      <c r="G7" s="13" t="n">
        <f aca="false">N(INDEX('05 MATERIAL RATE LIBRARY'!$E$5:$E$400,MATCH("MAT-CRS-SGD",'05 MATERIAL RATE LIBRARY'!$A$5:$A$400,0)))</f>
        <v>185</v>
      </c>
      <c r="H7" s="19" t="n">
        <f aca="false">W_Agg</f>
        <v>0.05</v>
      </c>
      <c r="I7" s="18" t="n">
        <f aca="false">F7*(1+H7)</f>
        <v>0.292846732350026</v>
      </c>
      <c r="J7" s="13" t="n">
        <f aca="false">I7*G7</f>
        <v>54.1766454847549</v>
      </c>
      <c r="K7" s="20" t="str">
        <f aca="false">IF(INDEX('05 MATERIAL RATE LIBRARY'!$M$5:$M$400,MATCH("MAT-CRS-SGD",'05 MATERIAL RATE LIBRARY'!$A$5:$A$400,0))=1,"",IF(INDEX('05 MATERIAL RATE LIBRARY'!$M$5:$M$400,MATCH("MAT-CRS-SGD",'05 MATERIAL RATE LIBRARY'!$A$5:$A$400,0))=2,"OLD RATE","NO RATE"))</f>
        <v/>
      </c>
    </row>
    <row r="8" customFormat="false" ht="15" hidden="false" customHeight="true" outlineLevel="0" collapsed="false">
      <c r="A8" s="9" t="s">
        <v>103</v>
      </c>
      <c r="B8" s="9" t="s">
        <v>798</v>
      </c>
      <c r="C8" s="9" t="s">
        <v>802</v>
      </c>
      <c r="D8" s="5" t="s">
        <v>804</v>
      </c>
      <c r="E8" s="9" t="s">
        <v>109</v>
      </c>
      <c r="F8" s="18" t="n">
        <f aca="false">'15 MIX DESIGN LIBRARY'!J7</f>
        <v>0.418352474785752</v>
      </c>
      <c r="G8" s="13" t="n">
        <f aca="false">N(INDEX('05 MATERIAL RATE LIBRARY'!$E$5:$E$400,MATCH("MAT-CRS-SGD",'05 MATERIAL RATE LIBRARY'!$A$5:$A$400,0)))</f>
        <v>185</v>
      </c>
      <c r="H8" s="19" t="n">
        <f aca="false">W_Agg</f>
        <v>0.05</v>
      </c>
      <c r="I8" s="18" t="n">
        <f aca="false">F8*(1+H8)</f>
        <v>0.439270098525039</v>
      </c>
      <c r="J8" s="13" t="n">
        <f aca="false">I8*G8</f>
        <v>81.2649682271323</v>
      </c>
      <c r="K8" s="20" t="str">
        <f aca="false">IF(INDEX('05 MATERIAL RATE LIBRARY'!$M$5:$M$400,MATCH("MAT-CRS-SGD",'05 MATERIAL RATE LIBRARY'!$A$5:$A$400,0))=1,"",IF(INDEX('05 MATERIAL RATE LIBRARY'!$M$5:$M$400,MATCH("MAT-CRS-SGD",'05 MATERIAL RATE LIBRARY'!$A$5:$A$400,0))=2,"OLD RATE","NO RATE"))</f>
        <v/>
      </c>
    </row>
    <row r="9" customFormat="false" ht="15" hidden="false" customHeight="true" outlineLevel="0" collapsed="false">
      <c r="A9" s="9" t="s">
        <v>103</v>
      </c>
      <c r="B9" s="9" t="s">
        <v>798</v>
      </c>
      <c r="C9" s="9" t="s">
        <v>805</v>
      </c>
      <c r="D9" s="5" t="s">
        <v>806</v>
      </c>
      <c r="E9" s="9" t="s">
        <v>109</v>
      </c>
      <c r="F9" s="18" t="n">
        <f aca="false">'15 MIX DESIGN LIBRARY'!J8</f>
        <v>0.407569965548162</v>
      </c>
      <c r="G9" s="13" t="n">
        <f aca="false">N(INDEX('05 MATERIAL RATE LIBRARY'!$E$5:$E$400,MATCH("MAT-SND-LWP",'05 MATERIAL RATE LIBRARY'!$A$5:$A$400,0)))</f>
        <v>240</v>
      </c>
      <c r="H9" s="19" t="n">
        <f aca="false">W_Agg</f>
        <v>0.05</v>
      </c>
      <c r="I9" s="18" t="n">
        <f aca="false">F9*(1+H9)</f>
        <v>0.42794846382557</v>
      </c>
      <c r="J9" s="13" t="n">
        <f aca="false">I9*G9</f>
        <v>102.707631318137</v>
      </c>
      <c r="K9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10" customFormat="false" ht="15" hidden="false" customHeight="true" outlineLevel="0" collapsed="false">
      <c r="A10" s="9" t="s">
        <v>103</v>
      </c>
      <c r="B10" s="9" t="s">
        <v>798</v>
      </c>
      <c r="C10" s="9" t="s">
        <v>807</v>
      </c>
      <c r="D10" s="5" t="s">
        <v>808</v>
      </c>
      <c r="E10" s="9" t="s">
        <v>198</v>
      </c>
      <c r="F10" s="18" t="n">
        <f aca="false">'15 MIX DESIGN LIBRARY'!J9</f>
        <v>0.217754495256973</v>
      </c>
      <c r="G10" s="13" t="n">
        <f aca="false">N(INDEX('05 MATERIAL RATE LIBRARY'!$E$5:$E$400,MATCH("MAT-ADM-SP",'05 MATERIAL RATE LIBRARY'!$A$5:$A$400,0)))</f>
        <v>185</v>
      </c>
      <c r="H10" s="19" t="n">
        <f aca="false">W_Adm</f>
        <v>0.02</v>
      </c>
      <c r="I10" s="18" t="n">
        <f aca="false">F10*(1+H10)</f>
        <v>0.222109585162112</v>
      </c>
      <c r="J10" s="13" t="n">
        <f aca="false">I10*G10</f>
        <v>41.0902732549908</v>
      </c>
      <c r="K10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11" customFormat="false" ht="15" hidden="false" customHeight="true" outlineLevel="0" collapsed="false">
      <c r="A11" s="9" t="s">
        <v>103</v>
      </c>
      <c r="B11" s="9" t="s">
        <v>798</v>
      </c>
      <c r="C11" s="9" t="s">
        <v>809</v>
      </c>
      <c r="D11" s="5" t="s">
        <v>810</v>
      </c>
      <c r="E11" s="9" t="s">
        <v>811</v>
      </c>
      <c r="F11" s="18" t="n">
        <f aca="false">'15 MIX DESIGN LIBRARY'!J10</f>
        <v>5.29520033979895</v>
      </c>
      <c r="G11" s="13" t="n">
        <f aca="false">N(INDEX('05 MATERIAL RATE LIBRARY'!$E$5:$E$400,MATCH("MAT-WTR",'05 MATERIAL RATE LIBRARY'!$A$5:$A$400,0)))</f>
        <v>0.686</v>
      </c>
      <c r="H11" s="19" t="n">
        <f aca="false">W_Wtr</f>
        <v>0</v>
      </c>
      <c r="I11" s="18" t="n">
        <f aca="false">F11*(1+H11)</f>
        <v>5.29520033979895</v>
      </c>
      <c r="J11" s="13" t="n">
        <f aca="false">I11*G11</f>
        <v>3.63250743310208</v>
      </c>
      <c r="K11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2" customFormat="false" ht="15" hidden="false" customHeight="true" outlineLevel="0" collapsed="false">
      <c r="A12" s="9" t="s">
        <v>103</v>
      </c>
      <c r="B12" s="9" t="s">
        <v>812</v>
      </c>
      <c r="C12" s="9" t="s">
        <v>813</v>
      </c>
      <c r="D12" s="5" t="s">
        <v>814</v>
      </c>
      <c r="E12" s="9" t="s">
        <v>815</v>
      </c>
      <c r="F12" s="18" t="n">
        <f aca="false">'13 PRODUCTIVITY LIBRARY'!E5/'13 PRODUCTIVITY LIBRARY'!D5</f>
        <v>0.01</v>
      </c>
      <c r="G12" s="13" t="n">
        <f aca="false">N(INDEX('06 LABOUR RATE LIBRARY'!$D$5:$D$100,MATCH("LAB-MSN",'06 LABOUR RATE LIBRARY'!$A$5:$A$100,0)))</f>
        <v>2200</v>
      </c>
      <c r="H12" s="21" t="n">
        <v>0</v>
      </c>
      <c r="I12" s="18" t="n">
        <f aca="false">F12*(1+H12)</f>
        <v>0.01</v>
      </c>
      <c r="J12" s="13" t="n">
        <f aca="false">I12*G12</f>
        <v>22</v>
      </c>
      <c r="K12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3" customFormat="false" ht="15" hidden="false" customHeight="true" outlineLevel="0" collapsed="false">
      <c r="A13" s="9" t="s">
        <v>103</v>
      </c>
      <c r="B13" s="9" t="s">
        <v>812</v>
      </c>
      <c r="C13" s="9" t="s">
        <v>816</v>
      </c>
      <c r="D13" s="5" t="s">
        <v>817</v>
      </c>
      <c r="E13" s="9" t="s">
        <v>815</v>
      </c>
      <c r="F13" s="18" t="n">
        <f aca="false">'13 PRODUCTIVITY LIBRARY'!F5/'13 PRODUCTIVITY LIBRARY'!D5</f>
        <v>0.08</v>
      </c>
      <c r="G13" s="13" t="n">
        <f aca="false">N(INDEX('06 LABOUR RATE LIBRARY'!$D$5:$D$100,MATCH("LAB-HLP",'06 LABOUR RATE LIBRARY'!$A$5:$A$100,0)))</f>
        <v>1538</v>
      </c>
      <c r="H13" s="21" t="n">
        <v>0</v>
      </c>
      <c r="I13" s="18" t="n">
        <f aca="false">F13*(1+H13)</f>
        <v>0.08</v>
      </c>
      <c r="J13" s="13" t="n">
        <f aca="false">I13*G13</f>
        <v>123.04</v>
      </c>
      <c r="K1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4" customFormat="false" ht="15" hidden="false" customHeight="true" outlineLevel="0" collapsed="false">
      <c r="A14" s="9" t="s">
        <v>103</v>
      </c>
      <c r="B14" s="9" t="s">
        <v>818</v>
      </c>
      <c r="C14" s="9" t="s">
        <v>819</v>
      </c>
      <c r="D14" s="5" t="s">
        <v>820</v>
      </c>
      <c r="E14" s="9" t="s">
        <v>815</v>
      </c>
      <c r="F14" s="18" t="n">
        <f aca="false">1/'13 PRODUCTIVITY LIBRARY'!D5</f>
        <v>0.01</v>
      </c>
      <c r="G14" s="13" t="n">
        <f aca="false">N(INDEX('07 EQUIPMENT RATE LIBRARY'!$D$5:$D$100,MATCH("EQ-VIB",'07 EQUIPMENT RATE LIBRARY'!$A$5:$A$100,0)))</f>
        <v>227</v>
      </c>
      <c r="H14" s="21" t="n">
        <v>0</v>
      </c>
      <c r="I14" s="18" t="n">
        <f aca="false">F14*(1+H14)</f>
        <v>0.01</v>
      </c>
      <c r="J14" s="13" t="n">
        <f aca="false">I14*G14</f>
        <v>2.27</v>
      </c>
      <c r="K14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15" customFormat="false" ht="21.75" hidden="false" customHeight="true" outlineLevel="0" collapsed="false">
      <c r="A15" s="9" t="s">
        <v>103</v>
      </c>
      <c r="B15" s="9" t="s">
        <v>818</v>
      </c>
      <c r="C15" s="9" t="s">
        <v>821</v>
      </c>
      <c r="D15" s="5" t="s">
        <v>822</v>
      </c>
      <c r="E15" s="9" t="s">
        <v>815</v>
      </c>
      <c r="F15" s="18" t="n">
        <f aca="false">1/'13 PRODUCTIVITY LIBRARY'!D5</f>
        <v>0.01</v>
      </c>
      <c r="G15" s="13" t="n">
        <f aca="false">N(INDEX('07 EQUIPMENT RATE LIBRARY'!$D$5:$D$100,MATCH("EQ-MIX",'07 EQUIPMENT RATE LIBRARY'!$A$5:$A$100,0)))</f>
        <v>3500</v>
      </c>
      <c r="H15" s="21" t="n">
        <v>0</v>
      </c>
      <c r="I15" s="18" t="n">
        <f aca="false">F15*(1+H15)</f>
        <v>0.01</v>
      </c>
      <c r="J15" s="13" t="n">
        <f aca="false">I15*G15</f>
        <v>35</v>
      </c>
      <c r="K15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16" customFormat="false" ht="15" hidden="false" customHeight="true" outlineLevel="0" collapsed="false">
      <c r="A16" s="9" t="s">
        <v>103</v>
      </c>
      <c r="B16" s="9" t="s">
        <v>818</v>
      </c>
      <c r="C16" s="9" t="s">
        <v>823</v>
      </c>
      <c r="D16" s="5" t="s">
        <v>824</v>
      </c>
      <c r="E16" s="9" t="s">
        <v>109</v>
      </c>
      <c r="F16" s="18" t="n">
        <v>1</v>
      </c>
      <c r="G16" s="13" t="n">
        <f aca="false">N(INDEX('07 EQUIPMENT RATE LIBRARY'!$D$5:$D$100,MATCH("EQ-PUMP",'07 EQUIPMENT RATE LIBRARY'!$A$5:$A$100,0)))</f>
        <v>28.32</v>
      </c>
      <c r="H16" s="21" t="n">
        <v>0</v>
      </c>
      <c r="I16" s="18" t="n">
        <f aca="false">F16*(1+H16)</f>
        <v>1</v>
      </c>
      <c r="J16" s="13" t="n">
        <f aca="false">I16*G16</f>
        <v>28.32</v>
      </c>
      <c r="K16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17" customFormat="false" ht="15" hidden="false" customHeight="true" outlineLevel="0" collapsed="false">
      <c r="D17" s="22" t="s">
        <v>825</v>
      </c>
      <c r="J17" s="23" t="n">
        <f aca="false">SUMPRODUCT((B6:B16="Material")*F6:F16*G6:G16)</f>
        <v>761.310631209868</v>
      </c>
    </row>
    <row r="18" customFormat="false" ht="15" hidden="false" customHeight="true" outlineLevel="0" collapsed="false">
      <c r="D18" s="22" t="s">
        <v>826</v>
      </c>
      <c r="J18" s="23" t="n">
        <f aca="false">SUMIF(B6:B16,"Material",J6:J16)-J17</f>
        <v>21.9578266192503</v>
      </c>
    </row>
    <row r="19" customFormat="false" ht="15" hidden="false" customHeight="true" outlineLevel="0" collapsed="false">
      <c r="D19" s="24" t="s">
        <v>827</v>
      </c>
      <c r="J19" s="14" t="n">
        <f aca="false">SUMIF(B6:B16,"Material",J6:J16)</f>
        <v>783.268457829118</v>
      </c>
    </row>
    <row r="20" customFormat="false" ht="15" hidden="false" customHeight="true" outlineLevel="0" collapsed="false">
      <c r="D20" s="24" t="s">
        <v>828</v>
      </c>
      <c r="J20" s="14" t="n">
        <f aca="false">SUMIF(B6:B16,"Labour",J6:J16)</f>
        <v>145.04</v>
      </c>
    </row>
    <row r="21" customFormat="false" ht="15" hidden="false" customHeight="true" outlineLevel="0" collapsed="false">
      <c r="D21" s="24" t="s">
        <v>829</v>
      </c>
      <c r="J21" s="14" t="n">
        <f aca="false">SUMIF(B6:B16,"Equipment",J6:J16)</f>
        <v>65.59</v>
      </c>
    </row>
    <row r="22" customFormat="false" ht="15" hidden="false" customHeight="true" outlineLevel="0" collapsed="false">
      <c r="D22" s="24" t="s">
        <v>830</v>
      </c>
      <c r="J22" s="14" t="n">
        <f aca="false">SUMIF(B6:B16,"Transport",J6:J16)</f>
        <v>0</v>
      </c>
    </row>
    <row r="23" customFormat="false" ht="15" hidden="false" customHeight="true" outlineLevel="0" collapsed="false">
      <c r="D23" s="24" t="s">
        <v>831</v>
      </c>
      <c r="J23" s="14" t="n">
        <f aca="false">J19+J20+J21+J22</f>
        <v>993.898457829118</v>
      </c>
    </row>
    <row r="24" customFormat="false" ht="15" hidden="false" customHeight="true" outlineLevel="0" collapsed="false">
      <c r="D24" s="22" t="s">
        <v>832</v>
      </c>
      <c r="J24" s="23" t="n">
        <f aca="false">J23*OH_Site</f>
        <v>29.8169537348735</v>
      </c>
    </row>
    <row r="25" customFormat="false" ht="15" hidden="false" customHeight="true" outlineLevel="0" collapsed="false">
      <c r="D25" s="22" t="s">
        <v>833</v>
      </c>
      <c r="J25" s="23" t="n">
        <f aca="false">J23*OH_HO</f>
        <v>49.6949228914559</v>
      </c>
    </row>
    <row r="26" customFormat="false" ht="15" hidden="false" customHeight="true" outlineLevel="0" collapsed="false">
      <c r="D26" s="22" t="s">
        <v>834</v>
      </c>
      <c r="J26" s="23" t="n">
        <f aca="false">J23*Profit</f>
        <v>99.3898457829118</v>
      </c>
    </row>
    <row r="27" customFormat="false" ht="15" hidden="false" customHeight="true" outlineLevel="0" collapsed="false">
      <c r="D27" s="24" t="s">
        <v>835</v>
      </c>
      <c r="J27" s="14" t="n">
        <f aca="false">J23+J24+J25+J26</f>
        <v>1172.80018023836</v>
      </c>
    </row>
    <row r="28" customFormat="false" ht="15" hidden="false" customHeight="true" outlineLevel="0" collapsed="false">
      <c r="D28" s="22" t="s">
        <v>836</v>
      </c>
      <c r="J28" s="23" t="n">
        <f aca="false">IF(Tax_On="Yes",J27*N(Tax_Rate),0)</f>
        <v>0</v>
      </c>
    </row>
    <row r="29" customFormat="false" ht="15" hidden="false" customHeight="true" outlineLevel="0" collapsed="false">
      <c r="D29" s="24" t="s">
        <v>837</v>
      </c>
      <c r="J29" s="14" t="n">
        <f aca="false">ROUND(J27+J28,0)</f>
        <v>1173</v>
      </c>
    </row>
    <row r="30" customFormat="false" ht="15" hidden="false" customHeight="true" outlineLevel="0" collapsed="false">
      <c r="D30" s="25" t="s">
        <v>838</v>
      </c>
      <c r="J30" s="26" t="n">
        <f aca="false">COUNTIF(K6:K16,"NO RATE")+COUNTIF(K6:K16,"OLD RATE")</f>
        <v>1</v>
      </c>
    </row>
    <row r="32" customFormat="false" ht="39.75" hidden="false" customHeight="true" outlineLevel="0" collapsed="false">
      <c r="A32" s="4" t="s">
        <v>116</v>
      </c>
      <c r="B32" s="16" t="s">
        <v>119</v>
      </c>
      <c r="C32" s="16"/>
      <c r="D32" s="16"/>
      <c r="E32" s="16"/>
      <c r="F32" s="16"/>
      <c r="G32" s="16"/>
      <c r="H32" s="16"/>
      <c r="I32" s="16"/>
      <c r="J32" s="4" t="s">
        <v>788</v>
      </c>
      <c r="K32" s="17"/>
    </row>
    <row r="33" customFormat="false" ht="21.75" hidden="false" customHeight="true" outlineLevel="0" collapsed="false">
      <c r="A33" s="12" t="s">
        <v>75</v>
      </c>
      <c r="B33" s="12" t="s">
        <v>789</v>
      </c>
      <c r="C33" s="12" t="s">
        <v>790</v>
      </c>
      <c r="D33" s="12" t="s">
        <v>791</v>
      </c>
      <c r="E33" s="12" t="s">
        <v>81</v>
      </c>
      <c r="F33" s="12" t="s">
        <v>792</v>
      </c>
      <c r="G33" s="12" t="s">
        <v>793</v>
      </c>
      <c r="H33" s="12" t="s">
        <v>794</v>
      </c>
      <c r="I33" s="12" t="s">
        <v>795</v>
      </c>
      <c r="J33" s="12" t="s">
        <v>796</v>
      </c>
      <c r="K33" s="12" t="s">
        <v>797</v>
      </c>
    </row>
    <row r="34" customFormat="false" ht="15" hidden="false" customHeight="true" outlineLevel="0" collapsed="false">
      <c r="A34" s="9" t="s">
        <v>116</v>
      </c>
      <c r="B34" s="9" t="s">
        <v>798</v>
      </c>
      <c r="C34" s="9" t="s">
        <v>799</v>
      </c>
      <c r="D34" s="5" t="s">
        <v>800</v>
      </c>
      <c r="E34" s="9" t="s">
        <v>801</v>
      </c>
      <c r="F34" s="18" t="n">
        <f aca="false">'15 MIX DESIGN LIBRARY'!J13</f>
        <v>0.113266317428855</v>
      </c>
      <c r="G34" s="13" t="n">
        <f aca="false">N(INDEX('05 MATERIAL RATE LIBRARY'!$E$5:$E$400,MATCH("MAT-CEM-OPC",'05 MATERIAL RATE LIBRARY'!$A$5:$A$400,0)))</f>
        <v>1575</v>
      </c>
      <c r="H34" s="19" t="n">
        <f aca="false">W_Cem</f>
        <v>0.02</v>
      </c>
      <c r="I34" s="18" t="n">
        <f aca="false">F34*(1+H34)</f>
        <v>0.115531643777432</v>
      </c>
      <c r="J34" s="13" t="n">
        <f aca="false">I34*G34</f>
        <v>181.962338949455</v>
      </c>
      <c r="K34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35" customFormat="false" ht="15" hidden="false" customHeight="true" outlineLevel="0" collapsed="false">
      <c r="A35" s="9" t="s">
        <v>116</v>
      </c>
      <c r="B35" s="9" t="s">
        <v>798</v>
      </c>
      <c r="C35" s="9" t="s">
        <v>839</v>
      </c>
      <c r="D35" s="5" t="s">
        <v>840</v>
      </c>
      <c r="E35" s="9" t="s">
        <v>109</v>
      </c>
      <c r="F35" s="18" t="n">
        <f aca="false">'15 MIX DESIGN LIBRARY'!J14</f>
        <v>0.433077096051503</v>
      </c>
      <c r="G35" s="13" t="n">
        <f aca="false">N(INDEX('05 MATERIAL RATE LIBRARY'!$E$5:$E$400,MATCH("MAT-CRS-MGL",'05 MATERIAL RATE LIBRARY'!$A$5:$A$400,0)))</f>
        <v>180</v>
      </c>
      <c r="H35" s="19" t="n">
        <f aca="false">W_Agg</f>
        <v>0.05</v>
      </c>
      <c r="I35" s="18" t="n">
        <f aca="false">F35*(1+H35)</f>
        <v>0.454730950854078</v>
      </c>
      <c r="J35" s="13" t="n">
        <f aca="false">I35*G35</f>
        <v>81.8515711537341</v>
      </c>
      <c r="K35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6" customFormat="false" ht="15" hidden="false" customHeight="true" outlineLevel="0" collapsed="false">
      <c r="A36" s="9" t="s">
        <v>116</v>
      </c>
      <c r="B36" s="9" t="s">
        <v>798</v>
      </c>
      <c r="C36" s="9" t="s">
        <v>839</v>
      </c>
      <c r="D36" s="5" t="s">
        <v>841</v>
      </c>
      <c r="E36" s="9" t="s">
        <v>109</v>
      </c>
      <c r="F36" s="18" t="n">
        <f aca="false">'15 MIX DESIGN LIBRARY'!J15</f>
        <v>0.279834431294817</v>
      </c>
      <c r="G36" s="13" t="n">
        <f aca="false">N(INDEX('05 MATERIAL RATE LIBRARY'!$E$5:$E$400,MATCH("MAT-CRS-MGL",'05 MATERIAL RATE LIBRARY'!$A$5:$A$400,0)))</f>
        <v>180</v>
      </c>
      <c r="H36" s="19" t="n">
        <f aca="false">W_Agg</f>
        <v>0.05</v>
      </c>
      <c r="I36" s="18" t="n">
        <f aca="false">F36*(1+H36)</f>
        <v>0.293826152859558</v>
      </c>
      <c r="J36" s="13" t="n">
        <f aca="false">I36*G36</f>
        <v>52.8887075147205</v>
      </c>
      <c r="K36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7" customFormat="false" ht="15" hidden="false" customHeight="true" outlineLevel="0" collapsed="false">
      <c r="A37" s="9" t="s">
        <v>116</v>
      </c>
      <c r="B37" s="9" t="s">
        <v>798</v>
      </c>
      <c r="C37" s="9" t="s">
        <v>805</v>
      </c>
      <c r="D37" s="5" t="s">
        <v>806</v>
      </c>
      <c r="E37" s="9" t="s">
        <v>109</v>
      </c>
      <c r="F37" s="18" t="n">
        <f aca="false">'15 MIX DESIGN LIBRARY'!J16</f>
        <v>0.534868721191813</v>
      </c>
      <c r="G37" s="13" t="n">
        <f aca="false">N(INDEX('05 MATERIAL RATE LIBRARY'!$E$5:$E$400,MATCH("MAT-SND-LWP",'05 MATERIAL RATE LIBRARY'!$A$5:$A$400,0)))</f>
        <v>240</v>
      </c>
      <c r="H37" s="19" t="n">
        <f aca="false">W_Agg</f>
        <v>0.05</v>
      </c>
      <c r="I37" s="18" t="n">
        <f aca="false">F37*(1+H37)</f>
        <v>0.561612157251404</v>
      </c>
      <c r="J37" s="13" t="n">
        <f aca="false">I37*G37</f>
        <v>134.786917740337</v>
      </c>
      <c r="K37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38" customFormat="false" ht="15" hidden="false" customHeight="true" outlineLevel="0" collapsed="false">
      <c r="A38" s="9" t="s">
        <v>116</v>
      </c>
      <c r="B38" s="9" t="s">
        <v>798</v>
      </c>
      <c r="C38" s="9" t="s">
        <v>809</v>
      </c>
      <c r="D38" s="5" t="s">
        <v>842</v>
      </c>
      <c r="E38" s="9" t="s">
        <v>811</v>
      </c>
      <c r="F38" s="18" t="n">
        <f aca="false">'15 MIX DESIGN LIBRARY'!J17</f>
        <v>5.94648166501487</v>
      </c>
      <c r="G38" s="13" t="n">
        <f aca="false">N(INDEX('05 MATERIAL RATE LIBRARY'!$E$5:$E$400,MATCH("MAT-WTR",'05 MATERIAL RATE LIBRARY'!$A$5:$A$400,0)))</f>
        <v>0.686</v>
      </c>
      <c r="H38" s="19" t="n">
        <f aca="false">W_Wtr</f>
        <v>0</v>
      </c>
      <c r="I38" s="18" t="n">
        <f aca="false">F38*(1+H38)</f>
        <v>5.94648166501487</v>
      </c>
      <c r="J38" s="13" t="n">
        <f aca="false">I38*G38</f>
        <v>4.0792864222002</v>
      </c>
      <c r="K38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39" customFormat="false" ht="15" hidden="false" customHeight="true" outlineLevel="0" collapsed="false">
      <c r="A39" s="9" t="s">
        <v>116</v>
      </c>
      <c r="B39" s="9" t="s">
        <v>812</v>
      </c>
      <c r="C39" s="9" t="s">
        <v>813</v>
      </c>
      <c r="D39" s="5" t="s">
        <v>843</v>
      </c>
      <c r="E39" s="9" t="s">
        <v>815</v>
      </c>
      <c r="F39" s="18" t="n">
        <f aca="false">'13 PRODUCTIVITY LIBRARY'!E6/'13 PRODUCTIVITY LIBRARY'!D6</f>
        <v>0.0125</v>
      </c>
      <c r="G39" s="13" t="n">
        <f aca="false">N(INDEX('06 LABOUR RATE LIBRARY'!$D$5:$D$100,MATCH("LAB-MSN",'06 LABOUR RATE LIBRARY'!$A$5:$A$100,0)))</f>
        <v>2200</v>
      </c>
      <c r="H39" s="21" t="n">
        <v>0</v>
      </c>
      <c r="I39" s="18" t="n">
        <f aca="false">F39*(1+H39)</f>
        <v>0.0125</v>
      </c>
      <c r="J39" s="13" t="n">
        <f aca="false">I39*G39</f>
        <v>27.5</v>
      </c>
      <c r="K3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40" customFormat="false" ht="15" hidden="false" customHeight="true" outlineLevel="0" collapsed="false">
      <c r="A40" s="9" t="s">
        <v>116</v>
      </c>
      <c r="B40" s="9" t="s">
        <v>812</v>
      </c>
      <c r="C40" s="9" t="s">
        <v>816</v>
      </c>
      <c r="D40" s="5" t="s">
        <v>844</v>
      </c>
      <c r="E40" s="9" t="s">
        <v>815</v>
      </c>
      <c r="F40" s="18" t="n">
        <f aca="false">'13 PRODUCTIVITY LIBRARY'!F6/'13 PRODUCTIVITY LIBRARY'!D6</f>
        <v>0.075</v>
      </c>
      <c r="G40" s="13" t="n">
        <f aca="false">N(INDEX('06 LABOUR RATE LIBRARY'!$D$5:$D$100,MATCH("LAB-HLP",'06 LABOUR RATE LIBRARY'!$A$5:$A$100,0)))</f>
        <v>1538</v>
      </c>
      <c r="H40" s="21" t="n">
        <v>0</v>
      </c>
      <c r="I40" s="18" t="n">
        <f aca="false">F40*(1+H40)</f>
        <v>0.075</v>
      </c>
      <c r="J40" s="13" t="n">
        <f aca="false">I40*G40</f>
        <v>115.35</v>
      </c>
      <c r="K4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41" customFormat="false" ht="15" hidden="false" customHeight="true" outlineLevel="0" collapsed="false">
      <c r="A41" s="9" t="s">
        <v>116</v>
      </c>
      <c r="B41" s="9" t="s">
        <v>818</v>
      </c>
      <c r="C41" s="9" t="s">
        <v>819</v>
      </c>
      <c r="D41" s="5" t="s">
        <v>820</v>
      </c>
      <c r="E41" s="9" t="s">
        <v>815</v>
      </c>
      <c r="F41" s="18" t="n">
        <f aca="false">1/'13 PRODUCTIVITY LIBRARY'!D6</f>
        <v>0.0125</v>
      </c>
      <c r="G41" s="13" t="n">
        <f aca="false">N(INDEX('07 EQUIPMENT RATE LIBRARY'!$D$5:$D$100,MATCH("EQ-VIB",'07 EQUIPMENT RATE LIBRARY'!$A$5:$A$100,0)))</f>
        <v>227</v>
      </c>
      <c r="H41" s="21" t="n">
        <v>0</v>
      </c>
      <c r="I41" s="18" t="n">
        <f aca="false">F41*(1+H41)</f>
        <v>0.0125</v>
      </c>
      <c r="J41" s="13" t="n">
        <f aca="false">I41*G41</f>
        <v>2.8375</v>
      </c>
      <c r="K41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42" customFormat="false" ht="21.75" hidden="false" customHeight="true" outlineLevel="0" collapsed="false">
      <c r="A42" s="9" t="s">
        <v>116</v>
      </c>
      <c r="B42" s="9" t="s">
        <v>818</v>
      </c>
      <c r="C42" s="9" t="s">
        <v>821</v>
      </c>
      <c r="D42" s="5" t="s">
        <v>822</v>
      </c>
      <c r="E42" s="9" t="s">
        <v>815</v>
      </c>
      <c r="F42" s="18" t="n">
        <f aca="false">1/'13 PRODUCTIVITY LIBRARY'!D6</f>
        <v>0.0125</v>
      </c>
      <c r="G42" s="13" t="n">
        <f aca="false">N(INDEX('07 EQUIPMENT RATE LIBRARY'!$D$5:$D$100,MATCH("EQ-MIX",'07 EQUIPMENT RATE LIBRARY'!$A$5:$A$100,0)))</f>
        <v>3500</v>
      </c>
      <c r="H42" s="21" t="n">
        <v>0</v>
      </c>
      <c r="I42" s="18" t="n">
        <f aca="false">F42*(1+H42)</f>
        <v>0.0125</v>
      </c>
      <c r="J42" s="13" t="n">
        <f aca="false">I42*G42</f>
        <v>43.75</v>
      </c>
      <c r="K42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43" customFormat="false" ht="15" hidden="false" customHeight="true" outlineLevel="0" collapsed="false">
      <c r="A43" s="9" t="s">
        <v>116</v>
      </c>
      <c r="B43" s="9" t="s">
        <v>818</v>
      </c>
      <c r="C43" s="9" t="s">
        <v>823</v>
      </c>
      <c r="D43" s="5" t="s">
        <v>824</v>
      </c>
      <c r="E43" s="9" t="s">
        <v>109</v>
      </c>
      <c r="F43" s="18" t="n">
        <v>1</v>
      </c>
      <c r="G43" s="13" t="n">
        <f aca="false">N(INDEX('07 EQUIPMENT RATE LIBRARY'!$D$5:$D$100,MATCH("EQ-PUMP",'07 EQUIPMENT RATE LIBRARY'!$A$5:$A$100,0)))</f>
        <v>28.32</v>
      </c>
      <c r="H43" s="21" t="n">
        <v>0</v>
      </c>
      <c r="I43" s="18" t="n">
        <f aca="false">F43*(1+H43)</f>
        <v>1</v>
      </c>
      <c r="J43" s="13" t="n">
        <f aca="false">I43*G43</f>
        <v>28.32</v>
      </c>
      <c r="K43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44" customFormat="false" ht="15" hidden="false" customHeight="true" outlineLevel="0" collapsed="false">
      <c r="D44" s="22" t="s">
        <v>825</v>
      </c>
      <c r="J44" s="23" t="n">
        <f aca="false">SUMPRODUCT((B34:B43="Material")*F34:F43*G34:G43)</f>
        <v>439.166304381019</v>
      </c>
    </row>
    <row r="45" customFormat="false" ht="15" hidden="false" customHeight="true" outlineLevel="0" collapsed="false">
      <c r="D45" s="22" t="s">
        <v>826</v>
      </c>
      <c r="J45" s="23" t="n">
        <f aca="false">SUMIF(B34:B43,"Material",J34:J43)-J44</f>
        <v>16.4025173994276</v>
      </c>
    </row>
    <row r="46" customFormat="false" ht="15" hidden="false" customHeight="true" outlineLevel="0" collapsed="false">
      <c r="D46" s="24" t="s">
        <v>827</v>
      </c>
      <c r="J46" s="14" t="n">
        <f aca="false">SUMIF(B34:B43,"Material",J34:J43)</f>
        <v>455.568821780447</v>
      </c>
    </row>
    <row r="47" customFormat="false" ht="15" hidden="false" customHeight="true" outlineLevel="0" collapsed="false">
      <c r="D47" s="24" t="s">
        <v>828</v>
      </c>
      <c r="J47" s="14" t="n">
        <f aca="false">SUMIF(B34:B43,"Labour",J34:J43)</f>
        <v>142.85</v>
      </c>
    </row>
    <row r="48" customFormat="false" ht="15" hidden="false" customHeight="true" outlineLevel="0" collapsed="false">
      <c r="D48" s="24" t="s">
        <v>829</v>
      </c>
      <c r="J48" s="14" t="n">
        <f aca="false">SUMIF(B34:B43,"Equipment",J34:J43)</f>
        <v>74.9075</v>
      </c>
    </row>
    <row r="49" customFormat="false" ht="15" hidden="false" customHeight="true" outlineLevel="0" collapsed="false">
      <c r="D49" s="24" t="s">
        <v>830</v>
      </c>
      <c r="J49" s="14" t="n">
        <f aca="false">SUMIF(B34:B43,"Transport",J34:J43)</f>
        <v>0</v>
      </c>
    </row>
    <row r="50" customFormat="false" ht="15" hidden="false" customHeight="true" outlineLevel="0" collapsed="false">
      <c r="D50" s="24" t="s">
        <v>831</v>
      </c>
      <c r="J50" s="14" t="n">
        <f aca="false">J46+J47+J48+J49</f>
        <v>673.326321780447</v>
      </c>
    </row>
    <row r="51" customFormat="false" ht="15" hidden="false" customHeight="true" outlineLevel="0" collapsed="false">
      <c r="D51" s="22" t="s">
        <v>832</v>
      </c>
      <c r="J51" s="23" t="n">
        <f aca="false">J50*OH_Site</f>
        <v>20.1997896534134</v>
      </c>
    </row>
    <row r="52" customFormat="false" ht="15" hidden="false" customHeight="true" outlineLevel="0" collapsed="false">
      <c r="D52" s="22" t="s">
        <v>833</v>
      </c>
      <c r="J52" s="23" t="n">
        <f aca="false">J50*OH_HO</f>
        <v>33.6663160890223</v>
      </c>
    </row>
    <row r="53" customFormat="false" ht="15" hidden="false" customHeight="true" outlineLevel="0" collapsed="false">
      <c r="D53" s="22" t="s">
        <v>834</v>
      </c>
      <c r="J53" s="23" t="n">
        <f aca="false">J50*Profit</f>
        <v>67.3326321780447</v>
      </c>
    </row>
    <row r="54" customFormat="false" ht="15" hidden="false" customHeight="true" outlineLevel="0" collapsed="false">
      <c r="D54" s="24" t="s">
        <v>835</v>
      </c>
      <c r="J54" s="14" t="n">
        <f aca="false">J50+J51+J52+J53</f>
        <v>794.525059700927</v>
      </c>
    </row>
    <row r="55" customFormat="false" ht="15" hidden="false" customHeight="true" outlineLevel="0" collapsed="false">
      <c r="D55" s="22" t="s">
        <v>836</v>
      </c>
      <c r="J55" s="23" t="n">
        <f aca="false">IF(Tax_On="Yes",J54*N(Tax_Rate),0)</f>
        <v>0</v>
      </c>
    </row>
    <row r="56" customFormat="false" ht="15" hidden="false" customHeight="true" outlineLevel="0" collapsed="false">
      <c r="D56" s="24" t="s">
        <v>837</v>
      </c>
      <c r="J56" s="14" t="n">
        <f aca="false">ROUND(J54+J55,0)</f>
        <v>795</v>
      </c>
    </row>
    <row r="57" customFormat="false" ht="15" hidden="false" customHeight="true" outlineLevel="0" collapsed="false">
      <c r="D57" s="25" t="s">
        <v>838</v>
      </c>
      <c r="J57" s="26" t="n">
        <f aca="false">COUNTIF(K34:K43,"NO RATE")+COUNTIF(K34:K43,"OLD RATE")</f>
        <v>0</v>
      </c>
    </row>
    <row r="59" customFormat="false" ht="39.75" hidden="false" customHeight="true" outlineLevel="0" collapsed="false">
      <c r="A59" s="4" t="s">
        <v>122</v>
      </c>
      <c r="B59" s="16" t="s">
        <v>124</v>
      </c>
      <c r="C59" s="16"/>
      <c r="D59" s="16"/>
      <c r="E59" s="16"/>
      <c r="F59" s="16"/>
      <c r="G59" s="16"/>
      <c r="H59" s="16"/>
      <c r="I59" s="16"/>
      <c r="J59" s="4" t="s">
        <v>788</v>
      </c>
      <c r="K59" s="17"/>
    </row>
    <row r="60" customFormat="false" ht="21.75" hidden="false" customHeight="true" outlineLevel="0" collapsed="false">
      <c r="A60" s="12" t="s">
        <v>75</v>
      </c>
      <c r="B60" s="12" t="s">
        <v>789</v>
      </c>
      <c r="C60" s="12" t="s">
        <v>790</v>
      </c>
      <c r="D60" s="12" t="s">
        <v>791</v>
      </c>
      <c r="E60" s="12" t="s">
        <v>81</v>
      </c>
      <c r="F60" s="12" t="s">
        <v>792</v>
      </c>
      <c r="G60" s="12" t="s">
        <v>793</v>
      </c>
      <c r="H60" s="12" t="s">
        <v>794</v>
      </c>
      <c r="I60" s="12" t="s">
        <v>795</v>
      </c>
      <c r="J60" s="12" t="s">
        <v>796</v>
      </c>
      <c r="K60" s="12" t="s">
        <v>797</v>
      </c>
    </row>
    <row r="61" customFormat="false" ht="15" hidden="false" customHeight="true" outlineLevel="0" collapsed="false">
      <c r="A61" s="9" t="s">
        <v>122</v>
      </c>
      <c r="B61" s="9" t="s">
        <v>798</v>
      </c>
      <c r="C61" s="9" t="s">
        <v>799</v>
      </c>
      <c r="D61" s="5" t="s">
        <v>800</v>
      </c>
      <c r="E61" s="9" t="s">
        <v>801</v>
      </c>
      <c r="F61" s="18" t="n">
        <f aca="false">'15 MIX DESIGN LIBRARY'!J20</f>
        <v>0.31148237292935</v>
      </c>
      <c r="G61" s="13" t="n">
        <f aca="false">N(INDEX('05 MATERIAL RATE LIBRARY'!$E$5:$E$400,MATCH("MAT-CEM-OPC",'05 MATERIAL RATE LIBRARY'!$A$5:$A$400,0)))</f>
        <v>1575</v>
      </c>
      <c r="H61" s="19" t="n">
        <f aca="false">W_Cem</f>
        <v>0.02</v>
      </c>
      <c r="I61" s="18" t="n">
        <f aca="false">F61*(1+H61)</f>
        <v>0.317712020387937</v>
      </c>
      <c r="J61" s="13" t="n">
        <f aca="false">I61*G61</f>
        <v>500.396432111001</v>
      </c>
      <c r="K61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62" customFormat="false" ht="15" hidden="false" customHeight="true" outlineLevel="0" collapsed="false">
      <c r="A62" s="9" t="s">
        <v>122</v>
      </c>
      <c r="B62" s="9" t="s">
        <v>798</v>
      </c>
      <c r="C62" s="9" t="s">
        <v>839</v>
      </c>
      <c r="D62" s="5" t="s">
        <v>840</v>
      </c>
      <c r="E62" s="9" t="s">
        <v>109</v>
      </c>
      <c r="F62" s="18" t="n">
        <f aca="false">'15 MIX DESIGN LIBRARY'!J21</f>
        <v>0.418419102031298</v>
      </c>
      <c r="G62" s="13" t="n">
        <f aca="false">N(INDEX('05 MATERIAL RATE LIBRARY'!$E$5:$E$400,MATCH("MAT-CRS-MGL",'05 MATERIAL RATE LIBRARY'!$A$5:$A$400,0)))</f>
        <v>180</v>
      </c>
      <c r="H62" s="19" t="n">
        <f aca="false">W_Agg</f>
        <v>0.05</v>
      </c>
      <c r="I62" s="18" t="n">
        <f aca="false">F62*(1+H62)</f>
        <v>0.439340057132863</v>
      </c>
      <c r="J62" s="13" t="n">
        <f aca="false">I62*G62</f>
        <v>79.0812102839154</v>
      </c>
      <c r="K62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63" customFormat="false" ht="15" hidden="false" customHeight="true" outlineLevel="0" collapsed="false">
      <c r="A63" s="9" t="s">
        <v>122</v>
      </c>
      <c r="B63" s="9" t="s">
        <v>798</v>
      </c>
      <c r="C63" s="9" t="s">
        <v>839</v>
      </c>
      <c r="D63" s="5" t="s">
        <v>841</v>
      </c>
      <c r="E63" s="9" t="s">
        <v>109</v>
      </c>
      <c r="F63" s="18" t="n">
        <f aca="false">'15 MIX DESIGN LIBRARY'!J22</f>
        <v>0.277169341472962</v>
      </c>
      <c r="G63" s="13" t="n">
        <f aca="false">N(INDEX('05 MATERIAL RATE LIBRARY'!$E$5:$E$400,MATCH("MAT-CRS-MGL",'05 MATERIAL RATE LIBRARY'!$A$5:$A$400,0)))</f>
        <v>180</v>
      </c>
      <c r="H63" s="19" t="n">
        <f aca="false">W_Agg</f>
        <v>0.05</v>
      </c>
      <c r="I63" s="18" t="n">
        <f aca="false">F63*(1+H63)</f>
        <v>0.29102780854661</v>
      </c>
      <c r="J63" s="13" t="n">
        <f aca="false">I63*G63</f>
        <v>52.3850055383898</v>
      </c>
      <c r="K63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64" customFormat="false" ht="15" hidden="false" customHeight="true" outlineLevel="0" collapsed="false">
      <c r="A64" s="9" t="s">
        <v>122</v>
      </c>
      <c r="B64" s="9" t="s">
        <v>798</v>
      </c>
      <c r="C64" s="9" t="s">
        <v>805</v>
      </c>
      <c r="D64" s="5" t="s">
        <v>806</v>
      </c>
      <c r="E64" s="9" t="s">
        <v>109</v>
      </c>
      <c r="F64" s="18" t="n">
        <f aca="false">'15 MIX DESIGN LIBRARY'!J23</f>
        <v>0.371261818239023</v>
      </c>
      <c r="G64" s="13" t="n">
        <f aca="false">N(INDEX('05 MATERIAL RATE LIBRARY'!$E$5:$E$400,MATCH("MAT-SND-LWP",'05 MATERIAL RATE LIBRARY'!$A$5:$A$400,0)))</f>
        <v>240</v>
      </c>
      <c r="H64" s="19" t="n">
        <f aca="false">W_Agg</f>
        <v>0.05</v>
      </c>
      <c r="I64" s="18" t="n">
        <f aca="false">F64*(1+H64)</f>
        <v>0.389824909150975</v>
      </c>
      <c r="J64" s="13" t="n">
        <f aca="false">I64*G64</f>
        <v>93.5579781962339</v>
      </c>
      <c r="K64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65" customFormat="false" ht="15" hidden="false" customHeight="true" outlineLevel="0" collapsed="false">
      <c r="A65" s="9" t="s">
        <v>122</v>
      </c>
      <c r="B65" s="9" t="s">
        <v>798</v>
      </c>
      <c r="C65" s="9" t="s">
        <v>807</v>
      </c>
      <c r="D65" s="5" t="s">
        <v>845</v>
      </c>
      <c r="E65" s="9" t="s">
        <v>198</v>
      </c>
      <c r="F65" s="18" t="n">
        <f aca="false">'15 MIX DESIGN LIBRARY'!J24</f>
        <v>0.141582896786068</v>
      </c>
      <c r="G65" s="13" t="n">
        <f aca="false">N(INDEX('05 MATERIAL RATE LIBRARY'!$E$5:$E$400,MATCH("MAT-ADM-SP",'05 MATERIAL RATE LIBRARY'!$A$5:$A$400,0)))</f>
        <v>185</v>
      </c>
      <c r="H65" s="19" t="n">
        <f aca="false">W_Adm</f>
        <v>0.02</v>
      </c>
      <c r="I65" s="18" t="n">
        <f aca="false">F65*(1+H65)</f>
        <v>0.14441455472179</v>
      </c>
      <c r="J65" s="13" t="n">
        <f aca="false">I65*G65</f>
        <v>26.7166926235311</v>
      </c>
      <c r="K65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66" customFormat="false" ht="15" hidden="false" customHeight="true" outlineLevel="0" collapsed="false">
      <c r="A66" s="9" t="s">
        <v>122</v>
      </c>
      <c r="B66" s="9" t="s">
        <v>798</v>
      </c>
      <c r="C66" s="9" t="s">
        <v>809</v>
      </c>
      <c r="D66" s="5" t="s">
        <v>842</v>
      </c>
      <c r="E66" s="9" t="s">
        <v>811</v>
      </c>
      <c r="F66" s="18" t="n">
        <f aca="false">'15 MIX DESIGN LIBRARY'!J25</f>
        <v>6.00311482372929</v>
      </c>
      <c r="G66" s="13" t="n">
        <f aca="false">N(INDEX('05 MATERIAL RATE LIBRARY'!$E$5:$E$400,MATCH("MAT-WTR",'05 MATERIAL RATE LIBRARY'!$A$5:$A$400,0)))</f>
        <v>0.686</v>
      </c>
      <c r="H66" s="19" t="n">
        <f aca="false">W_Wtr</f>
        <v>0</v>
      </c>
      <c r="I66" s="18" t="n">
        <f aca="false">F66*(1+H66)</f>
        <v>6.00311482372929</v>
      </c>
      <c r="J66" s="13" t="n">
        <f aca="false">I66*G66</f>
        <v>4.1181367690783</v>
      </c>
      <c r="K66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67" customFormat="false" ht="15" hidden="false" customHeight="true" outlineLevel="0" collapsed="false">
      <c r="A67" s="9" t="s">
        <v>122</v>
      </c>
      <c r="B67" s="9" t="s">
        <v>812</v>
      </c>
      <c r="C67" s="9" t="s">
        <v>813</v>
      </c>
      <c r="D67" s="5" t="s">
        <v>814</v>
      </c>
      <c r="E67" s="9" t="s">
        <v>815</v>
      </c>
      <c r="F67" s="18" t="n">
        <f aca="false">'13 PRODUCTIVITY LIBRARY'!E5/'13 PRODUCTIVITY LIBRARY'!D5</f>
        <v>0.01</v>
      </c>
      <c r="G67" s="13" t="n">
        <f aca="false">N(INDEX('06 LABOUR RATE LIBRARY'!$D$5:$D$100,MATCH("LAB-MSN",'06 LABOUR RATE LIBRARY'!$A$5:$A$100,0)))</f>
        <v>2200</v>
      </c>
      <c r="H67" s="21" t="n">
        <v>0</v>
      </c>
      <c r="I67" s="18" t="n">
        <f aca="false">F67*(1+H67)</f>
        <v>0.01</v>
      </c>
      <c r="J67" s="13" t="n">
        <f aca="false">I67*G67</f>
        <v>22</v>
      </c>
      <c r="K67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68" customFormat="false" ht="15" hidden="false" customHeight="true" outlineLevel="0" collapsed="false">
      <c r="A68" s="9" t="s">
        <v>122</v>
      </c>
      <c r="B68" s="9" t="s">
        <v>812</v>
      </c>
      <c r="C68" s="9" t="s">
        <v>816</v>
      </c>
      <c r="D68" s="5" t="s">
        <v>817</v>
      </c>
      <c r="E68" s="9" t="s">
        <v>815</v>
      </c>
      <c r="F68" s="18" t="n">
        <f aca="false">'13 PRODUCTIVITY LIBRARY'!F5/'13 PRODUCTIVITY LIBRARY'!D5</f>
        <v>0.08</v>
      </c>
      <c r="G68" s="13" t="n">
        <f aca="false">N(INDEX('06 LABOUR RATE LIBRARY'!$D$5:$D$100,MATCH("LAB-HLP",'06 LABOUR RATE LIBRARY'!$A$5:$A$100,0)))</f>
        <v>1538</v>
      </c>
      <c r="H68" s="21" t="n">
        <v>0</v>
      </c>
      <c r="I68" s="18" t="n">
        <f aca="false">F68*(1+H68)</f>
        <v>0.08</v>
      </c>
      <c r="J68" s="13" t="n">
        <f aca="false">I68*G68</f>
        <v>123.04</v>
      </c>
      <c r="K6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69" customFormat="false" ht="15" hidden="false" customHeight="true" outlineLevel="0" collapsed="false">
      <c r="A69" s="9" t="s">
        <v>122</v>
      </c>
      <c r="B69" s="9" t="s">
        <v>818</v>
      </c>
      <c r="C69" s="9" t="s">
        <v>819</v>
      </c>
      <c r="D69" s="5" t="s">
        <v>820</v>
      </c>
      <c r="E69" s="9" t="s">
        <v>815</v>
      </c>
      <c r="F69" s="18" t="n">
        <f aca="false">1/'13 PRODUCTIVITY LIBRARY'!D5</f>
        <v>0.01</v>
      </c>
      <c r="G69" s="13" t="n">
        <f aca="false">N(INDEX('07 EQUIPMENT RATE LIBRARY'!$D$5:$D$100,MATCH("EQ-VIB",'07 EQUIPMENT RATE LIBRARY'!$A$5:$A$100,0)))</f>
        <v>227</v>
      </c>
      <c r="H69" s="21" t="n">
        <v>0</v>
      </c>
      <c r="I69" s="18" t="n">
        <f aca="false">F69*(1+H69)</f>
        <v>0.01</v>
      </c>
      <c r="J69" s="13" t="n">
        <f aca="false">I69*G69</f>
        <v>2.27</v>
      </c>
      <c r="K69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70" customFormat="false" ht="21.75" hidden="false" customHeight="true" outlineLevel="0" collapsed="false">
      <c r="A70" s="9" t="s">
        <v>122</v>
      </c>
      <c r="B70" s="9" t="s">
        <v>818</v>
      </c>
      <c r="C70" s="9" t="s">
        <v>821</v>
      </c>
      <c r="D70" s="5" t="s">
        <v>822</v>
      </c>
      <c r="E70" s="9" t="s">
        <v>815</v>
      </c>
      <c r="F70" s="18" t="n">
        <f aca="false">1/'13 PRODUCTIVITY LIBRARY'!D5</f>
        <v>0.01</v>
      </c>
      <c r="G70" s="13" t="n">
        <f aca="false">N(INDEX('07 EQUIPMENT RATE LIBRARY'!$D$5:$D$100,MATCH("EQ-MIX",'07 EQUIPMENT RATE LIBRARY'!$A$5:$A$100,0)))</f>
        <v>3500</v>
      </c>
      <c r="H70" s="21" t="n">
        <v>0</v>
      </c>
      <c r="I70" s="18" t="n">
        <f aca="false">F70*(1+H70)</f>
        <v>0.01</v>
      </c>
      <c r="J70" s="13" t="n">
        <f aca="false">I70*G70</f>
        <v>35</v>
      </c>
      <c r="K70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71" customFormat="false" ht="15" hidden="false" customHeight="true" outlineLevel="0" collapsed="false">
      <c r="A71" s="9" t="s">
        <v>122</v>
      </c>
      <c r="B71" s="9" t="s">
        <v>818</v>
      </c>
      <c r="C71" s="9" t="s">
        <v>823</v>
      </c>
      <c r="D71" s="5" t="s">
        <v>824</v>
      </c>
      <c r="E71" s="9" t="s">
        <v>109</v>
      </c>
      <c r="F71" s="18" t="n">
        <v>1</v>
      </c>
      <c r="G71" s="13" t="n">
        <f aca="false">N(INDEX('07 EQUIPMENT RATE LIBRARY'!$D$5:$D$100,MATCH("EQ-PUMP",'07 EQUIPMENT RATE LIBRARY'!$A$5:$A$100,0)))</f>
        <v>28.32</v>
      </c>
      <c r="H71" s="21" t="n">
        <v>0</v>
      </c>
      <c r="I71" s="18" t="n">
        <f aca="false">F71*(1+H71)</f>
        <v>1</v>
      </c>
      <c r="J71" s="13" t="n">
        <f aca="false">I71*G71</f>
        <v>28.32</v>
      </c>
      <c r="K71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72" customFormat="false" ht="15" hidden="false" customHeight="true" outlineLevel="0" collapsed="false">
      <c r="D72" s="22" t="s">
        <v>825</v>
      </c>
      <c r="J72" s="23" t="n">
        <f aca="false">SUMPRODUCT((B61:B71="Material")*F61:F71*G61:G71)</f>
        <v>735.20446624636</v>
      </c>
    </row>
    <row r="73" customFormat="false" ht="15" hidden="false" customHeight="true" outlineLevel="0" collapsed="false">
      <c r="D73" s="22" t="s">
        <v>826</v>
      </c>
      <c r="J73" s="23" t="n">
        <f aca="false">SUMIF(B61:B71,"Material",J61:J71)-J72</f>
        <v>21.0509892757896</v>
      </c>
    </row>
    <row r="74" customFormat="false" ht="15" hidden="false" customHeight="true" outlineLevel="0" collapsed="false">
      <c r="D74" s="24" t="s">
        <v>827</v>
      </c>
      <c r="J74" s="14" t="n">
        <f aca="false">SUMIF(B61:B71,"Material",J61:J71)</f>
        <v>756.255455522149</v>
      </c>
    </row>
    <row r="75" customFormat="false" ht="15" hidden="false" customHeight="true" outlineLevel="0" collapsed="false">
      <c r="D75" s="24" t="s">
        <v>828</v>
      </c>
      <c r="J75" s="14" t="n">
        <f aca="false">SUMIF(B61:B71,"Labour",J61:J71)</f>
        <v>145.04</v>
      </c>
    </row>
    <row r="76" customFormat="false" ht="15" hidden="false" customHeight="true" outlineLevel="0" collapsed="false">
      <c r="D76" s="24" t="s">
        <v>829</v>
      </c>
      <c r="J76" s="14" t="n">
        <f aca="false">SUMIF(B61:B71,"Equipment",J61:J71)</f>
        <v>65.59</v>
      </c>
    </row>
    <row r="77" customFormat="false" ht="15" hidden="false" customHeight="true" outlineLevel="0" collapsed="false">
      <c r="D77" s="24" t="s">
        <v>830</v>
      </c>
      <c r="J77" s="14" t="n">
        <f aca="false">SUMIF(B61:B71,"Transport",J61:J71)</f>
        <v>0</v>
      </c>
    </row>
    <row r="78" customFormat="false" ht="15" hidden="false" customHeight="true" outlineLevel="0" collapsed="false">
      <c r="D78" s="24" t="s">
        <v>831</v>
      </c>
      <c r="J78" s="14" t="n">
        <f aca="false">J74+J75+J76+J77</f>
        <v>966.88545552215</v>
      </c>
    </row>
    <row r="79" customFormat="false" ht="15" hidden="false" customHeight="true" outlineLevel="0" collapsed="false">
      <c r="D79" s="22" t="s">
        <v>832</v>
      </c>
      <c r="J79" s="23" t="n">
        <f aca="false">J78*OH_Site</f>
        <v>29.0065636656645</v>
      </c>
    </row>
    <row r="80" customFormat="false" ht="15" hidden="false" customHeight="true" outlineLevel="0" collapsed="false">
      <c r="D80" s="22" t="s">
        <v>833</v>
      </c>
      <c r="J80" s="23" t="n">
        <f aca="false">J78*OH_HO</f>
        <v>48.3442727761075</v>
      </c>
    </row>
    <row r="81" customFormat="false" ht="15" hidden="false" customHeight="true" outlineLevel="0" collapsed="false">
      <c r="D81" s="22" t="s">
        <v>834</v>
      </c>
      <c r="J81" s="23" t="n">
        <f aca="false">J78*Profit</f>
        <v>96.688545552215</v>
      </c>
    </row>
    <row r="82" customFormat="false" ht="15" hidden="false" customHeight="true" outlineLevel="0" collapsed="false">
      <c r="D82" s="24" t="s">
        <v>835</v>
      </c>
      <c r="J82" s="14" t="n">
        <f aca="false">J78+J79+J80+J81</f>
        <v>1140.92483751614</v>
      </c>
    </row>
    <row r="83" customFormat="false" ht="15" hidden="false" customHeight="true" outlineLevel="0" collapsed="false">
      <c r="D83" s="22" t="s">
        <v>836</v>
      </c>
      <c r="J83" s="23" t="n">
        <f aca="false">IF(Tax_On="Yes",J82*N(Tax_Rate),0)</f>
        <v>0</v>
      </c>
    </row>
    <row r="84" customFormat="false" ht="15" hidden="false" customHeight="true" outlineLevel="0" collapsed="false">
      <c r="D84" s="24" t="s">
        <v>837</v>
      </c>
      <c r="J84" s="14" t="n">
        <f aca="false">ROUND(J82+J83,0)</f>
        <v>1141</v>
      </c>
    </row>
    <row r="85" customFormat="false" ht="15" hidden="false" customHeight="true" outlineLevel="0" collapsed="false">
      <c r="D85" s="25" t="s">
        <v>838</v>
      </c>
      <c r="J85" s="26" t="n">
        <f aca="false">COUNTIF(K61:K71,"NO RATE")+COUNTIF(K61:K71,"OLD RATE")</f>
        <v>1</v>
      </c>
    </row>
    <row r="87" customFormat="false" ht="39.75" hidden="false" customHeight="true" outlineLevel="0" collapsed="false">
      <c r="A87" s="4" t="s">
        <v>127</v>
      </c>
      <c r="B87" s="16" t="s">
        <v>129</v>
      </c>
      <c r="C87" s="16"/>
      <c r="D87" s="16"/>
      <c r="E87" s="16"/>
      <c r="F87" s="16"/>
      <c r="G87" s="16"/>
      <c r="H87" s="16"/>
      <c r="I87" s="16"/>
      <c r="J87" s="4" t="s">
        <v>788</v>
      </c>
      <c r="K87" s="17"/>
    </row>
    <row r="88" customFormat="false" ht="21.75" hidden="false" customHeight="true" outlineLevel="0" collapsed="false">
      <c r="A88" s="12" t="s">
        <v>75</v>
      </c>
      <c r="B88" s="12" t="s">
        <v>789</v>
      </c>
      <c r="C88" s="12" t="s">
        <v>790</v>
      </c>
      <c r="D88" s="12" t="s">
        <v>791</v>
      </c>
      <c r="E88" s="12" t="s">
        <v>81</v>
      </c>
      <c r="F88" s="12" t="s">
        <v>792</v>
      </c>
      <c r="G88" s="12" t="s">
        <v>793</v>
      </c>
      <c r="H88" s="12" t="s">
        <v>794</v>
      </c>
      <c r="I88" s="12" t="s">
        <v>795</v>
      </c>
      <c r="J88" s="12" t="s">
        <v>796</v>
      </c>
      <c r="K88" s="12" t="s">
        <v>797</v>
      </c>
    </row>
    <row r="89" customFormat="false" ht="15" hidden="false" customHeight="true" outlineLevel="0" collapsed="false">
      <c r="A89" s="9" t="s">
        <v>127</v>
      </c>
      <c r="B89" s="9" t="s">
        <v>798</v>
      </c>
      <c r="C89" s="9" t="s">
        <v>799</v>
      </c>
      <c r="D89" s="5" t="s">
        <v>800</v>
      </c>
      <c r="E89" s="9" t="s">
        <v>801</v>
      </c>
      <c r="F89" s="18" t="n">
        <f aca="false">'15 MIX DESIGN LIBRARY'!J28</f>
        <v>0.141582896786068</v>
      </c>
      <c r="G89" s="13" t="n">
        <f aca="false">N(INDEX('05 MATERIAL RATE LIBRARY'!$E$5:$E$400,MATCH("MAT-CEM-OPC",'05 MATERIAL RATE LIBRARY'!$A$5:$A$400,0)))</f>
        <v>1575</v>
      </c>
      <c r="H89" s="19" t="n">
        <f aca="false">W_Cem</f>
        <v>0.02</v>
      </c>
      <c r="I89" s="18" t="n">
        <f aca="false">F89*(1+H89)</f>
        <v>0.14441455472179</v>
      </c>
      <c r="J89" s="13" t="n">
        <f aca="false">I89*G89</f>
        <v>227.452923686819</v>
      </c>
      <c r="K89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90" customFormat="false" ht="15" hidden="false" customHeight="true" outlineLevel="0" collapsed="false">
      <c r="A90" s="9" t="s">
        <v>127</v>
      </c>
      <c r="B90" s="9" t="s">
        <v>798</v>
      </c>
      <c r="C90" s="9" t="s">
        <v>839</v>
      </c>
      <c r="D90" s="5" t="s">
        <v>840</v>
      </c>
      <c r="E90" s="9" t="s">
        <v>109</v>
      </c>
      <c r="F90" s="18" t="n">
        <f aca="false">'15 MIX DESIGN LIBRARY'!J29</f>
        <v>0.427746916407792</v>
      </c>
      <c r="G90" s="13" t="n">
        <f aca="false">N(INDEX('05 MATERIAL RATE LIBRARY'!$E$5:$E$400,MATCH("MAT-CRS-MGL",'05 MATERIAL RATE LIBRARY'!$A$5:$A$400,0)))</f>
        <v>180</v>
      </c>
      <c r="H90" s="19" t="n">
        <f aca="false">W_Agg</f>
        <v>0.05</v>
      </c>
      <c r="I90" s="18" t="n">
        <f aca="false">F90*(1+H90)</f>
        <v>0.449134262228182</v>
      </c>
      <c r="J90" s="13" t="n">
        <f aca="false">I90*G90</f>
        <v>80.8441672010727</v>
      </c>
      <c r="K9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91" customFormat="false" ht="15" hidden="false" customHeight="true" outlineLevel="0" collapsed="false">
      <c r="A91" s="9" t="s">
        <v>127</v>
      </c>
      <c r="B91" s="9" t="s">
        <v>798</v>
      </c>
      <c r="C91" s="9" t="s">
        <v>839</v>
      </c>
      <c r="D91" s="5" t="s">
        <v>841</v>
      </c>
      <c r="E91" s="9" t="s">
        <v>109</v>
      </c>
      <c r="F91" s="18" t="n">
        <f aca="false">'15 MIX DESIGN LIBRARY'!J30</f>
        <v>0.279834431294817</v>
      </c>
      <c r="G91" s="13" t="n">
        <f aca="false">N(INDEX('05 MATERIAL RATE LIBRARY'!$E$5:$E$400,MATCH("MAT-CRS-MGL",'05 MATERIAL RATE LIBRARY'!$A$5:$A$400,0)))</f>
        <v>180</v>
      </c>
      <c r="H91" s="19" t="n">
        <f aca="false">W_Agg</f>
        <v>0.05</v>
      </c>
      <c r="I91" s="18" t="n">
        <f aca="false">F91*(1+H91)</f>
        <v>0.293826152859558</v>
      </c>
      <c r="J91" s="13" t="n">
        <f aca="false">I91*G91</f>
        <v>52.8887075147205</v>
      </c>
      <c r="K91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92" customFormat="false" ht="15" hidden="false" customHeight="true" outlineLevel="0" collapsed="false">
      <c r="A92" s="9" t="s">
        <v>127</v>
      </c>
      <c r="B92" s="9" t="s">
        <v>798</v>
      </c>
      <c r="C92" s="9" t="s">
        <v>846</v>
      </c>
      <c r="D92" s="5" t="s">
        <v>847</v>
      </c>
      <c r="E92" s="9" t="s">
        <v>109</v>
      </c>
      <c r="F92" s="18" t="n">
        <f aca="false">'15 MIX DESIGN LIBRARY'!J31</f>
        <v>0.509698428429846</v>
      </c>
      <c r="G92" s="13" t="n">
        <f aca="false">N(INDEX('05 MATERIAL RATE LIBRARY'!$E$5:$E$400,MATCH("MAT-SND-ZDP",'05 MATERIAL RATE LIBRARY'!$A$5:$A$400,0)))</f>
        <v>70</v>
      </c>
      <c r="H92" s="19" t="n">
        <f aca="false">W_Agg</f>
        <v>0.05</v>
      </c>
      <c r="I92" s="18" t="n">
        <f aca="false">F92*(1+H92)</f>
        <v>0.535183349851338</v>
      </c>
      <c r="J92" s="13" t="n">
        <f aca="false">I92*G92</f>
        <v>37.4628344895937</v>
      </c>
      <c r="K92" s="20" t="str">
        <f aca="false">IF(INDEX('05 MATERIAL RATE LIBRARY'!$M$5:$M$400,MATCH("MAT-SND-ZDP",'05 MATERIAL RATE LIBRARY'!$A$5:$A$400,0))=1,"",IF(INDEX('05 MATERIAL RATE LIBRARY'!$M$5:$M$400,MATCH("MAT-SND-ZDP",'05 MATERIAL RATE LIBRARY'!$A$5:$A$400,0))=2,"OLD RATE","NO RATE"))</f>
        <v/>
      </c>
    </row>
    <row r="93" customFormat="false" ht="15" hidden="false" customHeight="true" outlineLevel="0" collapsed="false">
      <c r="A93" s="9" t="s">
        <v>127</v>
      </c>
      <c r="B93" s="9" t="s">
        <v>798</v>
      </c>
      <c r="C93" s="9" t="s">
        <v>809</v>
      </c>
      <c r="D93" s="5" t="s">
        <v>842</v>
      </c>
      <c r="E93" s="9" t="s">
        <v>811</v>
      </c>
      <c r="F93" s="18" t="n">
        <f aca="false">'15 MIX DESIGN LIBRARY'!J32</f>
        <v>6.03143140308651</v>
      </c>
      <c r="G93" s="13" t="n">
        <f aca="false">N(INDEX('05 MATERIAL RATE LIBRARY'!$E$5:$E$400,MATCH("MAT-WTR",'05 MATERIAL RATE LIBRARY'!$A$5:$A$400,0)))</f>
        <v>0.686</v>
      </c>
      <c r="H93" s="19" t="n">
        <f aca="false">W_Wtr</f>
        <v>0</v>
      </c>
      <c r="I93" s="18" t="n">
        <f aca="false">F93*(1+H93)</f>
        <v>6.03143140308651</v>
      </c>
      <c r="J93" s="13" t="n">
        <f aca="false">I93*G93</f>
        <v>4.13756194251735</v>
      </c>
      <c r="K9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94" customFormat="false" ht="15" hidden="false" customHeight="true" outlineLevel="0" collapsed="false">
      <c r="A94" s="9" t="s">
        <v>127</v>
      </c>
      <c r="B94" s="9" t="s">
        <v>812</v>
      </c>
      <c r="C94" s="9" t="s">
        <v>813</v>
      </c>
      <c r="D94" s="5" t="s">
        <v>843</v>
      </c>
      <c r="E94" s="9" t="s">
        <v>815</v>
      </c>
      <c r="F94" s="18" t="n">
        <f aca="false">'13 PRODUCTIVITY LIBRARY'!E6/'13 PRODUCTIVITY LIBRARY'!D6</f>
        <v>0.0125</v>
      </c>
      <c r="G94" s="13" t="n">
        <f aca="false">N(INDEX('06 LABOUR RATE LIBRARY'!$D$5:$D$100,MATCH("LAB-MSN",'06 LABOUR RATE LIBRARY'!$A$5:$A$100,0)))</f>
        <v>2200</v>
      </c>
      <c r="H94" s="21" t="n">
        <v>0</v>
      </c>
      <c r="I94" s="18" t="n">
        <f aca="false">F94*(1+H94)</f>
        <v>0.0125</v>
      </c>
      <c r="J94" s="13" t="n">
        <f aca="false">I94*G94</f>
        <v>27.5</v>
      </c>
      <c r="K9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95" customFormat="false" ht="15" hidden="false" customHeight="true" outlineLevel="0" collapsed="false">
      <c r="A95" s="9" t="s">
        <v>127</v>
      </c>
      <c r="B95" s="9" t="s">
        <v>812</v>
      </c>
      <c r="C95" s="9" t="s">
        <v>816</v>
      </c>
      <c r="D95" s="5" t="s">
        <v>844</v>
      </c>
      <c r="E95" s="9" t="s">
        <v>815</v>
      </c>
      <c r="F95" s="18" t="n">
        <f aca="false">'13 PRODUCTIVITY LIBRARY'!F6/'13 PRODUCTIVITY LIBRARY'!D6</f>
        <v>0.075</v>
      </c>
      <c r="G95" s="13" t="n">
        <f aca="false">N(INDEX('06 LABOUR RATE LIBRARY'!$D$5:$D$100,MATCH("LAB-HLP",'06 LABOUR RATE LIBRARY'!$A$5:$A$100,0)))</f>
        <v>1538</v>
      </c>
      <c r="H95" s="21" t="n">
        <v>0</v>
      </c>
      <c r="I95" s="18" t="n">
        <f aca="false">F95*(1+H95)</f>
        <v>0.075</v>
      </c>
      <c r="J95" s="13" t="n">
        <f aca="false">I95*G95</f>
        <v>115.35</v>
      </c>
      <c r="K9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6" customFormat="false" ht="15" hidden="false" customHeight="true" outlineLevel="0" collapsed="false">
      <c r="A96" s="9" t="s">
        <v>127</v>
      </c>
      <c r="B96" s="9" t="s">
        <v>818</v>
      </c>
      <c r="C96" s="9" t="s">
        <v>819</v>
      </c>
      <c r="D96" s="5" t="s">
        <v>820</v>
      </c>
      <c r="E96" s="9" t="s">
        <v>815</v>
      </c>
      <c r="F96" s="18" t="n">
        <f aca="false">1/'13 PRODUCTIVITY LIBRARY'!D6</f>
        <v>0.0125</v>
      </c>
      <c r="G96" s="13" t="n">
        <f aca="false">N(INDEX('07 EQUIPMENT RATE LIBRARY'!$D$5:$D$100,MATCH("EQ-VIB",'07 EQUIPMENT RATE LIBRARY'!$A$5:$A$100,0)))</f>
        <v>227</v>
      </c>
      <c r="H96" s="21" t="n">
        <v>0</v>
      </c>
      <c r="I96" s="18" t="n">
        <f aca="false">F96*(1+H96)</f>
        <v>0.0125</v>
      </c>
      <c r="J96" s="13" t="n">
        <f aca="false">I96*G96</f>
        <v>2.8375</v>
      </c>
      <c r="K96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97" customFormat="false" ht="21.75" hidden="false" customHeight="true" outlineLevel="0" collapsed="false">
      <c r="A97" s="9" t="s">
        <v>127</v>
      </c>
      <c r="B97" s="9" t="s">
        <v>818</v>
      </c>
      <c r="C97" s="9" t="s">
        <v>821</v>
      </c>
      <c r="D97" s="5" t="s">
        <v>822</v>
      </c>
      <c r="E97" s="9" t="s">
        <v>815</v>
      </c>
      <c r="F97" s="18" t="n">
        <f aca="false">1/'13 PRODUCTIVITY LIBRARY'!D6</f>
        <v>0.0125</v>
      </c>
      <c r="G97" s="13" t="n">
        <f aca="false">N(INDEX('07 EQUIPMENT RATE LIBRARY'!$D$5:$D$100,MATCH("EQ-MIX",'07 EQUIPMENT RATE LIBRARY'!$A$5:$A$100,0)))</f>
        <v>3500</v>
      </c>
      <c r="H97" s="21" t="n">
        <v>0</v>
      </c>
      <c r="I97" s="18" t="n">
        <f aca="false">F97*(1+H97)</f>
        <v>0.0125</v>
      </c>
      <c r="J97" s="13" t="n">
        <f aca="false">I97*G97</f>
        <v>43.75</v>
      </c>
      <c r="K97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98" customFormat="false" ht="15" hidden="false" customHeight="true" outlineLevel="0" collapsed="false">
      <c r="A98" s="9" t="s">
        <v>127</v>
      </c>
      <c r="B98" s="9" t="s">
        <v>818</v>
      </c>
      <c r="C98" s="9" t="s">
        <v>823</v>
      </c>
      <c r="D98" s="5" t="s">
        <v>824</v>
      </c>
      <c r="E98" s="9" t="s">
        <v>109</v>
      </c>
      <c r="F98" s="18" t="n">
        <v>1</v>
      </c>
      <c r="G98" s="13" t="n">
        <f aca="false">N(INDEX('07 EQUIPMENT RATE LIBRARY'!$D$5:$D$100,MATCH("EQ-PUMP",'07 EQUIPMENT RATE LIBRARY'!$A$5:$A$100,0)))</f>
        <v>28.32</v>
      </c>
      <c r="H98" s="21" t="n">
        <v>0</v>
      </c>
      <c r="I98" s="18" t="n">
        <f aca="false">F98*(1+H98)</f>
        <v>1</v>
      </c>
      <c r="J98" s="13" t="n">
        <f aca="false">I98*G98</f>
        <v>28.32</v>
      </c>
      <c r="K98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99" customFormat="false" ht="15" hidden="false" customHeight="true" outlineLevel="0" collapsed="false">
      <c r="D99" s="22" t="s">
        <v>825</v>
      </c>
      <c r="J99" s="23" t="n">
        <f aca="false">SUMPRODUCT((B89:B98="Material")*F89:F98*G89:G98)</f>
        <v>390.174156957134</v>
      </c>
    </row>
    <row r="100" customFormat="false" ht="15" hidden="false" customHeight="true" outlineLevel="0" collapsed="false">
      <c r="D100" s="22" t="s">
        <v>826</v>
      </c>
      <c r="J100" s="23" t="n">
        <f aca="false">SUMIF(B89:B98,"Material",J89:J98)-J99</f>
        <v>12.6120378775891</v>
      </c>
    </row>
    <row r="101" customFormat="false" ht="15" hidden="false" customHeight="true" outlineLevel="0" collapsed="false">
      <c r="D101" s="24" t="s">
        <v>827</v>
      </c>
      <c r="J101" s="14" t="n">
        <f aca="false">SUMIF(B89:B98,"Material",J89:J98)</f>
        <v>402.786194834723</v>
      </c>
    </row>
    <row r="102" customFormat="false" ht="15" hidden="false" customHeight="true" outlineLevel="0" collapsed="false">
      <c r="D102" s="24" t="s">
        <v>828</v>
      </c>
      <c r="J102" s="14" t="n">
        <f aca="false">SUMIF(B89:B98,"Labour",J89:J98)</f>
        <v>142.85</v>
      </c>
    </row>
    <row r="103" customFormat="false" ht="15" hidden="false" customHeight="true" outlineLevel="0" collapsed="false">
      <c r="D103" s="24" t="s">
        <v>829</v>
      </c>
      <c r="J103" s="14" t="n">
        <f aca="false">SUMIF(B89:B98,"Equipment",J89:J98)</f>
        <v>74.9075</v>
      </c>
    </row>
    <row r="104" customFormat="false" ht="15" hidden="false" customHeight="true" outlineLevel="0" collapsed="false">
      <c r="D104" s="24" t="s">
        <v>830</v>
      </c>
      <c r="J104" s="14" t="n">
        <f aca="false">SUMIF(B89:B98,"Transport",J89:J98)</f>
        <v>0</v>
      </c>
    </row>
    <row r="105" customFormat="false" ht="15" hidden="false" customHeight="true" outlineLevel="0" collapsed="false">
      <c r="D105" s="24" t="s">
        <v>831</v>
      </c>
      <c r="J105" s="14" t="n">
        <f aca="false">J101+J102+J103+J104</f>
        <v>620.543694834723</v>
      </c>
    </row>
    <row r="106" customFormat="false" ht="15" hidden="false" customHeight="true" outlineLevel="0" collapsed="false">
      <c r="D106" s="22" t="s">
        <v>832</v>
      </c>
      <c r="J106" s="23" t="n">
        <f aca="false">J105*OH_Site</f>
        <v>18.6163108450417</v>
      </c>
    </row>
    <row r="107" customFormat="false" ht="15" hidden="false" customHeight="true" outlineLevel="0" collapsed="false">
      <c r="D107" s="22" t="s">
        <v>833</v>
      </c>
      <c r="J107" s="23" t="n">
        <f aca="false">J105*OH_HO</f>
        <v>31.0271847417361</v>
      </c>
    </row>
    <row r="108" customFormat="false" ht="15" hidden="false" customHeight="true" outlineLevel="0" collapsed="false">
      <c r="D108" s="22" t="s">
        <v>834</v>
      </c>
      <c r="J108" s="23" t="n">
        <f aca="false">J105*Profit</f>
        <v>62.0543694834723</v>
      </c>
    </row>
    <row r="109" customFormat="false" ht="15" hidden="false" customHeight="true" outlineLevel="0" collapsed="false">
      <c r="D109" s="24" t="s">
        <v>835</v>
      </c>
      <c r="J109" s="14" t="n">
        <f aca="false">J105+J106+J107+J108</f>
        <v>732.241559904973</v>
      </c>
    </row>
    <row r="110" customFormat="false" ht="15" hidden="false" customHeight="true" outlineLevel="0" collapsed="false">
      <c r="D110" s="22" t="s">
        <v>836</v>
      </c>
      <c r="J110" s="23" t="n">
        <f aca="false">IF(Tax_On="Yes",J109*N(Tax_Rate),0)</f>
        <v>0</v>
      </c>
    </row>
    <row r="111" customFormat="false" ht="15" hidden="false" customHeight="true" outlineLevel="0" collapsed="false">
      <c r="D111" s="24" t="s">
        <v>837</v>
      </c>
      <c r="J111" s="14" t="n">
        <f aca="false">ROUND(J109+J110,0)</f>
        <v>732</v>
      </c>
    </row>
    <row r="112" customFormat="false" ht="15" hidden="false" customHeight="true" outlineLevel="0" collapsed="false">
      <c r="D112" s="25" t="s">
        <v>838</v>
      </c>
      <c r="J112" s="26" t="n">
        <f aca="false">COUNTIF(K89:K98,"NO RATE")+COUNTIF(K89:K98,"OLD RATE")</f>
        <v>0</v>
      </c>
    </row>
    <row r="114" customFormat="false" ht="39.75" hidden="false" customHeight="true" outlineLevel="0" collapsed="false">
      <c r="A114" s="4" t="s">
        <v>132</v>
      </c>
      <c r="B114" s="16" t="s">
        <v>134</v>
      </c>
      <c r="C114" s="16"/>
      <c r="D114" s="16"/>
      <c r="E114" s="16"/>
      <c r="F114" s="16"/>
      <c r="G114" s="16"/>
      <c r="H114" s="16"/>
      <c r="I114" s="16"/>
      <c r="J114" s="4" t="s">
        <v>788</v>
      </c>
      <c r="K114" s="17"/>
    </row>
    <row r="115" customFormat="false" ht="21.75" hidden="false" customHeight="true" outlineLevel="0" collapsed="false">
      <c r="A115" s="12" t="s">
        <v>75</v>
      </c>
      <c r="B115" s="12" t="s">
        <v>789</v>
      </c>
      <c r="C115" s="12" t="s">
        <v>790</v>
      </c>
      <c r="D115" s="12" t="s">
        <v>791</v>
      </c>
      <c r="E115" s="12" t="s">
        <v>81</v>
      </c>
      <c r="F115" s="12" t="s">
        <v>792</v>
      </c>
      <c r="G115" s="12" t="s">
        <v>793</v>
      </c>
      <c r="H115" s="12" t="s">
        <v>794</v>
      </c>
      <c r="I115" s="12" t="s">
        <v>795</v>
      </c>
      <c r="J115" s="12" t="s">
        <v>796</v>
      </c>
      <c r="K115" s="12" t="s">
        <v>797</v>
      </c>
    </row>
    <row r="116" customFormat="false" ht="15" hidden="false" customHeight="true" outlineLevel="0" collapsed="false">
      <c r="A116" s="9" t="s">
        <v>132</v>
      </c>
      <c r="B116" s="9" t="s">
        <v>798</v>
      </c>
      <c r="C116" s="9" t="s">
        <v>799</v>
      </c>
      <c r="D116" s="5" t="s">
        <v>800</v>
      </c>
      <c r="E116" s="9" t="s">
        <v>801</v>
      </c>
      <c r="F116" s="18" t="n">
        <f aca="false">'15 MIX DESIGN LIBRARY'!J35</f>
        <v>0.26900750389353</v>
      </c>
      <c r="G116" s="13" t="n">
        <f aca="false">N(INDEX('05 MATERIAL RATE LIBRARY'!$E$5:$E$400,MATCH("MAT-CEM-OPC",'05 MATERIAL RATE LIBRARY'!$A$5:$A$400,0)))</f>
        <v>1575</v>
      </c>
      <c r="H116" s="19" t="n">
        <f aca="false">W_Cem</f>
        <v>0.02</v>
      </c>
      <c r="I116" s="18" t="n">
        <f aca="false">F116*(1+H116)</f>
        <v>0.2743876539714</v>
      </c>
      <c r="J116" s="13" t="n">
        <f aca="false">I116*G116</f>
        <v>432.160555004955</v>
      </c>
      <c r="K116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17" customFormat="false" ht="15" hidden="false" customHeight="true" outlineLevel="0" collapsed="false">
      <c r="A117" s="9" t="s">
        <v>132</v>
      </c>
      <c r="B117" s="9" t="s">
        <v>798</v>
      </c>
      <c r="C117" s="9" t="s">
        <v>839</v>
      </c>
      <c r="D117" s="5" t="s">
        <v>840</v>
      </c>
      <c r="E117" s="9" t="s">
        <v>109</v>
      </c>
      <c r="F117" s="18" t="n">
        <f aca="false">'15 MIX DESIGN LIBRARY'!J36</f>
        <v>0.419751646942226</v>
      </c>
      <c r="G117" s="13" t="n">
        <f aca="false">N(INDEX('05 MATERIAL RATE LIBRARY'!$E$5:$E$400,MATCH("MAT-CRS-MGL",'05 MATERIAL RATE LIBRARY'!$A$5:$A$400,0)))</f>
        <v>180</v>
      </c>
      <c r="H117" s="19" t="n">
        <f aca="false">W_Agg</f>
        <v>0.05</v>
      </c>
      <c r="I117" s="18" t="n">
        <f aca="false">F117*(1+H117)</f>
        <v>0.440739229289337</v>
      </c>
      <c r="J117" s="13" t="n">
        <f aca="false">I117*G117</f>
        <v>79.3330612720807</v>
      </c>
      <c r="K117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18" customFormat="false" ht="15" hidden="false" customHeight="true" outlineLevel="0" collapsed="false">
      <c r="A118" s="9" t="s">
        <v>132</v>
      </c>
      <c r="B118" s="9" t="s">
        <v>798</v>
      </c>
      <c r="C118" s="9" t="s">
        <v>839</v>
      </c>
      <c r="D118" s="5" t="s">
        <v>841</v>
      </c>
      <c r="E118" s="9" t="s">
        <v>109</v>
      </c>
      <c r="F118" s="18" t="n">
        <f aca="false">'15 MIX DESIGN LIBRARY'!J37</f>
        <v>0.279834431294817</v>
      </c>
      <c r="G118" s="13" t="n">
        <f aca="false">N(INDEX('05 MATERIAL RATE LIBRARY'!$E$5:$E$400,MATCH("MAT-CRS-MGL",'05 MATERIAL RATE LIBRARY'!$A$5:$A$400,0)))</f>
        <v>180</v>
      </c>
      <c r="H118" s="19" t="n">
        <f aca="false">W_Agg</f>
        <v>0.05</v>
      </c>
      <c r="I118" s="18" t="n">
        <f aca="false">F118*(1+H118)</f>
        <v>0.293826152859558</v>
      </c>
      <c r="J118" s="13" t="n">
        <f aca="false">I118*G118</f>
        <v>52.8887075147205</v>
      </c>
      <c r="K118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19" customFormat="false" ht="15" hidden="false" customHeight="true" outlineLevel="0" collapsed="false">
      <c r="A119" s="9" t="s">
        <v>132</v>
      </c>
      <c r="B119" s="9" t="s">
        <v>798</v>
      </c>
      <c r="C119" s="9" t="s">
        <v>805</v>
      </c>
      <c r="D119" s="5" t="s">
        <v>806</v>
      </c>
      <c r="E119" s="9" t="s">
        <v>109</v>
      </c>
      <c r="F119" s="18" t="n">
        <f aca="false">'15 MIX DESIGN LIBRARY'!J38</f>
        <v>0.416568345210565</v>
      </c>
      <c r="G119" s="13" t="n">
        <f aca="false">N(INDEX('05 MATERIAL RATE LIBRARY'!$E$5:$E$400,MATCH("MAT-SND-LWP",'05 MATERIAL RATE LIBRARY'!$A$5:$A$400,0)))</f>
        <v>240</v>
      </c>
      <c r="H119" s="19" t="n">
        <f aca="false">W_Agg</f>
        <v>0.05</v>
      </c>
      <c r="I119" s="18" t="n">
        <f aca="false">F119*(1+H119)</f>
        <v>0.437396762471094</v>
      </c>
      <c r="J119" s="13" t="n">
        <f aca="false">I119*G119</f>
        <v>104.975222993062</v>
      </c>
      <c r="K119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120" customFormat="false" ht="15" hidden="false" customHeight="true" outlineLevel="0" collapsed="false">
      <c r="A120" s="9" t="s">
        <v>132</v>
      </c>
      <c r="B120" s="9" t="s">
        <v>798</v>
      </c>
      <c r="C120" s="9" t="s">
        <v>807</v>
      </c>
      <c r="D120" s="5" t="s">
        <v>848</v>
      </c>
      <c r="E120" s="9" t="s">
        <v>198</v>
      </c>
      <c r="F120" s="18" t="n">
        <f aca="false">'15 MIX DESIGN LIBRARY'!J39</f>
        <v>0.133087922978904</v>
      </c>
      <c r="G120" s="13" t="n">
        <f aca="false">N(INDEX('05 MATERIAL RATE LIBRARY'!$E$5:$E$400,MATCH("MAT-ADM-SP",'05 MATERIAL RATE LIBRARY'!$A$5:$A$400,0)))</f>
        <v>185</v>
      </c>
      <c r="H120" s="19" t="n">
        <f aca="false">W_Adm</f>
        <v>0.02</v>
      </c>
      <c r="I120" s="18" t="n">
        <f aca="false">F120*(1+H120)</f>
        <v>0.135749681438482</v>
      </c>
      <c r="J120" s="13" t="n">
        <f aca="false">I120*G120</f>
        <v>25.1136910661192</v>
      </c>
      <c r="K120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121" customFormat="false" ht="15" hidden="false" customHeight="true" outlineLevel="0" collapsed="false">
      <c r="A121" s="9" t="s">
        <v>132</v>
      </c>
      <c r="B121" s="9" t="s">
        <v>798</v>
      </c>
      <c r="C121" s="9" t="s">
        <v>809</v>
      </c>
      <c r="D121" s="5" t="s">
        <v>842</v>
      </c>
      <c r="E121" s="9" t="s">
        <v>811</v>
      </c>
      <c r="F121" s="18" t="n">
        <f aca="false">'15 MIX DESIGN LIBRARY'!J40</f>
        <v>5.88984850630044</v>
      </c>
      <c r="G121" s="13" t="n">
        <f aca="false">N(INDEX('05 MATERIAL RATE LIBRARY'!$E$5:$E$400,MATCH("MAT-WTR",'05 MATERIAL RATE LIBRARY'!$A$5:$A$400,0)))</f>
        <v>0.686</v>
      </c>
      <c r="H121" s="19" t="n">
        <f aca="false">W_Wtr</f>
        <v>0</v>
      </c>
      <c r="I121" s="18" t="n">
        <f aca="false">F121*(1+H121)</f>
        <v>5.88984850630044</v>
      </c>
      <c r="J121" s="13" t="n">
        <f aca="false">I121*G121</f>
        <v>4.0404360753221</v>
      </c>
      <c r="K121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22" customFormat="false" ht="15" hidden="false" customHeight="true" outlineLevel="0" collapsed="false">
      <c r="A122" s="9" t="s">
        <v>132</v>
      </c>
      <c r="B122" s="9" t="s">
        <v>812</v>
      </c>
      <c r="C122" s="9" t="s">
        <v>813</v>
      </c>
      <c r="D122" s="5" t="s">
        <v>814</v>
      </c>
      <c r="E122" s="9" t="s">
        <v>815</v>
      </c>
      <c r="F122" s="18" t="n">
        <f aca="false">'13 PRODUCTIVITY LIBRARY'!E5/'13 PRODUCTIVITY LIBRARY'!D5</f>
        <v>0.01</v>
      </c>
      <c r="G122" s="13" t="n">
        <f aca="false">N(INDEX('06 LABOUR RATE LIBRARY'!$D$5:$D$100,MATCH("LAB-MSN",'06 LABOUR RATE LIBRARY'!$A$5:$A$100,0)))</f>
        <v>2200</v>
      </c>
      <c r="H122" s="21" t="n">
        <v>0</v>
      </c>
      <c r="I122" s="18" t="n">
        <f aca="false">F122*(1+H122)</f>
        <v>0.01</v>
      </c>
      <c r="J122" s="13" t="n">
        <f aca="false">I122*G122</f>
        <v>22</v>
      </c>
      <c r="K122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23" customFormat="false" ht="15" hidden="false" customHeight="true" outlineLevel="0" collapsed="false">
      <c r="A123" s="9" t="s">
        <v>132</v>
      </c>
      <c r="B123" s="9" t="s">
        <v>812</v>
      </c>
      <c r="C123" s="9" t="s">
        <v>816</v>
      </c>
      <c r="D123" s="5" t="s">
        <v>817</v>
      </c>
      <c r="E123" s="9" t="s">
        <v>815</v>
      </c>
      <c r="F123" s="18" t="n">
        <f aca="false">'13 PRODUCTIVITY LIBRARY'!F5/'13 PRODUCTIVITY LIBRARY'!D5</f>
        <v>0.08</v>
      </c>
      <c r="G123" s="13" t="n">
        <f aca="false">N(INDEX('06 LABOUR RATE LIBRARY'!$D$5:$D$100,MATCH("LAB-HLP",'06 LABOUR RATE LIBRARY'!$A$5:$A$100,0)))</f>
        <v>1538</v>
      </c>
      <c r="H123" s="21" t="n">
        <v>0</v>
      </c>
      <c r="I123" s="18" t="n">
        <f aca="false">F123*(1+H123)</f>
        <v>0.08</v>
      </c>
      <c r="J123" s="13" t="n">
        <f aca="false">I123*G123</f>
        <v>123.04</v>
      </c>
      <c r="K12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24" customFormat="false" ht="15" hidden="false" customHeight="true" outlineLevel="0" collapsed="false">
      <c r="A124" s="9" t="s">
        <v>132</v>
      </c>
      <c r="B124" s="9" t="s">
        <v>818</v>
      </c>
      <c r="C124" s="9" t="s">
        <v>819</v>
      </c>
      <c r="D124" s="5" t="s">
        <v>820</v>
      </c>
      <c r="E124" s="9" t="s">
        <v>815</v>
      </c>
      <c r="F124" s="18" t="n">
        <f aca="false">1/'13 PRODUCTIVITY LIBRARY'!D5</f>
        <v>0.01</v>
      </c>
      <c r="G124" s="13" t="n">
        <f aca="false">N(INDEX('07 EQUIPMENT RATE LIBRARY'!$D$5:$D$100,MATCH("EQ-VIB",'07 EQUIPMENT RATE LIBRARY'!$A$5:$A$100,0)))</f>
        <v>227</v>
      </c>
      <c r="H124" s="21" t="n">
        <v>0</v>
      </c>
      <c r="I124" s="18" t="n">
        <f aca="false">F124*(1+H124)</f>
        <v>0.01</v>
      </c>
      <c r="J124" s="13" t="n">
        <f aca="false">I124*G124</f>
        <v>2.27</v>
      </c>
      <c r="K124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125" customFormat="false" ht="21.75" hidden="false" customHeight="true" outlineLevel="0" collapsed="false">
      <c r="A125" s="9" t="s">
        <v>132</v>
      </c>
      <c r="B125" s="9" t="s">
        <v>818</v>
      </c>
      <c r="C125" s="9" t="s">
        <v>821</v>
      </c>
      <c r="D125" s="5" t="s">
        <v>822</v>
      </c>
      <c r="E125" s="9" t="s">
        <v>815</v>
      </c>
      <c r="F125" s="18" t="n">
        <f aca="false">1/'13 PRODUCTIVITY LIBRARY'!D5</f>
        <v>0.01</v>
      </c>
      <c r="G125" s="13" t="n">
        <f aca="false">N(INDEX('07 EQUIPMENT RATE LIBRARY'!$D$5:$D$100,MATCH("EQ-MIX",'07 EQUIPMENT RATE LIBRARY'!$A$5:$A$100,0)))</f>
        <v>3500</v>
      </c>
      <c r="H125" s="21" t="n">
        <v>0</v>
      </c>
      <c r="I125" s="18" t="n">
        <f aca="false">F125*(1+H125)</f>
        <v>0.01</v>
      </c>
      <c r="J125" s="13" t="n">
        <f aca="false">I125*G125</f>
        <v>35</v>
      </c>
      <c r="K125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126" customFormat="false" ht="15" hidden="false" customHeight="true" outlineLevel="0" collapsed="false">
      <c r="A126" s="9" t="s">
        <v>132</v>
      </c>
      <c r="B126" s="9" t="s">
        <v>818</v>
      </c>
      <c r="C126" s="9" t="s">
        <v>823</v>
      </c>
      <c r="D126" s="5" t="s">
        <v>824</v>
      </c>
      <c r="E126" s="9" t="s">
        <v>109</v>
      </c>
      <c r="F126" s="18" t="n">
        <v>1</v>
      </c>
      <c r="G126" s="13" t="n">
        <f aca="false">N(INDEX('07 EQUIPMENT RATE LIBRARY'!$D$5:$D$100,MATCH("EQ-PUMP",'07 EQUIPMENT RATE LIBRARY'!$A$5:$A$100,0)))</f>
        <v>28.32</v>
      </c>
      <c r="H126" s="21" t="n">
        <v>0</v>
      </c>
      <c r="I126" s="18" t="n">
        <f aca="false">F126*(1+H126)</f>
        <v>1</v>
      </c>
      <c r="J126" s="13" t="n">
        <f aca="false">I126*G126</f>
        <v>28.32</v>
      </c>
      <c r="K126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127" customFormat="false" ht="15" hidden="false" customHeight="true" outlineLevel="0" collapsed="false">
      <c r="D127" s="22" t="s">
        <v>825</v>
      </c>
      <c r="J127" s="23" t="n">
        <f aca="false">SUMPRODUCT((B116:B126="Material")*F116:F126*G116:G126)</f>
        <v>678.250417391932</v>
      </c>
    </row>
    <row r="128" customFormat="false" ht="15" hidden="false" customHeight="true" outlineLevel="0" collapsed="false">
      <c r="D128" s="22" t="s">
        <v>826</v>
      </c>
      <c r="J128" s="23" t="n">
        <f aca="false">SUMIF(B116:B126,"Material",J116:J126)-J127</f>
        <v>20.2612565343283</v>
      </c>
    </row>
    <row r="129" customFormat="false" ht="15" hidden="false" customHeight="true" outlineLevel="0" collapsed="false">
      <c r="D129" s="24" t="s">
        <v>827</v>
      </c>
      <c r="J129" s="14" t="n">
        <f aca="false">SUMIF(B116:B126,"Material",J116:J126)</f>
        <v>698.51167392626</v>
      </c>
    </row>
    <row r="130" customFormat="false" ht="15" hidden="false" customHeight="true" outlineLevel="0" collapsed="false">
      <c r="D130" s="24" t="s">
        <v>828</v>
      </c>
      <c r="J130" s="14" t="n">
        <f aca="false">SUMIF(B116:B126,"Labour",J116:J126)</f>
        <v>145.04</v>
      </c>
    </row>
    <row r="131" customFormat="false" ht="15" hidden="false" customHeight="true" outlineLevel="0" collapsed="false">
      <c r="D131" s="24" t="s">
        <v>829</v>
      </c>
      <c r="J131" s="14" t="n">
        <f aca="false">SUMIF(B116:B126,"Equipment",J116:J126)</f>
        <v>65.59</v>
      </c>
    </row>
    <row r="132" customFormat="false" ht="15" hidden="false" customHeight="true" outlineLevel="0" collapsed="false">
      <c r="D132" s="24" t="s">
        <v>830</v>
      </c>
      <c r="J132" s="14" t="n">
        <f aca="false">SUMIF(B116:B126,"Transport",J116:J126)</f>
        <v>0</v>
      </c>
    </row>
    <row r="133" customFormat="false" ht="15" hidden="false" customHeight="true" outlineLevel="0" collapsed="false">
      <c r="D133" s="24" t="s">
        <v>831</v>
      </c>
      <c r="J133" s="14" t="n">
        <f aca="false">J129+J130+J131+J132</f>
        <v>909.14167392626</v>
      </c>
    </row>
    <row r="134" customFormat="false" ht="15" hidden="false" customHeight="true" outlineLevel="0" collapsed="false">
      <c r="D134" s="22" t="s">
        <v>832</v>
      </c>
      <c r="J134" s="23" t="n">
        <f aca="false">J133*OH_Site</f>
        <v>27.2742502177878</v>
      </c>
    </row>
    <row r="135" customFormat="false" ht="15" hidden="false" customHeight="true" outlineLevel="0" collapsed="false">
      <c r="D135" s="22" t="s">
        <v>833</v>
      </c>
      <c r="J135" s="23" t="n">
        <f aca="false">J133*OH_HO</f>
        <v>45.457083696313</v>
      </c>
    </row>
    <row r="136" customFormat="false" ht="15" hidden="false" customHeight="true" outlineLevel="0" collapsed="false">
      <c r="D136" s="22" t="s">
        <v>834</v>
      </c>
      <c r="J136" s="23" t="n">
        <f aca="false">J133*Profit</f>
        <v>90.914167392626</v>
      </c>
    </row>
    <row r="137" customFormat="false" ht="15" hidden="false" customHeight="true" outlineLevel="0" collapsed="false">
      <c r="D137" s="24" t="s">
        <v>835</v>
      </c>
      <c r="J137" s="14" t="n">
        <f aca="false">J133+J134+J135+J136</f>
        <v>1072.78717523299</v>
      </c>
    </row>
    <row r="138" customFormat="false" ht="15" hidden="false" customHeight="true" outlineLevel="0" collapsed="false">
      <c r="D138" s="22" t="s">
        <v>836</v>
      </c>
      <c r="J138" s="23" t="n">
        <f aca="false">IF(Tax_On="Yes",J137*N(Tax_Rate),0)</f>
        <v>0</v>
      </c>
    </row>
    <row r="139" customFormat="false" ht="15" hidden="false" customHeight="true" outlineLevel="0" collapsed="false">
      <c r="D139" s="24" t="s">
        <v>837</v>
      </c>
      <c r="J139" s="14" t="n">
        <f aca="false">ROUND(J137+J138,0)</f>
        <v>1073</v>
      </c>
    </row>
    <row r="140" customFormat="false" ht="15" hidden="false" customHeight="true" outlineLevel="0" collapsed="false">
      <c r="D140" s="25" t="s">
        <v>838</v>
      </c>
      <c r="J140" s="26" t="n">
        <f aca="false">COUNTIF(K116:K126,"NO RATE")+COUNTIF(K116:K126,"OLD RATE")</f>
        <v>1</v>
      </c>
    </row>
    <row r="142" customFormat="false" ht="39.75" hidden="false" customHeight="true" outlineLevel="0" collapsed="false">
      <c r="A142" s="4" t="s">
        <v>137</v>
      </c>
      <c r="B142" s="16" t="s">
        <v>139</v>
      </c>
      <c r="C142" s="16"/>
      <c r="D142" s="16"/>
      <c r="E142" s="16"/>
      <c r="F142" s="16"/>
      <c r="G142" s="16"/>
      <c r="H142" s="16"/>
      <c r="I142" s="16"/>
      <c r="J142" s="4" t="s">
        <v>788</v>
      </c>
      <c r="K142" s="17"/>
    </row>
    <row r="143" customFormat="false" ht="21.75" hidden="false" customHeight="true" outlineLevel="0" collapsed="false">
      <c r="A143" s="12" t="s">
        <v>75</v>
      </c>
      <c r="B143" s="12" t="s">
        <v>789</v>
      </c>
      <c r="C143" s="12" t="s">
        <v>790</v>
      </c>
      <c r="D143" s="12" t="s">
        <v>791</v>
      </c>
      <c r="E143" s="12" t="s">
        <v>81</v>
      </c>
      <c r="F143" s="12" t="s">
        <v>792</v>
      </c>
      <c r="G143" s="12" t="s">
        <v>793</v>
      </c>
      <c r="H143" s="12" t="s">
        <v>794</v>
      </c>
      <c r="I143" s="12" t="s">
        <v>795</v>
      </c>
      <c r="J143" s="12" t="s">
        <v>796</v>
      </c>
      <c r="K143" s="12" t="s">
        <v>797</v>
      </c>
    </row>
    <row r="144" customFormat="false" ht="15" hidden="false" customHeight="true" outlineLevel="0" collapsed="false">
      <c r="A144" s="9" t="s">
        <v>137</v>
      </c>
      <c r="B144" s="9" t="s">
        <v>798</v>
      </c>
      <c r="C144" s="9" t="s">
        <v>799</v>
      </c>
      <c r="D144" s="5" t="s">
        <v>800</v>
      </c>
      <c r="E144" s="9" t="s">
        <v>801</v>
      </c>
      <c r="F144" s="18" t="n">
        <f aca="false">'15 MIX DESIGN LIBRARY'!J43</f>
        <v>0.254849214214923</v>
      </c>
      <c r="G144" s="13" t="n">
        <f aca="false">N(INDEX('05 MATERIAL RATE LIBRARY'!$E$5:$E$400,MATCH("MAT-CEM-OPC",'05 MATERIAL RATE LIBRARY'!$A$5:$A$400,0)))</f>
        <v>1575</v>
      </c>
      <c r="H144" s="19" t="n">
        <f aca="false">W_Cem</f>
        <v>0.02</v>
      </c>
      <c r="I144" s="18" t="n">
        <f aca="false">F144*(1+H144)</f>
        <v>0.259946198499221</v>
      </c>
      <c r="J144" s="13" t="n">
        <f aca="false">I144*G144</f>
        <v>409.415262636274</v>
      </c>
      <c r="K144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45" customFormat="false" ht="15" hidden="false" customHeight="true" outlineLevel="0" collapsed="false">
      <c r="A145" s="9" t="s">
        <v>137</v>
      </c>
      <c r="B145" s="9" t="s">
        <v>798</v>
      </c>
      <c r="C145" s="9" t="s">
        <v>839</v>
      </c>
      <c r="D145" s="5" t="s">
        <v>840</v>
      </c>
      <c r="E145" s="9" t="s">
        <v>109</v>
      </c>
      <c r="F145" s="18" t="n">
        <f aca="false">'15 MIX DESIGN LIBRARY'!J44</f>
        <v>0.419751646942226</v>
      </c>
      <c r="G145" s="13" t="n">
        <f aca="false">N(INDEX('05 MATERIAL RATE LIBRARY'!$E$5:$E$400,MATCH("MAT-CRS-MGL",'05 MATERIAL RATE LIBRARY'!$A$5:$A$400,0)))</f>
        <v>180</v>
      </c>
      <c r="H145" s="19" t="n">
        <f aca="false">W_Agg</f>
        <v>0.05</v>
      </c>
      <c r="I145" s="18" t="n">
        <f aca="false">F145*(1+H145)</f>
        <v>0.440739229289337</v>
      </c>
      <c r="J145" s="13" t="n">
        <f aca="false">I145*G145</f>
        <v>79.3330612720807</v>
      </c>
      <c r="K145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46" customFormat="false" ht="15" hidden="false" customHeight="true" outlineLevel="0" collapsed="false">
      <c r="A146" s="9" t="s">
        <v>137</v>
      </c>
      <c r="B146" s="9" t="s">
        <v>798</v>
      </c>
      <c r="C146" s="9" t="s">
        <v>839</v>
      </c>
      <c r="D146" s="5" t="s">
        <v>841</v>
      </c>
      <c r="E146" s="9" t="s">
        <v>109</v>
      </c>
      <c r="F146" s="18" t="n">
        <f aca="false">'15 MIX DESIGN LIBRARY'!J45</f>
        <v>0.279834431294817</v>
      </c>
      <c r="G146" s="13" t="n">
        <f aca="false">N(INDEX('05 MATERIAL RATE LIBRARY'!$E$5:$E$400,MATCH("MAT-CRS-MGL",'05 MATERIAL RATE LIBRARY'!$A$5:$A$400,0)))</f>
        <v>180</v>
      </c>
      <c r="H146" s="19" t="n">
        <f aca="false">W_Agg</f>
        <v>0.05</v>
      </c>
      <c r="I146" s="18" t="n">
        <f aca="false">F146*(1+H146)</f>
        <v>0.293826152859558</v>
      </c>
      <c r="J146" s="13" t="n">
        <f aca="false">I146*G146</f>
        <v>52.8887075147205</v>
      </c>
      <c r="K146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47" customFormat="false" ht="15" hidden="false" customHeight="true" outlineLevel="0" collapsed="false">
      <c r="A147" s="9" t="s">
        <v>137</v>
      </c>
      <c r="B147" s="9" t="s">
        <v>798</v>
      </c>
      <c r="C147" s="9" t="s">
        <v>805</v>
      </c>
      <c r="D147" s="5" t="s">
        <v>806</v>
      </c>
      <c r="E147" s="9" t="s">
        <v>109</v>
      </c>
      <c r="F147" s="18" t="n">
        <f aca="false">'15 MIX DESIGN LIBRARY'!J46</f>
        <v>0.434187550143943</v>
      </c>
      <c r="G147" s="13" t="n">
        <f aca="false">N(INDEX('05 MATERIAL RATE LIBRARY'!$E$5:$E$400,MATCH("MAT-SND-LWP",'05 MATERIAL RATE LIBRARY'!$A$5:$A$400,0)))</f>
        <v>240</v>
      </c>
      <c r="H147" s="19" t="n">
        <f aca="false">W_Agg</f>
        <v>0.05</v>
      </c>
      <c r="I147" s="18" t="n">
        <f aca="false">F147*(1+H147)</f>
        <v>0.45589692765114</v>
      </c>
      <c r="J147" s="13" t="n">
        <f aca="false">I147*G147</f>
        <v>109.415262636274</v>
      </c>
      <c r="K147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148" customFormat="false" ht="15" hidden="false" customHeight="true" outlineLevel="0" collapsed="false">
      <c r="A148" s="9" t="s">
        <v>137</v>
      </c>
      <c r="B148" s="9" t="s">
        <v>798</v>
      </c>
      <c r="C148" s="9" t="s">
        <v>807</v>
      </c>
      <c r="D148" s="5" t="s">
        <v>849</v>
      </c>
      <c r="E148" s="9" t="s">
        <v>198</v>
      </c>
      <c r="F148" s="18" t="n">
        <f aca="false">'15 MIX DESIGN LIBRARY'!J47</f>
        <v>0.121761291236019</v>
      </c>
      <c r="G148" s="13" t="n">
        <f aca="false">N(INDEX('05 MATERIAL RATE LIBRARY'!$E$5:$E$400,MATCH("MAT-ADM-SP",'05 MATERIAL RATE LIBRARY'!$A$5:$A$400,0)))</f>
        <v>185</v>
      </c>
      <c r="H148" s="19" t="n">
        <f aca="false">W_Adm</f>
        <v>0.02</v>
      </c>
      <c r="I148" s="18" t="n">
        <f aca="false">F148*(1+H148)</f>
        <v>0.124196517060739</v>
      </c>
      <c r="J148" s="13" t="n">
        <f aca="false">I148*G148</f>
        <v>22.9763556562367</v>
      </c>
      <c r="K148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149" customFormat="false" ht="15" hidden="false" customHeight="true" outlineLevel="0" collapsed="false">
      <c r="A149" s="9" t="s">
        <v>137</v>
      </c>
      <c r="B149" s="9" t="s">
        <v>798</v>
      </c>
      <c r="C149" s="9" t="s">
        <v>809</v>
      </c>
      <c r="D149" s="5" t="s">
        <v>842</v>
      </c>
      <c r="E149" s="9" t="s">
        <v>811</v>
      </c>
      <c r="F149" s="18" t="n">
        <f aca="false">'15 MIX DESIGN LIBRARY'!J48</f>
        <v>5.83321534758601</v>
      </c>
      <c r="G149" s="13" t="n">
        <f aca="false">N(INDEX('05 MATERIAL RATE LIBRARY'!$E$5:$E$400,MATCH("MAT-WTR",'05 MATERIAL RATE LIBRARY'!$A$5:$A$400,0)))</f>
        <v>0.686</v>
      </c>
      <c r="H149" s="19" t="n">
        <f aca="false">W_Wtr</f>
        <v>0</v>
      </c>
      <c r="I149" s="18" t="n">
        <f aca="false">F149*(1+H149)</f>
        <v>5.83321534758601</v>
      </c>
      <c r="J149" s="13" t="n">
        <f aca="false">I149*G149</f>
        <v>4.001585728444</v>
      </c>
      <c r="K149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50" customFormat="false" ht="15" hidden="false" customHeight="true" outlineLevel="0" collapsed="false">
      <c r="A150" s="9" t="s">
        <v>137</v>
      </c>
      <c r="B150" s="9" t="s">
        <v>812</v>
      </c>
      <c r="C150" s="9" t="s">
        <v>813</v>
      </c>
      <c r="D150" s="5" t="s">
        <v>814</v>
      </c>
      <c r="E150" s="9" t="s">
        <v>815</v>
      </c>
      <c r="F150" s="18" t="n">
        <f aca="false">'13 PRODUCTIVITY LIBRARY'!E5/'13 PRODUCTIVITY LIBRARY'!D5</f>
        <v>0.01</v>
      </c>
      <c r="G150" s="13" t="n">
        <f aca="false">N(INDEX('06 LABOUR RATE LIBRARY'!$D$5:$D$100,MATCH("LAB-MSN",'06 LABOUR RATE LIBRARY'!$A$5:$A$100,0)))</f>
        <v>2200</v>
      </c>
      <c r="H150" s="21" t="n">
        <v>0</v>
      </c>
      <c r="I150" s="18" t="n">
        <f aca="false">F150*(1+H150)</f>
        <v>0.01</v>
      </c>
      <c r="J150" s="13" t="n">
        <f aca="false">I150*G150</f>
        <v>22</v>
      </c>
      <c r="K150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51" customFormat="false" ht="15" hidden="false" customHeight="true" outlineLevel="0" collapsed="false">
      <c r="A151" s="9" t="s">
        <v>137</v>
      </c>
      <c r="B151" s="9" t="s">
        <v>812</v>
      </c>
      <c r="C151" s="9" t="s">
        <v>816</v>
      </c>
      <c r="D151" s="5" t="s">
        <v>817</v>
      </c>
      <c r="E151" s="9" t="s">
        <v>815</v>
      </c>
      <c r="F151" s="18" t="n">
        <f aca="false">'13 PRODUCTIVITY LIBRARY'!F5/'13 PRODUCTIVITY LIBRARY'!D5</f>
        <v>0.08</v>
      </c>
      <c r="G151" s="13" t="n">
        <f aca="false">N(INDEX('06 LABOUR RATE LIBRARY'!$D$5:$D$100,MATCH("LAB-HLP",'06 LABOUR RATE LIBRARY'!$A$5:$A$100,0)))</f>
        <v>1538</v>
      </c>
      <c r="H151" s="21" t="n">
        <v>0</v>
      </c>
      <c r="I151" s="18" t="n">
        <f aca="false">F151*(1+H151)</f>
        <v>0.08</v>
      </c>
      <c r="J151" s="13" t="n">
        <f aca="false">I151*G151</f>
        <v>123.04</v>
      </c>
      <c r="K15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52" customFormat="false" ht="15" hidden="false" customHeight="true" outlineLevel="0" collapsed="false">
      <c r="A152" s="9" t="s">
        <v>137</v>
      </c>
      <c r="B152" s="9" t="s">
        <v>818</v>
      </c>
      <c r="C152" s="9" t="s">
        <v>819</v>
      </c>
      <c r="D152" s="5" t="s">
        <v>820</v>
      </c>
      <c r="E152" s="9" t="s">
        <v>815</v>
      </c>
      <c r="F152" s="18" t="n">
        <f aca="false">1/'13 PRODUCTIVITY LIBRARY'!D5</f>
        <v>0.01</v>
      </c>
      <c r="G152" s="13" t="n">
        <f aca="false">N(INDEX('07 EQUIPMENT RATE LIBRARY'!$D$5:$D$100,MATCH("EQ-VIB",'07 EQUIPMENT RATE LIBRARY'!$A$5:$A$100,0)))</f>
        <v>227</v>
      </c>
      <c r="H152" s="21" t="n">
        <v>0</v>
      </c>
      <c r="I152" s="18" t="n">
        <f aca="false">F152*(1+H152)</f>
        <v>0.01</v>
      </c>
      <c r="J152" s="13" t="n">
        <f aca="false">I152*G152</f>
        <v>2.27</v>
      </c>
      <c r="K152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153" customFormat="false" ht="21.75" hidden="false" customHeight="true" outlineLevel="0" collapsed="false">
      <c r="A153" s="9" t="s">
        <v>137</v>
      </c>
      <c r="B153" s="9" t="s">
        <v>818</v>
      </c>
      <c r="C153" s="9" t="s">
        <v>821</v>
      </c>
      <c r="D153" s="5" t="s">
        <v>822</v>
      </c>
      <c r="E153" s="9" t="s">
        <v>815</v>
      </c>
      <c r="F153" s="18" t="n">
        <f aca="false">1/'13 PRODUCTIVITY LIBRARY'!D5</f>
        <v>0.01</v>
      </c>
      <c r="G153" s="13" t="n">
        <f aca="false">N(INDEX('07 EQUIPMENT RATE LIBRARY'!$D$5:$D$100,MATCH("EQ-MIX",'07 EQUIPMENT RATE LIBRARY'!$A$5:$A$100,0)))</f>
        <v>3500</v>
      </c>
      <c r="H153" s="21" t="n">
        <v>0</v>
      </c>
      <c r="I153" s="18" t="n">
        <f aca="false">F153*(1+H153)</f>
        <v>0.01</v>
      </c>
      <c r="J153" s="13" t="n">
        <f aca="false">I153*G153</f>
        <v>35</v>
      </c>
      <c r="K153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154" customFormat="false" ht="15" hidden="false" customHeight="true" outlineLevel="0" collapsed="false">
      <c r="A154" s="9" t="s">
        <v>137</v>
      </c>
      <c r="B154" s="9" t="s">
        <v>818</v>
      </c>
      <c r="C154" s="9" t="s">
        <v>823</v>
      </c>
      <c r="D154" s="5" t="s">
        <v>824</v>
      </c>
      <c r="E154" s="9" t="s">
        <v>109</v>
      </c>
      <c r="F154" s="18" t="n">
        <v>1</v>
      </c>
      <c r="G154" s="13" t="n">
        <f aca="false">N(INDEX('07 EQUIPMENT RATE LIBRARY'!$D$5:$D$100,MATCH("EQ-PUMP",'07 EQUIPMENT RATE LIBRARY'!$A$5:$A$100,0)))</f>
        <v>28.32</v>
      </c>
      <c r="H154" s="21" t="n">
        <v>0</v>
      </c>
      <c r="I154" s="18" t="n">
        <f aca="false">F154*(1+H154)</f>
        <v>1</v>
      </c>
      <c r="J154" s="13" t="n">
        <f aca="false">I154*G154</f>
        <v>28.32</v>
      </c>
      <c r="K154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155" customFormat="false" ht="15" hidden="false" customHeight="true" outlineLevel="0" collapsed="false">
      <c r="D155" s="22" t="s">
        <v>825</v>
      </c>
      <c r="J155" s="23" t="n">
        <f aca="false">SUMPRODUCT((B144:B154="Material")*F144:F154*G144:G154)</f>
        <v>658.045443112825</v>
      </c>
    </row>
    <row r="156" customFormat="false" ht="15" hidden="false" customHeight="true" outlineLevel="0" collapsed="false">
      <c r="D156" s="22" t="s">
        <v>826</v>
      </c>
      <c r="J156" s="23" t="n">
        <f aca="false">SUMIF(B144:B154,"Material",J144:J154)-J155</f>
        <v>19.9847923312041</v>
      </c>
    </row>
    <row r="157" customFormat="false" ht="15" hidden="false" customHeight="true" outlineLevel="0" collapsed="false">
      <c r="D157" s="24" t="s">
        <v>827</v>
      </c>
      <c r="J157" s="14" t="n">
        <f aca="false">SUMIF(B144:B154,"Material",J144:J154)</f>
        <v>678.030235444029</v>
      </c>
    </row>
    <row r="158" customFormat="false" ht="15" hidden="false" customHeight="true" outlineLevel="0" collapsed="false">
      <c r="D158" s="24" t="s">
        <v>828</v>
      </c>
      <c r="J158" s="14" t="n">
        <f aca="false">SUMIF(B144:B154,"Labour",J144:J154)</f>
        <v>145.04</v>
      </c>
    </row>
    <row r="159" customFormat="false" ht="15" hidden="false" customHeight="true" outlineLevel="0" collapsed="false">
      <c r="D159" s="24" t="s">
        <v>829</v>
      </c>
      <c r="J159" s="14" t="n">
        <f aca="false">SUMIF(B144:B154,"Equipment",J144:J154)</f>
        <v>65.59</v>
      </c>
    </row>
    <row r="160" customFormat="false" ht="15" hidden="false" customHeight="true" outlineLevel="0" collapsed="false">
      <c r="D160" s="24" t="s">
        <v>830</v>
      </c>
      <c r="J160" s="14" t="n">
        <f aca="false">SUMIF(B144:B154,"Transport",J144:J154)</f>
        <v>0</v>
      </c>
    </row>
    <row r="161" customFormat="false" ht="15" hidden="false" customHeight="true" outlineLevel="0" collapsed="false">
      <c r="D161" s="24" t="s">
        <v>831</v>
      </c>
      <c r="J161" s="14" t="n">
        <f aca="false">J157+J158+J159+J160</f>
        <v>888.660235444029</v>
      </c>
    </row>
    <row r="162" customFormat="false" ht="15" hidden="false" customHeight="true" outlineLevel="0" collapsed="false">
      <c r="D162" s="22" t="s">
        <v>832</v>
      </c>
      <c r="J162" s="23" t="n">
        <f aca="false">J161*OH_Site</f>
        <v>26.6598070633209</v>
      </c>
    </row>
    <row r="163" customFormat="false" ht="15" hidden="false" customHeight="true" outlineLevel="0" collapsed="false">
      <c r="D163" s="22" t="s">
        <v>833</v>
      </c>
      <c r="J163" s="23" t="n">
        <f aca="false">J161*OH_HO</f>
        <v>44.4330117722015</v>
      </c>
    </row>
    <row r="164" customFormat="false" ht="15" hidden="false" customHeight="true" outlineLevel="0" collapsed="false">
      <c r="D164" s="22" t="s">
        <v>834</v>
      </c>
      <c r="J164" s="23" t="n">
        <f aca="false">J161*Profit</f>
        <v>88.8660235444029</v>
      </c>
    </row>
    <row r="165" customFormat="false" ht="15" hidden="false" customHeight="true" outlineLevel="0" collapsed="false">
      <c r="D165" s="24" t="s">
        <v>835</v>
      </c>
      <c r="J165" s="14" t="n">
        <f aca="false">J161+J162+J163+J164</f>
        <v>1048.61907782395</v>
      </c>
    </row>
    <row r="166" customFormat="false" ht="15" hidden="false" customHeight="true" outlineLevel="0" collapsed="false">
      <c r="D166" s="22" t="s">
        <v>836</v>
      </c>
      <c r="J166" s="23" t="n">
        <f aca="false">IF(Tax_On="Yes",J165*N(Tax_Rate),0)</f>
        <v>0</v>
      </c>
    </row>
    <row r="167" customFormat="false" ht="15" hidden="false" customHeight="true" outlineLevel="0" collapsed="false">
      <c r="D167" s="24" t="s">
        <v>837</v>
      </c>
      <c r="J167" s="14" t="n">
        <f aca="false">ROUND(J165+J166,0)</f>
        <v>1049</v>
      </c>
    </row>
    <row r="168" customFormat="false" ht="15" hidden="false" customHeight="true" outlineLevel="0" collapsed="false">
      <c r="D168" s="25" t="s">
        <v>838</v>
      </c>
      <c r="J168" s="26" t="n">
        <f aca="false">COUNTIF(K144:K154,"NO RATE")+COUNTIF(K144:K154,"OLD RATE")</f>
        <v>1</v>
      </c>
    </row>
    <row r="170" customFormat="false" ht="39.75" hidden="false" customHeight="true" outlineLevel="0" collapsed="false">
      <c r="A170" s="4" t="s">
        <v>142</v>
      </c>
      <c r="B170" s="16" t="s">
        <v>144</v>
      </c>
      <c r="C170" s="16"/>
      <c r="D170" s="16"/>
      <c r="E170" s="16"/>
      <c r="F170" s="16"/>
      <c r="G170" s="16"/>
      <c r="H170" s="16"/>
      <c r="I170" s="16"/>
      <c r="J170" s="4" t="s">
        <v>788</v>
      </c>
      <c r="K170" s="17"/>
    </row>
    <row r="171" customFormat="false" ht="21.75" hidden="false" customHeight="true" outlineLevel="0" collapsed="false">
      <c r="A171" s="12" t="s">
        <v>75</v>
      </c>
      <c r="B171" s="12" t="s">
        <v>789</v>
      </c>
      <c r="C171" s="12" t="s">
        <v>790</v>
      </c>
      <c r="D171" s="12" t="s">
        <v>791</v>
      </c>
      <c r="E171" s="12" t="s">
        <v>81</v>
      </c>
      <c r="F171" s="12" t="s">
        <v>792</v>
      </c>
      <c r="G171" s="12" t="s">
        <v>793</v>
      </c>
      <c r="H171" s="12" t="s">
        <v>794</v>
      </c>
      <c r="I171" s="12" t="s">
        <v>795</v>
      </c>
      <c r="J171" s="12" t="s">
        <v>796</v>
      </c>
      <c r="K171" s="12" t="s">
        <v>797</v>
      </c>
    </row>
    <row r="172" customFormat="false" ht="15" hidden="false" customHeight="true" outlineLevel="0" collapsed="false">
      <c r="A172" s="9" t="s">
        <v>142</v>
      </c>
      <c r="B172" s="9" t="s">
        <v>798</v>
      </c>
      <c r="C172" s="9" t="s">
        <v>799</v>
      </c>
      <c r="D172" s="5" t="s">
        <v>850</v>
      </c>
      <c r="E172" s="9" t="s">
        <v>801</v>
      </c>
      <c r="F172" s="18" t="n">
        <f aca="false">'15 MIX DESIGN LIBRARY'!J51</f>
        <v>0.101939685685969</v>
      </c>
      <c r="G172" s="13" t="n">
        <f aca="false">N(INDEX('05 MATERIAL RATE LIBRARY'!$E$5:$E$400,MATCH("MAT-CEM-OPC",'05 MATERIAL RATE LIBRARY'!$A$5:$A$400,0)))</f>
        <v>1575</v>
      </c>
      <c r="H172" s="19" t="n">
        <f aca="false">W_Cem</f>
        <v>0.02</v>
      </c>
      <c r="I172" s="18" t="n">
        <f aca="false">F172*(1+H172)</f>
        <v>0.103978479399689</v>
      </c>
      <c r="J172" s="13" t="n">
        <f aca="false">I172*G172</f>
        <v>163.766105054509</v>
      </c>
      <c r="K172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73" customFormat="false" ht="15" hidden="false" customHeight="true" outlineLevel="0" collapsed="false">
      <c r="A173" s="9" t="s">
        <v>142</v>
      </c>
      <c r="B173" s="9" t="s">
        <v>798</v>
      </c>
      <c r="C173" s="9" t="s">
        <v>805</v>
      </c>
      <c r="D173" s="5" t="s">
        <v>851</v>
      </c>
      <c r="E173" s="9" t="s">
        <v>109</v>
      </c>
      <c r="F173" s="18" t="n">
        <f aca="false">'15 MIX DESIGN LIBRARY'!J52</f>
        <v>0.509698428429846</v>
      </c>
      <c r="G173" s="13" t="n">
        <f aca="false">N(INDEX('05 MATERIAL RATE LIBRARY'!$E$5:$E$400,MATCH("MAT-SND-LWP",'05 MATERIAL RATE LIBRARY'!$A$5:$A$400,0)))</f>
        <v>240</v>
      </c>
      <c r="H173" s="19" t="n">
        <f aca="false">W_Agg</f>
        <v>0.05</v>
      </c>
      <c r="I173" s="18" t="n">
        <f aca="false">F173*(1+H173)</f>
        <v>0.535183349851338</v>
      </c>
      <c r="J173" s="13" t="n">
        <f aca="false">I173*G173</f>
        <v>128.444003964321</v>
      </c>
      <c r="K173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174" customFormat="false" ht="15" hidden="false" customHeight="true" outlineLevel="0" collapsed="false">
      <c r="A174" s="9" t="s">
        <v>142</v>
      </c>
      <c r="B174" s="9" t="s">
        <v>798</v>
      </c>
      <c r="C174" s="9" t="s">
        <v>839</v>
      </c>
      <c r="D174" s="5" t="s">
        <v>852</v>
      </c>
      <c r="E174" s="9" t="s">
        <v>109</v>
      </c>
      <c r="F174" s="18" t="n">
        <f aca="false">'15 MIX DESIGN LIBRARY'!J53</f>
        <v>0.812852395665898</v>
      </c>
      <c r="G174" s="13" t="n">
        <f aca="false">N(INDEX('05 MATERIAL RATE LIBRARY'!$E$5:$E$400,MATCH("MAT-CRS-MGL",'05 MATERIAL RATE LIBRARY'!$A$5:$A$400,0)))</f>
        <v>180</v>
      </c>
      <c r="H174" s="19" t="n">
        <f aca="false">W_Agg</f>
        <v>0.05</v>
      </c>
      <c r="I174" s="18" t="n">
        <f aca="false">F174*(1+H174)</f>
        <v>0.853495015449193</v>
      </c>
      <c r="J174" s="13" t="n">
        <f aca="false">I174*G174</f>
        <v>153.629102780855</v>
      </c>
      <c r="K174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75" customFormat="false" ht="15" hidden="false" customHeight="true" outlineLevel="0" collapsed="false">
      <c r="A175" s="9" t="s">
        <v>142</v>
      </c>
      <c r="B175" s="9" t="s">
        <v>798</v>
      </c>
      <c r="C175" s="9" t="s">
        <v>809</v>
      </c>
      <c r="D175" s="5" t="s">
        <v>810</v>
      </c>
      <c r="E175" s="9" t="s">
        <v>811</v>
      </c>
      <c r="F175" s="18" t="n">
        <f aca="false">'15 MIX DESIGN LIBRARY'!J54</f>
        <v>5.09698428429846</v>
      </c>
      <c r="G175" s="13" t="n">
        <f aca="false">N(INDEX('05 MATERIAL RATE LIBRARY'!$E$5:$E$400,MATCH("MAT-WTR",'05 MATERIAL RATE LIBRARY'!$A$5:$A$400,0)))</f>
        <v>0.686</v>
      </c>
      <c r="H175" s="19" t="n">
        <f aca="false">W_Wtr</f>
        <v>0</v>
      </c>
      <c r="I175" s="18" t="n">
        <f aca="false">F175*(1+H175)</f>
        <v>5.09698428429846</v>
      </c>
      <c r="J175" s="13" t="n">
        <f aca="false">I175*G175</f>
        <v>3.49653121902874</v>
      </c>
      <c r="K175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76" customFormat="false" ht="15" hidden="false" customHeight="true" outlineLevel="0" collapsed="false">
      <c r="A176" s="9" t="s">
        <v>142</v>
      </c>
      <c r="B176" s="9" t="s">
        <v>812</v>
      </c>
      <c r="C176" s="9" t="s">
        <v>813</v>
      </c>
      <c r="D176" s="5" t="s">
        <v>843</v>
      </c>
      <c r="E176" s="9" t="s">
        <v>815</v>
      </c>
      <c r="F176" s="18" t="n">
        <f aca="false">'13 PRODUCTIVITY LIBRARY'!E6/'13 PRODUCTIVITY LIBRARY'!D6</f>
        <v>0.0125</v>
      </c>
      <c r="G176" s="13" t="n">
        <f aca="false">N(INDEX('06 LABOUR RATE LIBRARY'!$D$5:$D$100,MATCH("LAB-MSN",'06 LABOUR RATE LIBRARY'!$A$5:$A$100,0)))</f>
        <v>2200</v>
      </c>
      <c r="H176" s="21" t="n">
        <v>0</v>
      </c>
      <c r="I176" s="18" t="n">
        <f aca="false">F176*(1+H176)</f>
        <v>0.0125</v>
      </c>
      <c r="J176" s="13" t="n">
        <f aca="false">I176*G176</f>
        <v>27.5</v>
      </c>
      <c r="K176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77" customFormat="false" ht="15" hidden="false" customHeight="true" outlineLevel="0" collapsed="false">
      <c r="A177" s="9" t="s">
        <v>142</v>
      </c>
      <c r="B177" s="9" t="s">
        <v>812</v>
      </c>
      <c r="C177" s="9" t="s">
        <v>816</v>
      </c>
      <c r="D177" s="5" t="s">
        <v>844</v>
      </c>
      <c r="E177" s="9" t="s">
        <v>815</v>
      </c>
      <c r="F177" s="18" t="n">
        <f aca="false">'13 PRODUCTIVITY LIBRARY'!F6/'13 PRODUCTIVITY LIBRARY'!D6</f>
        <v>0.075</v>
      </c>
      <c r="G177" s="13" t="n">
        <f aca="false">N(INDEX('06 LABOUR RATE LIBRARY'!$D$5:$D$100,MATCH("LAB-HLP",'06 LABOUR RATE LIBRARY'!$A$5:$A$100,0)))</f>
        <v>1538</v>
      </c>
      <c r="H177" s="21" t="n">
        <v>0</v>
      </c>
      <c r="I177" s="18" t="n">
        <f aca="false">F177*(1+H177)</f>
        <v>0.075</v>
      </c>
      <c r="J177" s="13" t="n">
        <f aca="false">I177*G177</f>
        <v>115.35</v>
      </c>
      <c r="K17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78" customFormat="false" ht="15" hidden="false" customHeight="true" outlineLevel="0" collapsed="false">
      <c r="A178" s="9" t="s">
        <v>142</v>
      </c>
      <c r="B178" s="9" t="s">
        <v>818</v>
      </c>
      <c r="C178" s="9" t="s">
        <v>819</v>
      </c>
      <c r="D178" s="5" t="s">
        <v>820</v>
      </c>
      <c r="E178" s="9" t="s">
        <v>815</v>
      </c>
      <c r="F178" s="18" t="n">
        <f aca="false">1/'13 PRODUCTIVITY LIBRARY'!D6</f>
        <v>0.0125</v>
      </c>
      <c r="G178" s="13" t="n">
        <f aca="false">N(INDEX('07 EQUIPMENT RATE LIBRARY'!$D$5:$D$100,MATCH("EQ-VIB",'07 EQUIPMENT RATE LIBRARY'!$A$5:$A$100,0)))</f>
        <v>227</v>
      </c>
      <c r="H178" s="21" t="n">
        <v>0</v>
      </c>
      <c r="I178" s="18" t="n">
        <f aca="false">F178*(1+H178)</f>
        <v>0.0125</v>
      </c>
      <c r="J178" s="13" t="n">
        <f aca="false">I178*G178</f>
        <v>2.8375</v>
      </c>
      <c r="K178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179" customFormat="false" ht="21.75" hidden="false" customHeight="true" outlineLevel="0" collapsed="false">
      <c r="A179" s="9" t="s">
        <v>142</v>
      </c>
      <c r="B179" s="9" t="s">
        <v>818</v>
      </c>
      <c r="C179" s="9" t="s">
        <v>821</v>
      </c>
      <c r="D179" s="5" t="s">
        <v>822</v>
      </c>
      <c r="E179" s="9" t="s">
        <v>815</v>
      </c>
      <c r="F179" s="18" t="n">
        <f aca="false">1/'13 PRODUCTIVITY LIBRARY'!D6</f>
        <v>0.0125</v>
      </c>
      <c r="G179" s="13" t="n">
        <f aca="false">N(INDEX('07 EQUIPMENT RATE LIBRARY'!$D$5:$D$100,MATCH("EQ-MIX",'07 EQUIPMENT RATE LIBRARY'!$A$5:$A$100,0)))</f>
        <v>3500</v>
      </c>
      <c r="H179" s="21" t="n">
        <v>0</v>
      </c>
      <c r="I179" s="18" t="n">
        <f aca="false">F179*(1+H179)</f>
        <v>0.0125</v>
      </c>
      <c r="J179" s="13" t="n">
        <f aca="false">I179*G179</f>
        <v>43.75</v>
      </c>
      <c r="K179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180" customFormat="false" ht="15" hidden="false" customHeight="true" outlineLevel="0" collapsed="false">
      <c r="A180" s="9" t="s">
        <v>142</v>
      </c>
      <c r="B180" s="9" t="s">
        <v>818</v>
      </c>
      <c r="C180" s="9" t="s">
        <v>823</v>
      </c>
      <c r="D180" s="5" t="s">
        <v>824</v>
      </c>
      <c r="E180" s="9" t="s">
        <v>109</v>
      </c>
      <c r="F180" s="18" t="n">
        <v>1</v>
      </c>
      <c r="G180" s="13" t="n">
        <f aca="false">N(INDEX('07 EQUIPMENT RATE LIBRARY'!$D$5:$D$100,MATCH("EQ-PUMP",'07 EQUIPMENT RATE LIBRARY'!$A$5:$A$100,0)))</f>
        <v>28.32</v>
      </c>
      <c r="H180" s="21" t="n">
        <v>0</v>
      </c>
      <c r="I180" s="18" t="n">
        <f aca="false">F180*(1+H180)</f>
        <v>1</v>
      </c>
      <c r="J180" s="13" t="n">
        <f aca="false">I180*G180</f>
        <v>28.32</v>
      </c>
      <c r="K180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181" customFormat="false" ht="15" hidden="false" customHeight="true" outlineLevel="0" collapsed="false">
      <c r="D181" s="22" t="s">
        <v>825</v>
      </c>
      <c r="J181" s="23" t="n">
        <f aca="false">SUMPRODUCT((B172:B180="Material")*F172:F180*G172:G180)</f>
        <v>432.692590217455</v>
      </c>
    </row>
    <row r="182" customFormat="false" ht="15" hidden="false" customHeight="true" outlineLevel="0" collapsed="false">
      <c r="D182" s="22" t="s">
        <v>826</v>
      </c>
      <c r="J182" s="23" t="n">
        <f aca="false">SUMIF(B172:B180,"Material",J172:J180)-J181</f>
        <v>16.6431528012592</v>
      </c>
    </row>
    <row r="183" customFormat="false" ht="15" hidden="false" customHeight="true" outlineLevel="0" collapsed="false">
      <c r="D183" s="24" t="s">
        <v>827</v>
      </c>
      <c r="J183" s="14" t="n">
        <f aca="false">SUMIF(B172:B180,"Material",J172:J180)</f>
        <v>449.335743018714</v>
      </c>
    </row>
    <row r="184" customFormat="false" ht="15" hidden="false" customHeight="true" outlineLevel="0" collapsed="false">
      <c r="D184" s="24" t="s">
        <v>828</v>
      </c>
      <c r="J184" s="14" t="n">
        <f aca="false">SUMIF(B172:B180,"Labour",J172:J180)</f>
        <v>142.85</v>
      </c>
    </row>
    <row r="185" customFormat="false" ht="15" hidden="false" customHeight="true" outlineLevel="0" collapsed="false">
      <c r="D185" s="24" t="s">
        <v>829</v>
      </c>
      <c r="J185" s="14" t="n">
        <f aca="false">SUMIF(B172:B180,"Equipment",J172:J180)</f>
        <v>74.9075</v>
      </c>
    </row>
    <row r="186" customFormat="false" ht="15" hidden="false" customHeight="true" outlineLevel="0" collapsed="false">
      <c r="D186" s="24" t="s">
        <v>830</v>
      </c>
      <c r="J186" s="14" t="n">
        <f aca="false">SUMIF(B172:B180,"Transport",J172:J180)</f>
        <v>0</v>
      </c>
    </row>
    <row r="187" customFormat="false" ht="15" hidden="false" customHeight="true" outlineLevel="0" collapsed="false">
      <c r="D187" s="24" t="s">
        <v>831</v>
      </c>
      <c r="J187" s="14" t="n">
        <f aca="false">J183+J184+J185+J186</f>
        <v>667.093243018714</v>
      </c>
    </row>
    <row r="188" customFormat="false" ht="15" hidden="false" customHeight="true" outlineLevel="0" collapsed="false">
      <c r="D188" s="22" t="s">
        <v>832</v>
      </c>
      <c r="J188" s="23" t="n">
        <f aca="false">J187*OH_Site</f>
        <v>20.0127972905614</v>
      </c>
    </row>
    <row r="189" customFormat="false" ht="15" hidden="false" customHeight="true" outlineLevel="0" collapsed="false">
      <c r="D189" s="22" t="s">
        <v>833</v>
      </c>
      <c r="J189" s="23" t="n">
        <f aca="false">J187*OH_HO</f>
        <v>33.3546621509357</v>
      </c>
    </row>
    <row r="190" customFormat="false" ht="15" hidden="false" customHeight="true" outlineLevel="0" collapsed="false">
      <c r="D190" s="22" t="s">
        <v>834</v>
      </c>
      <c r="J190" s="23" t="n">
        <f aca="false">J187*Profit</f>
        <v>66.7093243018714</v>
      </c>
    </row>
    <row r="191" customFormat="false" ht="15" hidden="false" customHeight="true" outlineLevel="0" collapsed="false">
      <c r="D191" s="24" t="s">
        <v>835</v>
      </c>
      <c r="J191" s="14" t="n">
        <f aca="false">J187+J188+J189+J190</f>
        <v>787.170026762082</v>
      </c>
    </row>
    <row r="192" customFormat="false" ht="15" hidden="false" customHeight="true" outlineLevel="0" collapsed="false">
      <c r="D192" s="22" t="s">
        <v>836</v>
      </c>
      <c r="J192" s="23" t="n">
        <f aca="false">IF(Tax_On="Yes",J191*N(Tax_Rate),0)</f>
        <v>0</v>
      </c>
    </row>
    <row r="193" customFormat="false" ht="15" hidden="false" customHeight="true" outlineLevel="0" collapsed="false">
      <c r="D193" s="24" t="s">
        <v>837</v>
      </c>
      <c r="J193" s="14" t="n">
        <f aca="false">ROUND(J191+J192,0)</f>
        <v>787</v>
      </c>
    </row>
    <row r="194" customFormat="false" ht="15" hidden="false" customHeight="true" outlineLevel="0" collapsed="false">
      <c r="D194" s="25" t="s">
        <v>838</v>
      </c>
      <c r="J194" s="26" t="n">
        <f aca="false">COUNTIF(K172:K180,"NO RATE")+COUNTIF(K172:K180,"OLD RATE")</f>
        <v>0</v>
      </c>
    </row>
    <row r="196" customFormat="false" ht="39.75" hidden="false" customHeight="true" outlineLevel="0" collapsed="false">
      <c r="A196" s="4" t="s">
        <v>147</v>
      </c>
      <c r="B196" s="16" t="s">
        <v>148</v>
      </c>
      <c r="C196" s="16"/>
      <c r="D196" s="16"/>
      <c r="E196" s="16"/>
      <c r="F196" s="16"/>
      <c r="G196" s="16"/>
      <c r="H196" s="16"/>
      <c r="I196" s="16"/>
      <c r="J196" s="4" t="s">
        <v>788</v>
      </c>
      <c r="K196" s="17"/>
    </row>
    <row r="197" customFormat="false" ht="21.75" hidden="false" customHeight="true" outlineLevel="0" collapsed="false">
      <c r="A197" s="12" t="s">
        <v>75</v>
      </c>
      <c r="B197" s="12" t="s">
        <v>789</v>
      </c>
      <c r="C197" s="12" t="s">
        <v>790</v>
      </c>
      <c r="D197" s="12" t="s">
        <v>791</v>
      </c>
      <c r="E197" s="12" t="s">
        <v>81</v>
      </c>
      <c r="F197" s="12" t="s">
        <v>792</v>
      </c>
      <c r="G197" s="12" t="s">
        <v>793</v>
      </c>
      <c r="H197" s="12" t="s">
        <v>794</v>
      </c>
      <c r="I197" s="12" t="s">
        <v>795</v>
      </c>
      <c r="J197" s="12" t="s">
        <v>796</v>
      </c>
      <c r="K197" s="12" t="s">
        <v>797</v>
      </c>
    </row>
    <row r="198" customFormat="false" ht="15" hidden="false" customHeight="true" outlineLevel="0" collapsed="false">
      <c r="A198" s="9" t="s">
        <v>147</v>
      </c>
      <c r="B198" s="9" t="s">
        <v>798</v>
      </c>
      <c r="C198" s="9" t="s">
        <v>799</v>
      </c>
      <c r="D198" s="5" t="s">
        <v>850</v>
      </c>
      <c r="E198" s="9" t="s">
        <v>801</v>
      </c>
      <c r="F198" s="18" t="n">
        <f aca="false">'15 MIX DESIGN LIBRARY'!J57</f>
        <v>0.198216055500496</v>
      </c>
      <c r="G198" s="13" t="n">
        <f aca="false">N(INDEX('05 MATERIAL RATE LIBRARY'!$E$5:$E$400,MATCH("MAT-CEM-OPC",'05 MATERIAL RATE LIBRARY'!$A$5:$A$400,0)))</f>
        <v>1575</v>
      </c>
      <c r="H198" s="19" t="n">
        <f aca="false">W_Cem</f>
        <v>0.02</v>
      </c>
      <c r="I198" s="18" t="n">
        <f aca="false">F198*(1+H198)</f>
        <v>0.202180376610505</v>
      </c>
      <c r="J198" s="13" t="n">
        <f aca="false">I198*G198</f>
        <v>318.434093161546</v>
      </c>
      <c r="K198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99" customFormat="false" ht="15" hidden="false" customHeight="true" outlineLevel="0" collapsed="false">
      <c r="A199" s="9" t="s">
        <v>147</v>
      </c>
      <c r="B199" s="9" t="s">
        <v>798</v>
      </c>
      <c r="C199" s="9" t="s">
        <v>805</v>
      </c>
      <c r="D199" s="5" t="s">
        <v>853</v>
      </c>
      <c r="E199" s="9" t="s">
        <v>109</v>
      </c>
      <c r="F199" s="18" t="n">
        <f aca="false">'15 MIX DESIGN LIBRARY'!J58</f>
        <v>0.49082070885837</v>
      </c>
      <c r="G199" s="13" t="n">
        <f aca="false">N(INDEX('05 MATERIAL RATE LIBRARY'!$E$5:$E$400,MATCH("MAT-SND-LWP",'05 MATERIAL RATE LIBRARY'!$A$5:$A$400,0)))</f>
        <v>240</v>
      </c>
      <c r="H199" s="19" t="n">
        <f aca="false">W_Agg</f>
        <v>0.05</v>
      </c>
      <c r="I199" s="18" t="n">
        <f aca="false">F199*(1+H199)</f>
        <v>0.515361744301288</v>
      </c>
      <c r="J199" s="13" t="n">
        <f aca="false">I199*G199</f>
        <v>123.686818632309</v>
      </c>
      <c r="K199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200" customFormat="false" ht="15" hidden="false" customHeight="true" outlineLevel="0" collapsed="false">
      <c r="A200" s="9" t="s">
        <v>147</v>
      </c>
      <c r="B200" s="9" t="s">
        <v>798</v>
      </c>
      <c r="C200" s="9" t="s">
        <v>839</v>
      </c>
      <c r="D200" s="5" t="s">
        <v>854</v>
      </c>
      <c r="E200" s="9" t="s">
        <v>109</v>
      </c>
      <c r="F200" s="18" t="n">
        <f aca="false">'15 MIX DESIGN LIBRARY'!J59</f>
        <v>0.261178802541829</v>
      </c>
      <c r="G200" s="13" t="n">
        <f aca="false">N(INDEX('05 MATERIAL RATE LIBRARY'!$E$5:$E$400,MATCH("MAT-CRS-MGL",'05 MATERIAL RATE LIBRARY'!$A$5:$A$400,0)))</f>
        <v>180</v>
      </c>
      <c r="H200" s="19" t="n">
        <f aca="false">W_Agg</f>
        <v>0.05</v>
      </c>
      <c r="I200" s="18" t="n">
        <f aca="false">F200*(1+H200)</f>
        <v>0.274237742668921</v>
      </c>
      <c r="J200" s="13" t="n">
        <f aca="false">I200*G200</f>
        <v>49.3627936804058</v>
      </c>
      <c r="K20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01" customFormat="false" ht="15" hidden="false" customHeight="true" outlineLevel="0" collapsed="false">
      <c r="A201" s="9" t="s">
        <v>147</v>
      </c>
      <c r="B201" s="9" t="s">
        <v>798</v>
      </c>
      <c r="C201" s="9" t="s">
        <v>839</v>
      </c>
      <c r="D201" s="5" t="s">
        <v>855</v>
      </c>
      <c r="E201" s="9" t="s">
        <v>109</v>
      </c>
      <c r="F201" s="18" t="n">
        <f aca="false">'15 MIX DESIGN LIBRARY'!J60</f>
        <v>0.366449850505118</v>
      </c>
      <c r="G201" s="13" t="n">
        <f aca="false">N(INDEX('05 MATERIAL RATE LIBRARY'!$E$5:$E$400,MATCH("MAT-CRS-MGL",'05 MATERIAL RATE LIBRARY'!$A$5:$A$400,0)))</f>
        <v>180</v>
      </c>
      <c r="H201" s="19" t="n">
        <f aca="false">W_Agg</f>
        <v>0.05</v>
      </c>
      <c r="I201" s="18" t="n">
        <f aca="false">F201*(1+H201)</f>
        <v>0.384772343030374</v>
      </c>
      <c r="J201" s="13" t="n">
        <f aca="false">I201*G201</f>
        <v>69.2590217454673</v>
      </c>
      <c r="K201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02" customFormat="false" ht="15" hidden="false" customHeight="true" outlineLevel="0" collapsed="false">
      <c r="A202" s="9" t="s">
        <v>147</v>
      </c>
      <c r="B202" s="9" t="s">
        <v>798</v>
      </c>
      <c r="C202" s="9" t="s">
        <v>839</v>
      </c>
      <c r="D202" s="5" t="s">
        <v>856</v>
      </c>
      <c r="E202" s="9" t="s">
        <v>109</v>
      </c>
      <c r="F202" s="18" t="n">
        <f aca="false">'15 MIX DESIGN LIBRARY'!J61</f>
        <v>0.109934955151535</v>
      </c>
      <c r="G202" s="13" t="n">
        <f aca="false">N(INDEX('05 MATERIAL RATE LIBRARY'!$E$5:$E$400,MATCH("MAT-CRS-MGL",'05 MATERIAL RATE LIBRARY'!$A$5:$A$400,0)))</f>
        <v>180</v>
      </c>
      <c r="H202" s="19" t="n">
        <f aca="false">W_Agg</f>
        <v>0.05</v>
      </c>
      <c r="I202" s="18" t="n">
        <f aca="false">F202*(1+H202)</f>
        <v>0.115431702909112</v>
      </c>
      <c r="J202" s="13" t="n">
        <f aca="false">I202*G202</f>
        <v>20.7777065236402</v>
      </c>
      <c r="K202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03" customFormat="false" ht="15" hidden="false" customHeight="true" outlineLevel="0" collapsed="false">
      <c r="A203" s="9" t="s">
        <v>147</v>
      </c>
      <c r="B203" s="9" t="s">
        <v>798</v>
      </c>
      <c r="C203" s="9" t="s">
        <v>807</v>
      </c>
      <c r="D203" s="5" t="s">
        <v>857</v>
      </c>
      <c r="E203" s="9" t="s">
        <v>198</v>
      </c>
      <c r="F203" s="18" t="n">
        <f aca="false">'15 MIX DESIGN LIBRARY'!J62</f>
        <v>0.130256265043183</v>
      </c>
      <c r="G203" s="13" t="n">
        <f aca="false">N(INDEX('05 MATERIAL RATE LIBRARY'!$E$5:$E$400,MATCH("MAT-ADM-SP",'05 MATERIAL RATE LIBRARY'!$A$5:$A$400,0)))</f>
        <v>185</v>
      </c>
      <c r="H203" s="19" t="n">
        <f aca="false">W_Adm</f>
        <v>0.02</v>
      </c>
      <c r="I203" s="18" t="n">
        <f aca="false">F203*(1+H203)</f>
        <v>0.132861390344046</v>
      </c>
      <c r="J203" s="13" t="n">
        <f aca="false">I203*G203</f>
        <v>24.5793572136486</v>
      </c>
      <c r="K203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204" customFormat="false" ht="15" hidden="false" customHeight="true" outlineLevel="0" collapsed="false">
      <c r="A204" s="9" t="s">
        <v>147</v>
      </c>
      <c r="B204" s="9" t="s">
        <v>798</v>
      </c>
      <c r="C204" s="9" t="s">
        <v>809</v>
      </c>
      <c r="D204" s="5" t="s">
        <v>810</v>
      </c>
      <c r="E204" s="9" t="s">
        <v>811</v>
      </c>
      <c r="F204" s="18" t="n">
        <f aca="false">'15 MIX DESIGN LIBRARY'!J63</f>
        <v>4.53065269715418</v>
      </c>
      <c r="G204" s="13" t="n">
        <f aca="false">N(INDEX('05 MATERIAL RATE LIBRARY'!$E$5:$E$400,MATCH("MAT-WTR",'05 MATERIAL RATE LIBRARY'!$A$5:$A$400,0)))</f>
        <v>0.686</v>
      </c>
      <c r="H204" s="19" t="n">
        <f aca="false">W_Wtr</f>
        <v>0</v>
      </c>
      <c r="I204" s="18" t="n">
        <f aca="false">F204*(1+H204)</f>
        <v>4.53065269715418</v>
      </c>
      <c r="J204" s="13" t="n">
        <f aca="false">I204*G204</f>
        <v>3.10802775024777</v>
      </c>
      <c r="K204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205" customFormat="false" ht="15" hidden="false" customHeight="true" outlineLevel="0" collapsed="false">
      <c r="A205" s="9" t="s">
        <v>147</v>
      </c>
      <c r="B205" s="9" t="s">
        <v>812</v>
      </c>
      <c r="C205" s="9" t="s">
        <v>813</v>
      </c>
      <c r="D205" s="5" t="s">
        <v>814</v>
      </c>
      <c r="E205" s="9" t="s">
        <v>815</v>
      </c>
      <c r="F205" s="18" t="n">
        <f aca="false">'13 PRODUCTIVITY LIBRARY'!E5/'13 PRODUCTIVITY LIBRARY'!D5</f>
        <v>0.01</v>
      </c>
      <c r="G205" s="13" t="n">
        <f aca="false">N(INDEX('06 LABOUR RATE LIBRARY'!$D$5:$D$100,MATCH("LAB-MSN",'06 LABOUR RATE LIBRARY'!$A$5:$A$100,0)))</f>
        <v>2200</v>
      </c>
      <c r="H205" s="21" t="n">
        <v>0</v>
      </c>
      <c r="I205" s="18" t="n">
        <f aca="false">F205*(1+H205)</f>
        <v>0.01</v>
      </c>
      <c r="J205" s="13" t="n">
        <f aca="false">I205*G205</f>
        <v>22</v>
      </c>
      <c r="K205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06" customFormat="false" ht="15" hidden="false" customHeight="true" outlineLevel="0" collapsed="false">
      <c r="A206" s="9" t="s">
        <v>147</v>
      </c>
      <c r="B206" s="9" t="s">
        <v>812</v>
      </c>
      <c r="C206" s="9" t="s">
        <v>816</v>
      </c>
      <c r="D206" s="5" t="s">
        <v>817</v>
      </c>
      <c r="E206" s="9" t="s">
        <v>815</v>
      </c>
      <c r="F206" s="18" t="n">
        <f aca="false">'13 PRODUCTIVITY LIBRARY'!F5/'13 PRODUCTIVITY LIBRARY'!D5</f>
        <v>0.08</v>
      </c>
      <c r="G206" s="13" t="n">
        <f aca="false">N(INDEX('06 LABOUR RATE LIBRARY'!$D$5:$D$100,MATCH("LAB-HLP",'06 LABOUR RATE LIBRARY'!$A$5:$A$100,0)))</f>
        <v>1538</v>
      </c>
      <c r="H206" s="21" t="n">
        <v>0</v>
      </c>
      <c r="I206" s="18" t="n">
        <f aca="false">F206*(1+H206)</f>
        <v>0.08</v>
      </c>
      <c r="J206" s="13" t="n">
        <f aca="false">I206*G206</f>
        <v>123.04</v>
      </c>
      <c r="K20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07" customFormat="false" ht="15" hidden="false" customHeight="true" outlineLevel="0" collapsed="false">
      <c r="A207" s="9" t="s">
        <v>147</v>
      </c>
      <c r="B207" s="9" t="s">
        <v>818</v>
      </c>
      <c r="C207" s="9" t="s">
        <v>819</v>
      </c>
      <c r="D207" s="5" t="s">
        <v>820</v>
      </c>
      <c r="E207" s="9" t="s">
        <v>815</v>
      </c>
      <c r="F207" s="18" t="n">
        <f aca="false">1/'13 PRODUCTIVITY LIBRARY'!D5</f>
        <v>0.01</v>
      </c>
      <c r="G207" s="13" t="n">
        <f aca="false">N(INDEX('07 EQUIPMENT RATE LIBRARY'!$D$5:$D$100,MATCH("EQ-VIB",'07 EQUIPMENT RATE LIBRARY'!$A$5:$A$100,0)))</f>
        <v>227</v>
      </c>
      <c r="H207" s="21" t="n">
        <v>0</v>
      </c>
      <c r="I207" s="18" t="n">
        <f aca="false">F207*(1+H207)</f>
        <v>0.01</v>
      </c>
      <c r="J207" s="13" t="n">
        <f aca="false">I207*G207</f>
        <v>2.27</v>
      </c>
      <c r="K207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08" customFormat="false" ht="21.75" hidden="false" customHeight="true" outlineLevel="0" collapsed="false">
      <c r="A208" s="9" t="s">
        <v>147</v>
      </c>
      <c r="B208" s="9" t="s">
        <v>818</v>
      </c>
      <c r="C208" s="9" t="s">
        <v>821</v>
      </c>
      <c r="D208" s="5" t="s">
        <v>822</v>
      </c>
      <c r="E208" s="9" t="s">
        <v>815</v>
      </c>
      <c r="F208" s="18" t="n">
        <f aca="false">1/'13 PRODUCTIVITY LIBRARY'!D5</f>
        <v>0.01</v>
      </c>
      <c r="G208" s="13" t="n">
        <f aca="false">N(INDEX('07 EQUIPMENT RATE LIBRARY'!$D$5:$D$100,MATCH("EQ-MIX",'07 EQUIPMENT RATE LIBRARY'!$A$5:$A$100,0)))</f>
        <v>3500</v>
      </c>
      <c r="H208" s="21" t="n">
        <v>0</v>
      </c>
      <c r="I208" s="18" t="n">
        <f aca="false">F208*(1+H208)</f>
        <v>0.01</v>
      </c>
      <c r="J208" s="13" t="n">
        <f aca="false">I208*G208</f>
        <v>35</v>
      </c>
      <c r="K208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209" customFormat="false" ht="15" hidden="false" customHeight="true" outlineLevel="0" collapsed="false">
      <c r="A209" s="9" t="s">
        <v>147</v>
      </c>
      <c r="B209" s="9" t="s">
        <v>818</v>
      </c>
      <c r="C209" s="9" t="s">
        <v>823</v>
      </c>
      <c r="D209" s="5" t="s">
        <v>824</v>
      </c>
      <c r="E209" s="9" t="s">
        <v>109</v>
      </c>
      <c r="F209" s="18" t="n">
        <v>1</v>
      </c>
      <c r="G209" s="13" t="n">
        <f aca="false">N(INDEX('07 EQUIPMENT RATE LIBRARY'!$D$5:$D$100,MATCH("EQ-PUMP",'07 EQUIPMENT RATE LIBRARY'!$A$5:$A$100,0)))</f>
        <v>28.32</v>
      </c>
      <c r="H209" s="21" t="n">
        <v>0</v>
      </c>
      <c r="I209" s="18" t="n">
        <f aca="false">F209*(1+H209)</f>
        <v>1</v>
      </c>
      <c r="J209" s="13" t="n">
        <f aca="false">I209*G209</f>
        <v>28.32</v>
      </c>
      <c r="K209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10" customFormat="false" ht="15" hidden="false" customHeight="true" outlineLevel="0" collapsed="false">
      <c r="D210" s="22" t="s">
        <v>825</v>
      </c>
      <c r="J210" s="23" t="n">
        <f aca="false">SUMPRODUCT((B198:B209="Material")*F198:F209*G198:G209)</f>
        <v>589.954143798253</v>
      </c>
    </row>
    <row r="211" customFormat="false" ht="15" hidden="false" customHeight="true" outlineLevel="0" collapsed="false">
      <c r="D211" s="22" t="s">
        <v>826</v>
      </c>
      <c r="J211" s="23" t="n">
        <f aca="false">SUMIF(B198:B209,"Material",J198:J209)-J210</f>
        <v>19.2536749090121</v>
      </c>
    </row>
    <row r="212" customFormat="false" ht="15" hidden="false" customHeight="true" outlineLevel="0" collapsed="false">
      <c r="D212" s="24" t="s">
        <v>827</v>
      </c>
      <c r="J212" s="14" t="n">
        <f aca="false">SUMIF(B198:B209,"Material",J198:J209)</f>
        <v>609.207818707265</v>
      </c>
    </row>
    <row r="213" customFormat="false" ht="15" hidden="false" customHeight="true" outlineLevel="0" collapsed="false">
      <c r="D213" s="24" t="s">
        <v>828</v>
      </c>
      <c r="J213" s="14" t="n">
        <f aca="false">SUMIF(B198:B209,"Labour",J198:J209)</f>
        <v>145.04</v>
      </c>
    </row>
    <row r="214" customFormat="false" ht="15" hidden="false" customHeight="true" outlineLevel="0" collapsed="false">
      <c r="D214" s="24" t="s">
        <v>829</v>
      </c>
      <c r="J214" s="14" t="n">
        <f aca="false">SUMIF(B198:B209,"Equipment",J198:J209)</f>
        <v>65.59</v>
      </c>
    </row>
    <row r="215" customFormat="false" ht="15" hidden="false" customHeight="true" outlineLevel="0" collapsed="false">
      <c r="D215" s="24" t="s">
        <v>830</v>
      </c>
      <c r="J215" s="14" t="n">
        <f aca="false">SUMIF(B198:B209,"Transport",J198:J209)</f>
        <v>0</v>
      </c>
    </row>
    <row r="216" customFormat="false" ht="15" hidden="false" customHeight="true" outlineLevel="0" collapsed="false">
      <c r="D216" s="24" t="s">
        <v>831</v>
      </c>
      <c r="J216" s="14" t="n">
        <f aca="false">J212+J213+J214+J215</f>
        <v>819.837818707265</v>
      </c>
    </row>
    <row r="217" customFormat="false" ht="15" hidden="false" customHeight="true" outlineLevel="0" collapsed="false">
      <c r="D217" s="22" t="s">
        <v>832</v>
      </c>
      <c r="J217" s="23" t="n">
        <f aca="false">J216*OH_Site</f>
        <v>24.595134561218</v>
      </c>
    </row>
    <row r="218" customFormat="false" ht="15" hidden="false" customHeight="true" outlineLevel="0" collapsed="false">
      <c r="D218" s="22" t="s">
        <v>833</v>
      </c>
      <c r="J218" s="23" t="n">
        <f aca="false">J216*OH_HO</f>
        <v>40.9918909353633</v>
      </c>
    </row>
    <row r="219" customFormat="false" ht="15" hidden="false" customHeight="true" outlineLevel="0" collapsed="false">
      <c r="D219" s="22" t="s">
        <v>834</v>
      </c>
      <c r="J219" s="23" t="n">
        <f aca="false">J216*Profit</f>
        <v>81.9837818707265</v>
      </c>
    </row>
    <row r="220" customFormat="false" ht="15" hidden="false" customHeight="true" outlineLevel="0" collapsed="false">
      <c r="D220" s="24" t="s">
        <v>835</v>
      </c>
      <c r="J220" s="14" t="n">
        <f aca="false">J216+J217+J218+J219</f>
        <v>967.408626074573</v>
      </c>
    </row>
    <row r="221" customFormat="false" ht="15" hidden="false" customHeight="true" outlineLevel="0" collapsed="false">
      <c r="D221" s="22" t="s">
        <v>836</v>
      </c>
      <c r="J221" s="23" t="n">
        <f aca="false">IF(Tax_On="Yes",J220*N(Tax_Rate),0)</f>
        <v>0</v>
      </c>
    </row>
    <row r="222" customFormat="false" ht="15" hidden="false" customHeight="true" outlineLevel="0" collapsed="false">
      <c r="D222" s="24" t="s">
        <v>837</v>
      </c>
      <c r="J222" s="14" t="n">
        <f aca="false">ROUND(J220+J221,0)</f>
        <v>967</v>
      </c>
    </row>
    <row r="223" customFormat="false" ht="15" hidden="false" customHeight="true" outlineLevel="0" collapsed="false">
      <c r="D223" s="25" t="s">
        <v>838</v>
      </c>
      <c r="J223" s="26" t="n">
        <f aca="false">COUNTIF(K198:K209,"NO RATE")+COUNTIF(K198:K209,"OLD RATE")</f>
        <v>1</v>
      </c>
    </row>
    <row r="225" customFormat="false" ht="39.75" hidden="false" customHeight="true" outlineLevel="0" collapsed="false">
      <c r="A225" s="4" t="s">
        <v>151</v>
      </c>
      <c r="B225" s="16" t="s">
        <v>152</v>
      </c>
      <c r="C225" s="16"/>
      <c r="D225" s="16"/>
      <c r="E225" s="16"/>
      <c r="F225" s="16"/>
      <c r="G225" s="16"/>
      <c r="H225" s="16"/>
      <c r="I225" s="16"/>
      <c r="J225" s="4" t="s">
        <v>788</v>
      </c>
      <c r="K225" s="17"/>
    </row>
    <row r="226" customFormat="false" ht="21.75" hidden="false" customHeight="true" outlineLevel="0" collapsed="false">
      <c r="A226" s="12" t="s">
        <v>75</v>
      </c>
      <c r="B226" s="12" t="s">
        <v>789</v>
      </c>
      <c r="C226" s="12" t="s">
        <v>790</v>
      </c>
      <c r="D226" s="12" t="s">
        <v>791</v>
      </c>
      <c r="E226" s="12" t="s">
        <v>81</v>
      </c>
      <c r="F226" s="12" t="s">
        <v>792</v>
      </c>
      <c r="G226" s="12" t="s">
        <v>793</v>
      </c>
      <c r="H226" s="12" t="s">
        <v>794</v>
      </c>
      <c r="I226" s="12" t="s">
        <v>795</v>
      </c>
      <c r="J226" s="12" t="s">
        <v>796</v>
      </c>
      <c r="K226" s="12" t="s">
        <v>797</v>
      </c>
    </row>
    <row r="227" customFormat="false" ht="15" hidden="false" customHeight="true" outlineLevel="0" collapsed="false">
      <c r="A227" s="9" t="s">
        <v>151</v>
      </c>
      <c r="B227" s="9" t="s">
        <v>798</v>
      </c>
      <c r="C227" s="9" t="s">
        <v>799</v>
      </c>
      <c r="D227" s="5" t="s">
        <v>850</v>
      </c>
      <c r="E227" s="9" t="s">
        <v>801</v>
      </c>
      <c r="F227" s="18" t="n">
        <f aca="false">'15 MIX DESIGN LIBRARY'!J66</f>
        <v>0.226532634857709</v>
      </c>
      <c r="G227" s="13" t="n">
        <f aca="false">N(INDEX('05 MATERIAL RATE LIBRARY'!$E$5:$E$400,MATCH("MAT-CEM-OPC",'05 MATERIAL RATE LIBRARY'!$A$5:$A$400,0)))</f>
        <v>1575</v>
      </c>
      <c r="H227" s="19" t="n">
        <f aca="false">W_Cem</f>
        <v>0.02</v>
      </c>
      <c r="I227" s="18" t="n">
        <f aca="false">F227*(1+H227)</f>
        <v>0.231063287554863</v>
      </c>
      <c r="J227" s="13" t="n">
        <f aca="false">I227*G227</f>
        <v>363.92467789891</v>
      </c>
      <c r="K227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28" customFormat="false" ht="15" hidden="false" customHeight="true" outlineLevel="0" collapsed="false">
      <c r="A228" s="9" t="s">
        <v>151</v>
      </c>
      <c r="B228" s="9" t="s">
        <v>798</v>
      </c>
      <c r="C228" s="9" t="s">
        <v>805</v>
      </c>
      <c r="D228" s="5" t="s">
        <v>853</v>
      </c>
      <c r="E228" s="9" t="s">
        <v>109</v>
      </c>
      <c r="F228" s="18" t="n">
        <f aca="false">'15 MIX DESIGN LIBRARY'!J67</f>
        <v>0.465650416096402</v>
      </c>
      <c r="G228" s="13" t="n">
        <f aca="false">N(INDEX('05 MATERIAL RATE LIBRARY'!$E$5:$E$400,MATCH("MAT-SND-LWP",'05 MATERIAL RATE LIBRARY'!$A$5:$A$400,0)))</f>
        <v>240</v>
      </c>
      <c r="H228" s="19" t="n">
        <f aca="false">W_Agg</f>
        <v>0.05</v>
      </c>
      <c r="I228" s="18" t="n">
        <f aca="false">F228*(1+H228)</f>
        <v>0.488932936901222</v>
      </c>
      <c r="J228" s="13" t="n">
        <f aca="false">I228*G228</f>
        <v>117.343904856293</v>
      </c>
      <c r="K228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229" customFormat="false" ht="15" hidden="false" customHeight="true" outlineLevel="0" collapsed="false">
      <c r="A229" s="9" t="s">
        <v>151</v>
      </c>
      <c r="B229" s="9" t="s">
        <v>798</v>
      </c>
      <c r="C229" s="9" t="s">
        <v>839</v>
      </c>
      <c r="D229" s="5" t="s">
        <v>854</v>
      </c>
      <c r="E229" s="9" t="s">
        <v>109</v>
      </c>
      <c r="F229" s="18" t="n">
        <f aca="false">'15 MIX DESIGN LIBRARY'!J68</f>
        <v>0.226532634857709</v>
      </c>
      <c r="G229" s="13" t="n">
        <f aca="false">N(INDEX('05 MATERIAL RATE LIBRARY'!$E$5:$E$400,MATCH("MAT-CRS-MGL",'05 MATERIAL RATE LIBRARY'!$A$5:$A$400,0)))</f>
        <v>180</v>
      </c>
      <c r="H229" s="19" t="n">
        <f aca="false">W_Agg</f>
        <v>0.05</v>
      </c>
      <c r="I229" s="18" t="n">
        <f aca="false">F229*(1+H229)</f>
        <v>0.237859266600595</v>
      </c>
      <c r="J229" s="13" t="n">
        <f aca="false">I229*G229</f>
        <v>42.814667988107</v>
      </c>
      <c r="K229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30" customFormat="false" ht="15" hidden="false" customHeight="true" outlineLevel="0" collapsed="false">
      <c r="A230" s="9" t="s">
        <v>151</v>
      </c>
      <c r="B230" s="9" t="s">
        <v>798</v>
      </c>
      <c r="C230" s="9" t="s">
        <v>839</v>
      </c>
      <c r="D230" s="5" t="s">
        <v>855</v>
      </c>
      <c r="E230" s="9" t="s">
        <v>109</v>
      </c>
      <c r="F230" s="18" t="n">
        <f aca="false">'15 MIX DESIGN LIBRARY'!J69</f>
        <v>0.359787125950479</v>
      </c>
      <c r="G230" s="13" t="n">
        <f aca="false">N(INDEX('05 MATERIAL RATE LIBRARY'!$E$5:$E$400,MATCH("MAT-CRS-MGL",'05 MATERIAL RATE LIBRARY'!$A$5:$A$400,0)))</f>
        <v>180</v>
      </c>
      <c r="H230" s="19" t="n">
        <f aca="false">W_Agg</f>
        <v>0.05</v>
      </c>
      <c r="I230" s="18" t="n">
        <f aca="false">F230*(1+H230)</f>
        <v>0.377776482248003</v>
      </c>
      <c r="J230" s="13" t="n">
        <f aca="false">I230*G230</f>
        <v>67.9997668046406</v>
      </c>
      <c r="K23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31" customFormat="false" ht="15" hidden="false" customHeight="true" outlineLevel="0" collapsed="false">
      <c r="A231" s="9" t="s">
        <v>151</v>
      </c>
      <c r="B231" s="9" t="s">
        <v>798</v>
      </c>
      <c r="C231" s="9" t="s">
        <v>839</v>
      </c>
      <c r="D231" s="5" t="s">
        <v>856</v>
      </c>
      <c r="E231" s="9" t="s">
        <v>109</v>
      </c>
      <c r="F231" s="18" t="n">
        <f aca="false">'15 MIX DESIGN LIBRARY'!J70</f>
        <v>0.146579940202047</v>
      </c>
      <c r="G231" s="13" t="n">
        <f aca="false">N(INDEX('05 MATERIAL RATE LIBRARY'!$E$5:$E$400,MATCH("MAT-CRS-MGL",'05 MATERIAL RATE LIBRARY'!$A$5:$A$400,0)))</f>
        <v>180</v>
      </c>
      <c r="H231" s="19" t="n">
        <f aca="false">W_Agg</f>
        <v>0.05</v>
      </c>
      <c r="I231" s="18" t="n">
        <f aca="false">F231*(1+H231)</f>
        <v>0.15390893721215</v>
      </c>
      <c r="J231" s="13" t="n">
        <f aca="false">I231*G231</f>
        <v>27.7036086981869</v>
      </c>
      <c r="K231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32" customFormat="false" ht="15" hidden="false" customHeight="true" outlineLevel="0" collapsed="false">
      <c r="A232" s="9" t="s">
        <v>151</v>
      </c>
      <c r="B232" s="9" t="s">
        <v>798</v>
      </c>
      <c r="C232" s="9" t="s">
        <v>807</v>
      </c>
      <c r="D232" s="5" t="s">
        <v>857</v>
      </c>
      <c r="E232" s="9" t="s">
        <v>198</v>
      </c>
      <c r="F232" s="18" t="n">
        <f aca="false">'15 MIX DESIGN LIBRARY'!J71</f>
        <v>0.135919580914626</v>
      </c>
      <c r="G232" s="13" t="n">
        <f aca="false">N(INDEX('05 MATERIAL RATE LIBRARY'!$E$5:$E$400,MATCH("MAT-ADM-SP",'05 MATERIAL RATE LIBRARY'!$A$5:$A$400,0)))</f>
        <v>185</v>
      </c>
      <c r="H232" s="19" t="n">
        <f aca="false">W_Adm</f>
        <v>0.02</v>
      </c>
      <c r="I232" s="18" t="n">
        <f aca="false">F232*(1+H232)</f>
        <v>0.138637972532918</v>
      </c>
      <c r="J232" s="13" t="n">
        <f aca="false">I232*G232</f>
        <v>25.6480249185898</v>
      </c>
      <c r="K232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233" customFormat="false" ht="15" hidden="false" customHeight="true" outlineLevel="0" collapsed="false">
      <c r="A233" s="9" t="s">
        <v>151</v>
      </c>
      <c r="B233" s="9" t="s">
        <v>798</v>
      </c>
      <c r="C233" s="9" t="s">
        <v>809</v>
      </c>
      <c r="D233" s="5" t="s">
        <v>810</v>
      </c>
      <c r="E233" s="9" t="s">
        <v>811</v>
      </c>
      <c r="F233" s="18" t="n">
        <f aca="false">'15 MIX DESIGN LIBRARY'!J72</f>
        <v>4.75718533201189</v>
      </c>
      <c r="G233" s="13" t="n">
        <f aca="false">N(INDEX('05 MATERIAL RATE LIBRARY'!$E$5:$E$400,MATCH("MAT-WTR",'05 MATERIAL RATE LIBRARY'!$A$5:$A$400,0)))</f>
        <v>0.686</v>
      </c>
      <c r="H233" s="19" t="n">
        <f aca="false">W_Wtr</f>
        <v>0</v>
      </c>
      <c r="I233" s="18" t="n">
        <f aca="false">F233*(1+H233)</f>
        <v>4.75718533201189</v>
      </c>
      <c r="J233" s="13" t="n">
        <f aca="false">I233*G233</f>
        <v>3.26342913776016</v>
      </c>
      <c r="K23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234" customFormat="false" ht="15" hidden="false" customHeight="true" outlineLevel="0" collapsed="false">
      <c r="A234" s="9" t="s">
        <v>151</v>
      </c>
      <c r="B234" s="9" t="s">
        <v>812</v>
      </c>
      <c r="C234" s="9" t="s">
        <v>813</v>
      </c>
      <c r="D234" s="5" t="s">
        <v>814</v>
      </c>
      <c r="E234" s="9" t="s">
        <v>815</v>
      </c>
      <c r="F234" s="18" t="n">
        <f aca="false">'13 PRODUCTIVITY LIBRARY'!E5/'13 PRODUCTIVITY LIBRARY'!D5</f>
        <v>0.01</v>
      </c>
      <c r="G234" s="13" t="n">
        <f aca="false">N(INDEX('06 LABOUR RATE LIBRARY'!$D$5:$D$100,MATCH("LAB-MSN",'06 LABOUR RATE LIBRARY'!$A$5:$A$100,0)))</f>
        <v>2200</v>
      </c>
      <c r="H234" s="21" t="n">
        <v>0</v>
      </c>
      <c r="I234" s="18" t="n">
        <f aca="false">F234*(1+H234)</f>
        <v>0.01</v>
      </c>
      <c r="J234" s="13" t="n">
        <f aca="false">I234*G234</f>
        <v>22</v>
      </c>
      <c r="K23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35" customFormat="false" ht="15" hidden="false" customHeight="true" outlineLevel="0" collapsed="false">
      <c r="A235" s="9" t="s">
        <v>151</v>
      </c>
      <c r="B235" s="9" t="s">
        <v>812</v>
      </c>
      <c r="C235" s="9" t="s">
        <v>816</v>
      </c>
      <c r="D235" s="5" t="s">
        <v>817</v>
      </c>
      <c r="E235" s="9" t="s">
        <v>815</v>
      </c>
      <c r="F235" s="18" t="n">
        <f aca="false">'13 PRODUCTIVITY LIBRARY'!F5/'13 PRODUCTIVITY LIBRARY'!D5</f>
        <v>0.08</v>
      </c>
      <c r="G235" s="13" t="n">
        <f aca="false">N(INDEX('06 LABOUR RATE LIBRARY'!$D$5:$D$100,MATCH("LAB-HLP",'06 LABOUR RATE LIBRARY'!$A$5:$A$100,0)))</f>
        <v>1538</v>
      </c>
      <c r="H235" s="21" t="n">
        <v>0</v>
      </c>
      <c r="I235" s="18" t="n">
        <f aca="false">F235*(1+H235)</f>
        <v>0.08</v>
      </c>
      <c r="J235" s="13" t="n">
        <f aca="false">I235*G235</f>
        <v>123.04</v>
      </c>
      <c r="K23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36" customFormat="false" ht="15" hidden="false" customHeight="true" outlineLevel="0" collapsed="false">
      <c r="A236" s="9" t="s">
        <v>151</v>
      </c>
      <c r="B236" s="9" t="s">
        <v>818</v>
      </c>
      <c r="C236" s="9" t="s">
        <v>819</v>
      </c>
      <c r="D236" s="5" t="s">
        <v>820</v>
      </c>
      <c r="E236" s="9" t="s">
        <v>815</v>
      </c>
      <c r="F236" s="18" t="n">
        <f aca="false">1/'13 PRODUCTIVITY LIBRARY'!D5</f>
        <v>0.01</v>
      </c>
      <c r="G236" s="13" t="n">
        <f aca="false">N(INDEX('07 EQUIPMENT RATE LIBRARY'!$D$5:$D$100,MATCH("EQ-VIB",'07 EQUIPMENT RATE LIBRARY'!$A$5:$A$100,0)))</f>
        <v>227</v>
      </c>
      <c r="H236" s="21" t="n">
        <v>0</v>
      </c>
      <c r="I236" s="18" t="n">
        <f aca="false">F236*(1+H236)</f>
        <v>0.01</v>
      </c>
      <c r="J236" s="13" t="n">
        <f aca="false">I236*G236</f>
        <v>2.27</v>
      </c>
      <c r="K236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37" customFormat="false" ht="21.75" hidden="false" customHeight="true" outlineLevel="0" collapsed="false">
      <c r="A237" s="9" t="s">
        <v>151</v>
      </c>
      <c r="B237" s="9" t="s">
        <v>818</v>
      </c>
      <c r="C237" s="9" t="s">
        <v>821</v>
      </c>
      <c r="D237" s="5" t="s">
        <v>822</v>
      </c>
      <c r="E237" s="9" t="s">
        <v>815</v>
      </c>
      <c r="F237" s="18" t="n">
        <f aca="false">1/'13 PRODUCTIVITY LIBRARY'!D5</f>
        <v>0.01</v>
      </c>
      <c r="G237" s="13" t="n">
        <f aca="false">N(INDEX('07 EQUIPMENT RATE LIBRARY'!$D$5:$D$100,MATCH("EQ-MIX",'07 EQUIPMENT RATE LIBRARY'!$A$5:$A$100,0)))</f>
        <v>3500</v>
      </c>
      <c r="H237" s="21" t="n">
        <v>0</v>
      </c>
      <c r="I237" s="18" t="n">
        <f aca="false">F237*(1+H237)</f>
        <v>0.01</v>
      </c>
      <c r="J237" s="13" t="n">
        <f aca="false">I237*G237</f>
        <v>35</v>
      </c>
      <c r="K237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238" customFormat="false" ht="15" hidden="false" customHeight="true" outlineLevel="0" collapsed="false">
      <c r="A238" s="9" t="s">
        <v>151</v>
      </c>
      <c r="B238" s="9" t="s">
        <v>818</v>
      </c>
      <c r="C238" s="9" t="s">
        <v>823</v>
      </c>
      <c r="D238" s="5" t="s">
        <v>824</v>
      </c>
      <c r="E238" s="9" t="s">
        <v>109</v>
      </c>
      <c r="F238" s="18" t="n">
        <v>1</v>
      </c>
      <c r="G238" s="13" t="n">
        <f aca="false">N(INDEX('07 EQUIPMENT RATE LIBRARY'!$D$5:$D$100,MATCH("EQ-PUMP",'07 EQUIPMENT RATE LIBRARY'!$A$5:$A$100,0)))</f>
        <v>28.32</v>
      </c>
      <c r="H238" s="21" t="n">
        <v>0</v>
      </c>
      <c r="I238" s="18" t="n">
        <f aca="false">F238*(1+H238)</f>
        <v>1</v>
      </c>
      <c r="J238" s="13" t="n">
        <f aca="false">I238*G238</f>
        <v>28.32</v>
      </c>
      <c r="K238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39" customFormat="false" ht="15" hidden="false" customHeight="true" outlineLevel="0" collapsed="false">
      <c r="D239" s="22" t="s">
        <v>825</v>
      </c>
      <c r="J239" s="23" t="n">
        <f aca="false">SUMPRODUCT((B227:B238="Material")*F227:F238*G227:G238)</f>
        <v>628.875497552837</v>
      </c>
    </row>
    <row r="240" customFormat="false" ht="15" hidden="false" customHeight="true" outlineLevel="0" collapsed="false">
      <c r="D240" s="22" t="s">
        <v>826</v>
      </c>
      <c r="J240" s="23" t="n">
        <f aca="false">SUMIF(B227:B238,"Material",J227:J238)-J239</f>
        <v>19.8225827496509</v>
      </c>
    </row>
    <row r="241" customFormat="false" ht="15" hidden="false" customHeight="true" outlineLevel="0" collapsed="false">
      <c r="D241" s="24" t="s">
        <v>827</v>
      </c>
      <c r="J241" s="14" t="n">
        <f aca="false">SUMIF(B227:B238,"Material",J227:J238)</f>
        <v>648.698080302488</v>
      </c>
    </row>
    <row r="242" customFormat="false" ht="15" hidden="false" customHeight="true" outlineLevel="0" collapsed="false">
      <c r="D242" s="24" t="s">
        <v>828</v>
      </c>
      <c r="J242" s="14" t="n">
        <f aca="false">SUMIF(B227:B238,"Labour",J227:J238)</f>
        <v>145.04</v>
      </c>
    </row>
    <row r="243" customFormat="false" ht="15" hidden="false" customHeight="true" outlineLevel="0" collapsed="false">
      <c r="D243" s="24" t="s">
        <v>829</v>
      </c>
      <c r="J243" s="14" t="n">
        <f aca="false">SUMIF(B227:B238,"Equipment",J227:J238)</f>
        <v>65.59</v>
      </c>
    </row>
    <row r="244" customFormat="false" ht="15" hidden="false" customHeight="true" outlineLevel="0" collapsed="false">
      <c r="D244" s="24" t="s">
        <v>830</v>
      </c>
      <c r="J244" s="14" t="n">
        <f aca="false">SUMIF(B227:B238,"Transport",J227:J238)</f>
        <v>0</v>
      </c>
    </row>
    <row r="245" customFormat="false" ht="15" hidden="false" customHeight="true" outlineLevel="0" collapsed="false">
      <c r="D245" s="24" t="s">
        <v>831</v>
      </c>
      <c r="J245" s="14" t="n">
        <f aca="false">J241+J242+J243+J244</f>
        <v>859.328080302488</v>
      </c>
    </row>
    <row r="246" customFormat="false" ht="15" hidden="false" customHeight="true" outlineLevel="0" collapsed="false">
      <c r="D246" s="22" t="s">
        <v>832</v>
      </c>
      <c r="J246" s="23" t="n">
        <f aca="false">J245*OH_Site</f>
        <v>25.7798424090746</v>
      </c>
    </row>
    <row r="247" customFormat="false" ht="15" hidden="false" customHeight="true" outlineLevel="0" collapsed="false">
      <c r="D247" s="22" t="s">
        <v>833</v>
      </c>
      <c r="J247" s="23" t="n">
        <f aca="false">J245*OH_HO</f>
        <v>42.9664040151244</v>
      </c>
    </row>
    <row r="248" customFormat="false" ht="15" hidden="false" customHeight="true" outlineLevel="0" collapsed="false">
      <c r="D248" s="22" t="s">
        <v>834</v>
      </c>
      <c r="J248" s="23" t="n">
        <f aca="false">J245*Profit</f>
        <v>85.9328080302488</v>
      </c>
    </row>
    <row r="249" customFormat="false" ht="15" hidden="false" customHeight="true" outlineLevel="0" collapsed="false">
      <c r="D249" s="24" t="s">
        <v>835</v>
      </c>
      <c r="J249" s="14" t="n">
        <f aca="false">J245+J246+J247+J248</f>
        <v>1014.00713475694</v>
      </c>
    </row>
    <row r="250" customFormat="false" ht="15" hidden="false" customHeight="true" outlineLevel="0" collapsed="false">
      <c r="D250" s="22" t="s">
        <v>836</v>
      </c>
      <c r="J250" s="23" t="n">
        <f aca="false">IF(Tax_On="Yes",J249*N(Tax_Rate),0)</f>
        <v>0</v>
      </c>
    </row>
    <row r="251" customFormat="false" ht="15" hidden="false" customHeight="true" outlineLevel="0" collapsed="false">
      <c r="D251" s="24" t="s">
        <v>837</v>
      </c>
      <c r="J251" s="14" t="n">
        <f aca="false">ROUND(J249+J250,0)</f>
        <v>1014</v>
      </c>
    </row>
    <row r="252" customFormat="false" ht="15" hidden="false" customHeight="true" outlineLevel="0" collapsed="false">
      <c r="D252" s="25" t="s">
        <v>838</v>
      </c>
      <c r="J252" s="26" t="n">
        <f aca="false">COUNTIF(K227:K238,"NO RATE")+COUNTIF(K227:K238,"OLD RATE")</f>
        <v>1</v>
      </c>
    </row>
    <row r="254" customFormat="false" ht="39.75" hidden="false" customHeight="true" outlineLevel="0" collapsed="false">
      <c r="A254" s="4" t="s">
        <v>154</v>
      </c>
      <c r="B254" s="16" t="s">
        <v>155</v>
      </c>
      <c r="C254" s="16"/>
      <c r="D254" s="16"/>
      <c r="E254" s="16"/>
      <c r="F254" s="16"/>
      <c r="G254" s="16"/>
      <c r="H254" s="16"/>
      <c r="I254" s="16"/>
      <c r="J254" s="4" t="s">
        <v>788</v>
      </c>
      <c r="K254" s="17"/>
    </row>
    <row r="255" customFormat="false" ht="21.75" hidden="false" customHeight="true" outlineLevel="0" collapsed="false">
      <c r="A255" s="12" t="s">
        <v>75</v>
      </c>
      <c r="B255" s="12" t="s">
        <v>789</v>
      </c>
      <c r="C255" s="12" t="s">
        <v>790</v>
      </c>
      <c r="D255" s="12" t="s">
        <v>791</v>
      </c>
      <c r="E255" s="12" t="s">
        <v>81</v>
      </c>
      <c r="F255" s="12" t="s">
        <v>792</v>
      </c>
      <c r="G255" s="12" t="s">
        <v>793</v>
      </c>
      <c r="H255" s="12" t="s">
        <v>794</v>
      </c>
      <c r="I255" s="12" t="s">
        <v>795</v>
      </c>
      <c r="J255" s="12" t="s">
        <v>796</v>
      </c>
      <c r="K255" s="12" t="s">
        <v>797</v>
      </c>
    </row>
    <row r="256" customFormat="false" ht="15" hidden="false" customHeight="true" outlineLevel="0" collapsed="false">
      <c r="A256" s="9" t="s">
        <v>154</v>
      </c>
      <c r="B256" s="9" t="s">
        <v>798</v>
      </c>
      <c r="C256" s="9" t="s">
        <v>799</v>
      </c>
      <c r="D256" s="5" t="s">
        <v>850</v>
      </c>
      <c r="E256" s="9" t="s">
        <v>801</v>
      </c>
      <c r="F256" s="18" t="n">
        <f aca="false">'15 MIX DESIGN LIBRARY'!J75</f>
        <v>0.294492425315022</v>
      </c>
      <c r="G256" s="13" t="n">
        <f aca="false">N(INDEX('05 MATERIAL RATE LIBRARY'!$E$5:$E$400,MATCH("MAT-CEM-OPC",'05 MATERIAL RATE LIBRARY'!$A$5:$A$400,0)))</f>
        <v>1575</v>
      </c>
      <c r="H256" s="19" t="n">
        <f aca="false">W_Cem</f>
        <v>0.02</v>
      </c>
      <c r="I256" s="18" t="n">
        <f aca="false">F256*(1+H256)</f>
        <v>0.300382273821322</v>
      </c>
      <c r="J256" s="13" t="n">
        <f aca="false">I256*G256</f>
        <v>473.102081268583</v>
      </c>
      <c r="K256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57" customFormat="false" ht="15" hidden="false" customHeight="true" outlineLevel="0" collapsed="false">
      <c r="A257" s="9" t="s">
        <v>154</v>
      </c>
      <c r="B257" s="9" t="s">
        <v>798</v>
      </c>
      <c r="C257" s="9" t="s">
        <v>805</v>
      </c>
      <c r="D257" s="5" t="s">
        <v>853</v>
      </c>
      <c r="E257" s="9" t="s">
        <v>109</v>
      </c>
      <c r="F257" s="18" t="n">
        <f aca="false">'15 MIX DESIGN LIBRARY'!J76</f>
        <v>0.415309830572467</v>
      </c>
      <c r="G257" s="13" t="n">
        <f aca="false">N(INDEX('05 MATERIAL RATE LIBRARY'!$E$5:$E$400,MATCH("MAT-SND-LWP",'05 MATERIAL RATE LIBRARY'!$A$5:$A$400,0)))</f>
        <v>240</v>
      </c>
      <c r="H257" s="19" t="n">
        <f aca="false">W_Agg</f>
        <v>0.05</v>
      </c>
      <c r="I257" s="18" t="n">
        <f aca="false">F257*(1+H257)</f>
        <v>0.43607532210109</v>
      </c>
      <c r="J257" s="13" t="n">
        <f aca="false">I257*G257</f>
        <v>104.658077304262</v>
      </c>
      <c r="K257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258" customFormat="false" ht="15" hidden="false" customHeight="true" outlineLevel="0" collapsed="false">
      <c r="A258" s="9" t="s">
        <v>154</v>
      </c>
      <c r="B258" s="9" t="s">
        <v>798</v>
      </c>
      <c r="C258" s="9" t="s">
        <v>839</v>
      </c>
      <c r="D258" s="5" t="s">
        <v>854</v>
      </c>
      <c r="E258" s="9" t="s">
        <v>109</v>
      </c>
      <c r="F258" s="18" t="n">
        <f aca="false">'15 MIX DESIGN LIBRARY'!J77</f>
        <v>0.213873458203896</v>
      </c>
      <c r="G258" s="13" t="n">
        <f aca="false">N(INDEX('05 MATERIAL RATE LIBRARY'!$E$5:$E$400,MATCH("MAT-CRS-MGL",'05 MATERIAL RATE LIBRARY'!$A$5:$A$400,0)))</f>
        <v>180</v>
      </c>
      <c r="H258" s="19" t="n">
        <f aca="false">W_Agg</f>
        <v>0.05</v>
      </c>
      <c r="I258" s="18" t="n">
        <f aca="false">F258*(1+H258)</f>
        <v>0.224567131114091</v>
      </c>
      <c r="J258" s="13" t="n">
        <f aca="false">I258*G258</f>
        <v>40.4220836005364</v>
      </c>
      <c r="K258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59" customFormat="false" ht="15" hidden="false" customHeight="true" outlineLevel="0" collapsed="false">
      <c r="A259" s="9" t="s">
        <v>154</v>
      </c>
      <c r="B259" s="9" t="s">
        <v>798</v>
      </c>
      <c r="C259" s="9" t="s">
        <v>839</v>
      </c>
      <c r="D259" s="5" t="s">
        <v>855</v>
      </c>
      <c r="E259" s="9" t="s">
        <v>109</v>
      </c>
      <c r="F259" s="18" t="n">
        <f aca="false">'15 MIX DESIGN LIBRARY'!J78</f>
        <v>0.391768203812744</v>
      </c>
      <c r="G259" s="13" t="n">
        <f aca="false">N(INDEX('05 MATERIAL RATE LIBRARY'!$E$5:$E$400,MATCH("MAT-CRS-MGL",'05 MATERIAL RATE LIBRARY'!$A$5:$A$400,0)))</f>
        <v>180</v>
      </c>
      <c r="H259" s="19" t="n">
        <f aca="false">W_Agg</f>
        <v>0.05</v>
      </c>
      <c r="I259" s="18" t="n">
        <f aca="false">F259*(1+H259)</f>
        <v>0.411356614003381</v>
      </c>
      <c r="J259" s="13" t="n">
        <f aca="false">I259*G259</f>
        <v>74.0441905206087</v>
      </c>
      <c r="K259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60" customFormat="false" ht="15" hidden="false" customHeight="true" outlineLevel="0" collapsed="false">
      <c r="A260" s="9" t="s">
        <v>154</v>
      </c>
      <c r="B260" s="9" t="s">
        <v>798</v>
      </c>
      <c r="C260" s="9" t="s">
        <v>839</v>
      </c>
      <c r="D260" s="5" t="s">
        <v>856</v>
      </c>
      <c r="E260" s="9" t="s">
        <v>109</v>
      </c>
      <c r="F260" s="18" t="n">
        <f aca="false">'15 MIX DESIGN LIBRARY'!J79</f>
        <v>0.106603592874216</v>
      </c>
      <c r="G260" s="13" t="n">
        <f aca="false">N(INDEX('05 MATERIAL RATE LIBRARY'!$E$5:$E$400,MATCH("MAT-CRS-MGL",'05 MATERIAL RATE LIBRARY'!$A$5:$A$400,0)))</f>
        <v>180</v>
      </c>
      <c r="H260" s="19" t="n">
        <f aca="false">W_Agg</f>
        <v>0.05</v>
      </c>
      <c r="I260" s="18" t="n">
        <f aca="false">F260*(1+H260)</f>
        <v>0.111933772517927</v>
      </c>
      <c r="J260" s="13" t="n">
        <f aca="false">I260*G260</f>
        <v>20.1480790532268</v>
      </c>
      <c r="K26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61" customFormat="false" ht="15" hidden="false" customHeight="true" outlineLevel="0" collapsed="false">
      <c r="A261" s="9" t="s">
        <v>154</v>
      </c>
      <c r="B261" s="9" t="s">
        <v>798</v>
      </c>
      <c r="C261" s="9" t="s">
        <v>807</v>
      </c>
      <c r="D261" s="5" t="s">
        <v>857</v>
      </c>
      <c r="E261" s="9" t="s">
        <v>198</v>
      </c>
      <c r="F261" s="18" t="n">
        <f aca="false">'15 MIX DESIGN LIBRARY'!J80</f>
        <v>0.175562792014725</v>
      </c>
      <c r="G261" s="13" t="n">
        <f aca="false">N(INDEX('05 MATERIAL RATE LIBRARY'!$E$5:$E$400,MATCH("MAT-ADM-SP",'05 MATERIAL RATE LIBRARY'!$A$5:$A$400,0)))</f>
        <v>185</v>
      </c>
      <c r="H261" s="19" t="n">
        <f aca="false">W_Adm</f>
        <v>0.02</v>
      </c>
      <c r="I261" s="18" t="n">
        <f aca="false">F261*(1+H261)</f>
        <v>0.179074047855019</v>
      </c>
      <c r="J261" s="13" t="n">
        <f aca="false">I261*G261</f>
        <v>33.1286988531785</v>
      </c>
      <c r="K261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262" customFormat="false" ht="15" hidden="false" customHeight="true" outlineLevel="0" collapsed="false">
      <c r="A262" s="9" t="s">
        <v>154</v>
      </c>
      <c r="B262" s="9" t="s">
        <v>798</v>
      </c>
      <c r="C262" s="9" t="s">
        <v>809</v>
      </c>
      <c r="D262" s="5" t="s">
        <v>810</v>
      </c>
      <c r="E262" s="9" t="s">
        <v>811</v>
      </c>
      <c r="F262" s="18" t="n">
        <f aca="false">'15 MIX DESIGN LIBRARY'!J81</f>
        <v>5.04035112558403</v>
      </c>
      <c r="G262" s="13" t="n">
        <f aca="false">N(INDEX('05 MATERIAL RATE LIBRARY'!$E$5:$E$400,MATCH("MAT-WTR",'05 MATERIAL RATE LIBRARY'!$A$5:$A$400,0)))</f>
        <v>0.686</v>
      </c>
      <c r="H262" s="19" t="n">
        <f aca="false">W_Wtr</f>
        <v>0</v>
      </c>
      <c r="I262" s="18" t="n">
        <f aca="false">F262*(1+H262)</f>
        <v>5.04035112558403</v>
      </c>
      <c r="J262" s="13" t="n">
        <f aca="false">I262*G262</f>
        <v>3.45768087215064</v>
      </c>
      <c r="K262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263" customFormat="false" ht="15" hidden="false" customHeight="true" outlineLevel="0" collapsed="false">
      <c r="A263" s="9" t="s">
        <v>154</v>
      </c>
      <c r="B263" s="9" t="s">
        <v>812</v>
      </c>
      <c r="C263" s="9" t="s">
        <v>813</v>
      </c>
      <c r="D263" s="5" t="s">
        <v>814</v>
      </c>
      <c r="E263" s="9" t="s">
        <v>815</v>
      </c>
      <c r="F263" s="18" t="n">
        <f aca="false">'13 PRODUCTIVITY LIBRARY'!E5/'13 PRODUCTIVITY LIBRARY'!D5</f>
        <v>0.01</v>
      </c>
      <c r="G263" s="13" t="n">
        <f aca="false">N(INDEX('06 LABOUR RATE LIBRARY'!$D$5:$D$100,MATCH("LAB-MSN",'06 LABOUR RATE LIBRARY'!$A$5:$A$100,0)))</f>
        <v>2200</v>
      </c>
      <c r="H263" s="21" t="n">
        <v>0</v>
      </c>
      <c r="I263" s="18" t="n">
        <f aca="false">F263*(1+H263)</f>
        <v>0.01</v>
      </c>
      <c r="J263" s="13" t="n">
        <f aca="false">I263*G263</f>
        <v>22</v>
      </c>
      <c r="K263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64" customFormat="false" ht="15" hidden="false" customHeight="true" outlineLevel="0" collapsed="false">
      <c r="A264" s="9" t="s">
        <v>154</v>
      </c>
      <c r="B264" s="9" t="s">
        <v>812</v>
      </c>
      <c r="C264" s="9" t="s">
        <v>816</v>
      </c>
      <c r="D264" s="5" t="s">
        <v>817</v>
      </c>
      <c r="E264" s="9" t="s">
        <v>815</v>
      </c>
      <c r="F264" s="18" t="n">
        <f aca="false">'13 PRODUCTIVITY LIBRARY'!F5/'13 PRODUCTIVITY LIBRARY'!D5</f>
        <v>0.08</v>
      </c>
      <c r="G264" s="13" t="n">
        <f aca="false">N(INDEX('06 LABOUR RATE LIBRARY'!$D$5:$D$100,MATCH("LAB-HLP",'06 LABOUR RATE LIBRARY'!$A$5:$A$100,0)))</f>
        <v>1538</v>
      </c>
      <c r="H264" s="21" t="n">
        <v>0</v>
      </c>
      <c r="I264" s="18" t="n">
        <f aca="false">F264*(1+H264)</f>
        <v>0.08</v>
      </c>
      <c r="J264" s="13" t="n">
        <f aca="false">I264*G264</f>
        <v>123.04</v>
      </c>
      <c r="K26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65" customFormat="false" ht="15" hidden="false" customHeight="true" outlineLevel="0" collapsed="false">
      <c r="A265" s="9" t="s">
        <v>154</v>
      </c>
      <c r="B265" s="9" t="s">
        <v>818</v>
      </c>
      <c r="C265" s="9" t="s">
        <v>819</v>
      </c>
      <c r="D265" s="5" t="s">
        <v>820</v>
      </c>
      <c r="E265" s="9" t="s">
        <v>815</v>
      </c>
      <c r="F265" s="18" t="n">
        <f aca="false">1/'13 PRODUCTIVITY LIBRARY'!D5</f>
        <v>0.01</v>
      </c>
      <c r="G265" s="13" t="n">
        <f aca="false">N(INDEX('07 EQUIPMENT RATE LIBRARY'!$D$5:$D$100,MATCH("EQ-VIB",'07 EQUIPMENT RATE LIBRARY'!$A$5:$A$100,0)))</f>
        <v>227</v>
      </c>
      <c r="H265" s="21" t="n">
        <v>0</v>
      </c>
      <c r="I265" s="18" t="n">
        <f aca="false">F265*(1+H265)</f>
        <v>0.01</v>
      </c>
      <c r="J265" s="13" t="n">
        <f aca="false">I265*G265</f>
        <v>2.27</v>
      </c>
      <c r="K265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66" customFormat="false" ht="21.75" hidden="false" customHeight="true" outlineLevel="0" collapsed="false">
      <c r="A266" s="9" t="s">
        <v>154</v>
      </c>
      <c r="B266" s="9" t="s">
        <v>818</v>
      </c>
      <c r="C266" s="9" t="s">
        <v>821</v>
      </c>
      <c r="D266" s="5" t="s">
        <v>822</v>
      </c>
      <c r="E266" s="9" t="s">
        <v>815</v>
      </c>
      <c r="F266" s="18" t="n">
        <f aca="false">1/'13 PRODUCTIVITY LIBRARY'!D5</f>
        <v>0.01</v>
      </c>
      <c r="G266" s="13" t="n">
        <f aca="false">N(INDEX('07 EQUIPMENT RATE LIBRARY'!$D$5:$D$100,MATCH("EQ-MIX",'07 EQUIPMENT RATE LIBRARY'!$A$5:$A$100,0)))</f>
        <v>3500</v>
      </c>
      <c r="H266" s="21" t="n">
        <v>0</v>
      </c>
      <c r="I266" s="18" t="n">
        <f aca="false">F266*(1+H266)</f>
        <v>0.01</v>
      </c>
      <c r="J266" s="13" t="n">
        <f aca="false">I266*G266</f>
        <v>35</v>
      </c>
      <c r="K266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267" customFormat="false" ht="15" hidden="false" customHeight="true" outlineLevel="0" collapsed="false">
      <c r="A267" s="9" t="s">
        <v>154</v>
      </c>
      <c r="B267" s="9" t="s">
        <v>818</v>
      </c>
      <c r="C267" s="9" t="s">
        <v>823</v>
      </c>
      <c r="D267" s="5" t="s">
        <v>824</v>
      </c>
      <c r="E267" s="9" t="s">
        <v>109</v>
      </c>
      <c r="F267" s="18" t="n">
        <v>1</v>
      </c>
      <c r="G267" s="13" t="n">
        <f aca="false">N(INDEX('07 EQUIPMENT RATE LIBRARY'!$D$5:$D$100,MATCH("EQ-PUMP",'07 EQUIPMENT RATE LIBRARY'!$A$5:$A$100,0)))</f>
        <v>28.32</v>
      </c>
      <c r="H267" s="21" t="n">
        <v>0</v>
      </c>
      <c r="I267" s="18" t="n">
        <f aca="false">F267*(1+H267)</f>
        <v>1</v>
      </c>
      <c r="J267" s="13" t="n">
        <f aca="false">I267*G267</f>
        <v>28.32</v>
      </c>
      <c r="K267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68" customFormat="false" ht="15" hidden="false" customHeight="true" outlineLevel="0" collapsed="false">
      <c r="D268" s="22" t="s">
        <v>825</v>
      </c>
      <c r="J268" s="23" t="n">
        <f aca="false">SUMPRODUCT((B256:B267="Material")*F256:F267*G256:G267)</f>
        <v>727.64087248378</v>
      </c>
    </row>
    <row r="269" customFormat="false" ht="15" hidden="false" customHeight="true" outlineLevel="0" collapsed="false">
      <c r="D269" s="22" t="s">
        <v>826</v>
      </c>
      <c r="J269" s="23" t="n">
        <f aca="false">SUMIF(B256:B267,"Material",J256:J267)-J268</f>
        <v>21.320018988765</v>
      </c>
    </row>
    <row r="270" customFormat="false" ht="15" hidden="false" customHeight="true" outlineLevel="0" collapsed="false">
      <c r="D270" s="24" t="s">
        <v>827</v>
      </c>
      <c r="J270" s="14" t="n">
        <f aca="false">SUMIF(B256:B267,"Material",J256:J267)</f>
        <v>748.960891472545</v>
      </c>
    </row>
    <row r="271" customFormat="false" ht="15" hidden="false" customHeight="true" outlineLevel="0" collapsed="false">
      <c r="D271" s="24" t="s">
        <v>828</v>
      </c>
      <c r="J271" s="14" t="n">
        <f aca="false">SUMIF(B256:B267,"Labour",J256:J267)</f>
        <v>145.04</v>
      </c>
    </row>
    <row r="272" customFormat="false" ht="15" hidden="false" customHeight="true" outlineLevel="0" collapsed="false">
      <c r="D272" s="24" t="s">
        <v>829</v>
      </c>
      <c r="J272" s="14" t="n">
        <f aca="false">SUMIF(B256:B267,"Equipment",J256:J267)</f>
        <v>65.59</v>
      </c>
    </row>
    <row r="273" customFormat="false" ht="15" hidden="false" customHeight="true" outlineLevel="0" collapsed="false">
      <c r="D273" s="24" t="s">
        <v>830</v>
      </c>
      <c r="J273" s="14" t="n">
        <f aca="false">SUMIF(B256:B267,"Transport",J256:J267)</f>
        <v>0</v>
      </c>
    </row>
    <row r="274" customFormat="false" ht="15" hidden="false" customHeight="true" outlineLevel="0" collapsed="false">
      <c r="D274" s="24" t="s">
        <v>831</v>
      </c>
      <c r="J274" s="14" t="n">
        <f aca="false">J270+J271+J272+J273</f>
        <v>959.590891472545</v>
      </c>
    </row>
    <row r="275" customFormat="false" ht="15" hidden="false" customHeight="true" outlineLevel="0" collapsed="false">
      <c r="D275" s="22" t="s">
        <v>832</v>
      </c>
      <c r="J275" s="23" t="n">
        <f aca="false">J274*OH_Site</f>
        <v>28.7877267441764</v>
      </c>
    </row>
    <row r="276" customFormat="false" ht="15" hidden="false" customHeight="true" outlineLevel="0" collapsed="false">
      <c r="D276" s="22" t="s">
        <v>833</v>
      </c>
      <c r="J276" s="23" t="n">
        <f aca="false">J274*OH_HO</f>
        <v>47.9795445736273</v>
      </c>
    </row>
    <row r="277" customFormat="false" ht="15" hidden="false" customHeight="true" outlineLevel="0" collapsed="false">
      <c r="D277" s="22" t="s">
        <v>834</v>
      </c>
      <c r="J277" s="23" t="n">
        <f aca="false">J274*Profit</f>
        <v>95.9590891472546</v>
      </c>
    </row>
    <row r="278" customFormat="false" ht="15" hidden="false" customHeight="true" outlineLevel="0" collapsed="false">
      <c r="D278" s="24" t="s">
        <v>835</v>
      </c>
      <c r="J278" s="14" t="n">
        <f aca="false">J274+J275+J276+J277</f>
        <v>1132.3172519376</v>
      </c>
    </row>
    <row r="279" customFormat="false" ht="15" hidden="false" customHeight="true" outlineLevel="0" collapsed="false">
      <c r="D279" s="22" t="s">
        <v>836</v>
      </c>
      <c r="J279" s="23" t="n">
        <f aca="false">IF(Tax_On="Yes",J278*N(Tax_Rate),0)</f>
        <v>0</v>
      </c>
    </row>
    <row r="280" customFormat="false" ht="15" hidden="false" customHeight="true" outlineLevel="0" collapsed="false">
      <c r="D280" s="24" t="s">
        <v>837</v>
      </c>
      <c r="J280" s="14" t="n">
        <f aca="false">ROUND(J278+J279,0)</f>
        <v>1132</v>
      </c>
    </row>
    <row r="281" customFormat="false" ht="15" hidden="false" customHeight="true" outlineLevel="0" collapsed="false">
      <c r="D281" s="25" t="s">
        <v>838</v>
      </c>
      <c r="J281" s="26" t="n">
        <f aca="false">COUNTIF(K256:K267,"NO RATE")+COUNTIF(K256:K267,"OLD RATE")</f>
        <v>1</v>
      </c>
    </row>
    <row r="283" customFormat="false" ht="39.75" hidden="false" customHeight="true" outlineLevel="0" collapsed="false">
      <c r="A283" s="4" t="s">
        <v>157</v>
      </c>
      <c r="B283" s="16" t="s">
        <v>159</v>
      </c>
      <c r="C283" s="16"/>
      <c r="D283" s="16"/>
      <c r="E283" s="16"/>
      <c r="F283" s="16"/>
      <c r="G283" s="16"/>
      <c r="H283" s="16"/>
      <c r="I283" s="16"/>
      <c r="J283" s="4" t="s">
        <v>788</v>
      </c>
      <c r="K283" s="17"/>
    </row>
    <row r="284" customFormat="false" ht="21.75" hidden="false" customHeight="true" outlineLevel="0" collapsed="false">
      <c r="A284" s="12" t="s">
        <v>75</v>
      </c>
      <c r="B284" s="12" t="s">
        <v>789</v>
      </c>
      <c r="C284" s="12" t="s">
        <v>790</v>
      </c>
      <c r="D284" s="12" t="s">
        <v>791</v>
      </c>
      <c r="E284" s="12" t="s">
        <v>81</v>
      </c>
      <c r="F284" s="12" t="s">
        <v>792</v>
      </c>
      <c r="G284" s="12" t="s">
        <v>793</v>
      </c>
      <c r="H284" s="12" t="s">
        <v>794</v>
      </c>
      <c r="I284" s="12" t="s">
        <v>795</v>
      </c>
      <c r="J284" s="12" t="s">
        <v>796</v>
      </c>
      <c r="K284" s="12" t="s">
        <v>797</v>
      </c>
    </row>
    <row r="285" customFormat="false" ht="15" hidden="false" customHeight="true" outlineLevel="0" collapsed="false">
      <c r="A285" s="9" t="s">
        <v>157</v>
      </c>
      <c r="B285" s="9" t="s">
        <v>798</v>
      </c>
      <c r="C285" s="9" t="s">
        <v>799</v>
      </c>
      <c r="D285" s="5" t="s">
        <v>850</v>
      </c>
      <c r="E285" s="9" t="s">
        <v>801</v>
      </c>
      <c r="F285" s="18" t="n">
        <f aca="false">'15 MIX DESIGN LIBRARY'!J84</f>
        <v>0.184057765821889</v>
      </c>
      <c r="G285" s="13" t="n">
        <f aca="false">N(INDEX('05 MATERIAL RATE LIBRARY'!$E$5:$E$400,MATCH("MAT-CEM-OPC",'05 MATERIAL RATE LIBRARY'!$A$5:$A$400,0)))</f>
        <v>1575</v>
      </c>
      <c r="H285" s="19" t="n">
        <f aca="false">W_Cem</f>
        <v>0.02</v>
      </c>
      <c r="I285" s="18" t="n">
        <f aca="false">F285*(1+H285)</f>
        <v>0.187738921138327</v>
      </c>
      <c r="J285" s="13" t="n">
        <f aca="false">I285*G285</f>
        <v>295.688800792864</v>
      </c>
      <c r="K285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86" customFormat="false" ht="15" hidden="false" customHeight="true" outlineLevel="0" collapsed="false">
      <c r="A286" s="9" t="s">
        <v>157</v>
      </c>
      <c r="B286" s="9" t="s">
        <v>798</v>
      </c>
      <c r="C286" s="9" t="s">
        <v>809</v>
      </c>
      <c r="D286" s="5" t="s">
        <v>810</v>
      </c>
      <c r="E286" s="9" t="s">
        <v>811</v>
      </c>
      <c r="F286" s="18" t="n">
        <f aca="false">'15 MIX DESIGN LIBRARY'!J85</f>
        <v>5.43678323658502</v>
      </c>
      <c r="G286" s="13" t="n">
        <f aca="false">N(INDEX('05 MATERIAL RATE LIBRARY'!$E$5:$E$400,MATCH("MAT-WTR",'05 MATERIAL RATE LIBRARY'!$A$5:$A$400,0)))</f>
        <v>0.686</v>
      </c>
      <c r="H286" s="19" t="n">
        <f aca="false">W_Wtr</f>
        <v>0</v>
      </c>
      <c r="I286" s="18" t="n">
        <f aca="false">F286*(1+H286)</f>
        <v>5.43678323658502</v>
      </c>
      <c r="J286" s="13" t="n">
        <f aca="false">I286*G286</f>
        <v>3.72963330029732</v>
      </c>
      <c r="K286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287" customFormat="false" ht="15" hidden="false" customHeight="true" outlineLevel="0" collapsed="false">
      <c r="A287" s="9" t="s">
        <v>157</v>
      </c>
      <c r="B287" s="9" t="s">
        <v>798</v>
      </c>
      <c r="C287" s="9" t="s">
        <v>807</v>
      </c>
      <c r="D287" s="5" t="s">
        <v>858</v>
      </c>
      <c r="E287" s="9" t="s">
        <v>198</v>
      </c>
      <c r="F287" s="18" t="n">
        <f aca="false">'15 MIX DESIGN LIBRARY'!J86</f>
        <v>0.0920288829109444</v>
      </c>
      <c r="G287" s="13" t="n">
        <f aca="false">N(INDEX('05 MATERIAL RATE LIBRARY'!$E$5:$E$400,MATCH("MAT-ADM-SP",'05 MATERIAL RATE LIBRARY'!$A$5:$A$400,0)))</f>
        <v>185</v>
      </c>
      <c r="H287" s="19" t="n">
        <f aca="false">W_Adm</f>
        <v>0.02</v>
      </c>
      <c r="I287" s="18" t="n">
        <f aca="false">F287*(1+H287)</f>
        <v>0.0938694605691633</v>
      </c>
      <c r="J287" s="13" t="n">
        <f aca="false">I287*G287</f>
        <v>17.3658502052952</v>
      </c>
      <c r="K287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288" customFormat="false" ht="15" hidden="false" customHeight="true" outlineLevel="0" collapsed="false">
      <c r="A288" s="9" t="s">
        <v>157</v>
      </c>
      <c r="B288" s="9" t="s">
        <v>798</v>
      </c>
      <c r="C288" s="9" t="s">
        <v>839</v>
      </c>
      <c r="D288" s="5" t="s">
        <v>854</v>
      </c>
      <c r="E288" s="9" t="s">
        <v>109</v>
      </c>
      <c r="F288" s="18" t="n">
        <f aca="false">'15 MIX DESIGN LIBRARY'!J87</f>
        <v>0.0699586078237043</v>
      </c>
      <c r="G288" s="13" t="n">
        <f aca="false">N(INDEX('05 MATERIAL RATE LIBRARY'!$E$5:$E$400,MATCH("MAT-CRS-MGL",'05 MATERIAL RATE LIBRARY'!$A$5:$A$400,0)))</f>
        <v>180</v>
      </c>
      <c r="H288" s="19" t="n">
        <f aca="false">W_Agg</f>
        <v>0.05</v>
      </c>
      <c r="I288" s="18" t="n">
        <f aca="false">F288*(1+H288)</f>
        <v>0.0734565382148895</v>
      </c>
      <c r="J288" s="13" t="n">
        <f aca="false">I288*G288</f>
        <v>13.2221768786801</v>
      </c>
      <c r="K288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89" customFormat="false" ht="15" hidden="false" customHeight="true" outlineLevel="0" collapsed="false">
      <c r="A289" s="9" t="s">
        <v>157</v>
      </c>
      <c r="B289" s="9" t="s">
        <v>798</v>
      </c>
      <c r="C289" s="9" t="s">
        <v>839</v>
      </c>
      <c r="D289" s="5" t="s">
        <v>855</v>
      </c>
      <c r="E289" s="9" t="s">
        <v>109</v>
      </c>
      <c r="F289" s="18" t="n">
        <f aca="false">'15 MIX DESIGN LIBRARY'!J88</f>
        <v>0.491709072132322</v>
      </c>
      <c r="G289" s="13" t="n">
        <f aca="false">N(INDEX('05 MATERIAL RATE LIBRARY'!$E$5:$E$400,MATCH("MAT-CRS-MGL",'05 MATERIAL RATE LIBRARY'!$A$5:$A$400,0)))</f>
        <v>180</v>
      </c>
      <c r="H289" s="19" t="n">
        <f aca="false">W_Agg</f>
        <v>0.05</v>
      </c>
      <c r="I289" s="18" t="n">
        <f aca="false">F289*(1+H289)</f>
        <v>0.516294525738938</v>
      </c>
      <c r="J289" s="13" t="n">
        <f aca="false">I289*G289</f>
        <v>92.9330146330088</v>
      </c>
      <c r="K289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90" customFormat="false" ht="15" hidden="false" customHeight="true" outlineLevel="0" collapsed="false">
      <c r="A290" s="9" t="s">
        <v>157</v>
      </c>
      <c r="B290" s="9" t="s">
        <v>798</v>
      </c>
      <c r="C290" s="9" t="s">
        <v>839</v>
      </c>
      <c r="D290" s="5" t="s">
        <v>859</v>
      </c>
      <c r="E290" s="9" t="s">
        <v>109</v>
      </c>
      <c r="F290" s="18" t="n">
        <f aca="false">'15 MIX DESIGN LIBRARY'!J89</f>
        <v>0.140583488102873</v>
      </c>
      <c r="G290" s="13" t="n">
        <f aca="false">N(INDEX('05 MATERIAL RATE LIBRARY'!$E$5:$E$400,MATCH("MAT-CRS-MGL",'05 MATERIAL RATE LIBRARY'!$A$5:$A$400,0)))</f>
        <v>180</v>
      </c>
      <c r="H290" s="19" t="n">
        <f aca="false">W_Agg</f>
        <v>0.05</v>
      </c>
      <c r="I290" s="18" t="n">
        <f aca="false">F290*(1+H290)</f>
        <v>0.147612662508016</v>
      </c>
      <c r="J290" s="13" t="n">
        <f aca="false">I290*G290</f>
        <v>26.5702792514429</v>
      </c>
      <c r="K29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91" customFormat="false" ht="15" hidden="false" customHeight="true" outlineLevel="0" collapsed="false">
      <c r="A291" s="9" t="s">
        <v>157</v>
      </c>
      <c r="B291" s="9" t="s">
        <v>798</v>
      </c>
      <c r="C291" s="9" t="s">
        <v>805</v>
      </c>
      <c r="D291" s="5" t="s">
        <v>851</v>
      </c>
      <c r="E291" s="9" t="s">
        <v>109</v>
      </c>
      <c r="F291" s="18" t="n">
        <f aca="false">'15 MIX DESIGN LIBRARY'!J90</f>
        <v>0.478235562477386</v>
      </c>
      <c r="G291" s="13" t="n">
        <f aca="false">N(INDEX('05 MATERIAL RATE LIBRARY'!$E$5:$E$400,MATCH("MAT-SND-LWP",'05 MATERIAL RATE LIBRARY'!$A$5:$A$400,0)))</f>
        <v>240</v>
      </c>
      <c r="H291" s="19" t="n">
        <f aca="false">W_Agg</f>
        <v>0.05</v>
      </c>
      <c r="I291" s="18" t="n">
        <f aca="false">F291*(1+H291)</f>
        <v>0.502147340601255</v>
      </c>
      <c r="J291" s="13" t="n">
        <f aca="false">I291*G291</f>
        <v>120.515361744301</v>
      </c>
      <c r="K291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292" customFormat="false" ht="15" hidden="false" customHeight="true" outlineLevel="0" collapsed="false">
      <c r="A292" s="9" t="s">
        <v>157</v>
      </c>
      <c r="B292" s="9" t="s">
        <v>812</v>
      </c>
      <c r="C292" s="9" t="s">
        <v>813</v>
      </c>
      <c r="D292" s="5" t="s">
        <v>814</v>
      </c>
      <c r="E292" s="9" t="s">
        <v>815</v>
      </c>
      <c r="F292" s="18" t="n">
        <f aca="false">'13 PRODUCTIVITY LIBRARY'!E5/'13 PRODUCTIVITY LIBRARY'!D5</f>
        <v>0.01</v>
      </c>
      <c r="G292" s="13" t="n">
        <f aca="false">N(INDEX('06 LABOUR RATE LIBRARY'!$D$5:$D$100,MATCH("LAB-MSN",'06 LABOUR RATE LIBRARY'!$A$5:$A$100,0)))</f>
        <v>2200</v>
      </c>
      <c r="H292" s="21" t="n">
        <v>0</v>
      </c>
      <c r="I292" s="18" t="n">
        <f aca="false">F292*(1+H292)</f>
        <v>0.01</v>
      </c>
      <c r="J292" s="13" t="n">
        <f aca="false">I292*G292</f>
        <v>22</v>
      </c>
      <c r="K292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93" customFormat="false" ht="15" hidden="false" customHeight="true" outlineLevel="0" collapsed="false">
      <c r="A293" s="9" t="s">
        <v>157</v>
      </c>
      <c r="B293" s="9" t="s">
        <v>812</v>
      </c>
      <c r="C293" s="9" t="s">
        <v>816</v>
      </c>
      <c r="D293" s="5" t="s">
        <v>817</v>
      </c>
      <c r="E293" s="9" t="s">
        <v>815</v>
      </c>
      <c r="F293" s="18" t="n">
        <f aca="false">'13 PRODUCTIVITY LIBRARY'!F5/'13 PRODUCTIVITY LIBRARY'!D5</f>
        <v>0.08</v>
      </c>
      <c r="G293" s="13" t="n">
        <f aca="false">N(INDEX('06 LABOUR RATE LIBRARY'!$D$5:$D$100,MATCH("LAB-HLP",'06 LABOUR RATE LIBRARY'!$A$5:$A$100,0)))</f>
        <v>1538</v>
      </c>
      <c r="H293" s="21" t="n">
        <v>0</v>
      </c>
      <c r="I293" s="18" t="n">
        <f aca="false">F293*(1+H293)</f>
        <v>0.08</v>
      </c>
      <c r="J293" s="13" t="n">
        <f aca="false">I293*G293</f>
        <v>123.04</v>
      </c>
      <c r="K29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94" customFormat="false" ht="15" hidden="false" customHeight="true" outlineLevel="0" collapsed="false">
      <c r="A294" s="9" t="s">
        <v>157</v>
      </c>
      <c r="B294" s="9" t="s">
        <v>818</v>
      </c>
      <c r="C294" s="9" t="s">
        <v>819</v>
      </c>
      <c r="D294" s="5" t="s">
        <v>820</v>
      </c>
      <c r="E294" s="9" t="s">
        <v>815</v>
      </c>
      <c r="F294" s="18" t="n">
        <f aca="false">1/'13 PRODUCTIVITY LIBRARY'!D5</f>
        <v>0.01</v>
      </c>
      <c r="G294" s="13" t="n">
        <f aca="false">N(INDEX('07 EQUIPMENT RATE LIBRARY'!$D$5:$D$100,MATCH("EQ-VIB",'07 EQUIPMENT RATE LIBRARY'!$A$5:$A$100,0)))</f>
        <v>227</v>
      </c>
      <c r="H294" s="21" t="n">
        <v>0</v>
      </c>
      <c r="I294" s="18" t="n">
        <f aca="false">F294*(1+H294)</f>
        <v>0.01</v>
      </c>
      <c r="J294" s="13" t="n">
        <f aca="false">I294*G294</f>
        <v>2.27</v>
      </c>
      <c r="K294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95" customFormat="false" ht="21.75" hidden="false" customHeight="true" outlineLevel="0" collapsed="false">
      <c r="A295" s="9" t="s">
        <v>157</v>
      </c>
      <c r="B295" s="9" t="s">
        <v>818</v>
      </c>
      <c r="C295" s="9" t="s">
        <v>821</v>
      </c>
      <c r="D295" s="5" t="s">
        <v>822</v>
      </c>
      <c r="E295" s="9" t="s">
        <v>815</v>
      </c>
      <c r="F295" s="18" t="n">
        <f aca="false">1/'13 PRODUCTIVITY LIBRARY'!D5</f>
        <v>0.01</v>
      </c>
      <c r="G295" s="13" t="n">
        <f aca="false">N(INDEX('07 EQUIPMENT RATE LIBRARY'!$D$5:$D$100,MATCH("EQ-MIX",'07 EQUIPMENT RATE LIBRARY'!$A$5:$A$100,0)))</f>
        <v>3500</v>
      </c>
      <c r="H295" s="21" t="n">
        <v>0</v>
      </c>
      <c r="I295" s="18" t="n">
        <f aca="false">F295*(1+H295)</f>
        <v>0.01</v>
      </c>
      <c r="J295" s="13" t="n">
        <f aca="false">I295*G295</f>
        <v>35</v>
      </c>
      <c r="K295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296" customFormat="false" ht="15" hidden="false" customHeight="true" outlineLevel="0" collapsed="false">
      <c r="A296" s="9" t="s">
        <v>157</v>
      </c>
      <c r="B296" s="9" t="s">
        <v>818</v>
      </c>
      <c r="C296" s="9" t="s">
        <v>823</v>
      </c>
      <c r="D296" s="5" t="s">
        <v>824</v>
      </c>
      <c r="E296" s="9" t="s">
        <v>109</v>
      </c>
      <c r="F296" s="18" t="n">
        <v>1</v>
      </c>
      <c r="G296" s="13" t="n">
        <f aca="false">N(INDEX('07 EQUIPMENT RATE LIBRARY'!$D$5:$D$100,MATCH("EQ-PUMP",'07 EQUIPMENT RATE LIBRARY'!$A$5:$A$100,0)))</f>
        <v>28.32</v>
      </c>
      <c r="H296" s="21" t="n">
        <v>0</v>
      </c>
      <c r="I296" s="18" t="n">
        <f aca="false">F296*(1+H296)</f>
        <v>1</v>
      </c>
      <c r="J296" s="13" t="n">
        <f aca="false">I296*G296</f>
        <v>28.32</v>
      </c>
      <c r="K296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97" customFormat="false" ht="15" hidden="false" customHeight="true" outlineLevel="0" collapsed="false">
      <c r="D297" s="22" t="s">
        <v>825</v>
      </c>
      <c r="J297" s="23" t="n">
        <f aca="false">SUMPRODUCT((B285:B296="Material")*F285:F296*G285:G296)</f>
        <v>551.827703053471</v>
      </c>
    </row>
    <row r="298" customFormat="false" ht="15" hidden="false" customHeight="true" outlineLevel="0" collapsed="false">
      <c r="D298" s="22" t="s">
        <v>826</v>
      </c>
      <c r="J298" s="23" t="n">
        <f aca="false">SUMIF(B285:B296,"Material",J285:J296)-J297</f>
        <v>18.1974137524187</v>
      </c>
    </row>
    <row r="299" customFormat="false" ht="15" hidden="false" customHeight="true" outlineLevel="0" collapsed="false">
      <c r="D299" s="24" t="s">
        <v>827</v>
      </c>
      <c r="J299" s="14" t="n">
        <f aca="false">SUMIF(B285:B296,"Material",J285:J296)</f>
        <v>570.02511680589</v>
      </c>
    </row>
    <row r="300" customFormat="false" ht="15" hidden="false" customHeight="true" outlineLevel="0" collapsed="false">
      <c r="D300" s="24" t="s">
        <v>828</v>
      </c>
      <c r="J300" s="14" t="n">
        <f aca="false">SUMIF(B285:B296,"Labour",J285:J296)</f>
        <v>145.04</v>
      </c>
    </row>
    <row r="301" customFormat="false" ht="15" hidden="false" customHeight="true" outlineLevel="0" collapsed="false">
      <c r="D301" s="24" t="s">
        <v>829</v>
      </c>
      <c r="J301" s="14" t="n">
        <f aca="false">SUMIF(B285:B296,"Equipment",J285:J296)</f>
        <v>65.59</v>
      </c>
    </row>
    <row r="302" customFormat="false" ht="15" hidden="false" customHeight="true" outlineLevel="0" collapsed="false">
      <c r="D302" s="24" t="s">
        <v>830</v>
      </c>
      <c r="J302" s="14" t="n">
        <f aca="false">SUMIF(B285:B296,"Transport",J285:J296)</f>
        <v>0</v>
      </c>
    </row>
    <row r="303" customFormat="false" ht="15" hidden="false" customHeight="true" outlineLevel="0" collapsed="false">
      <c r="D303" s="24" t="s">
        <v>831</v>
      </c>
      <c r="J303" s="14" t="n">
        <f aca="false">J299+J300+J301+J302</f>
        <v>780.65511680589</v>
      </c>
    </row>
    <row r="304" customFormat="false" ht="15" hidden="false" customHeight="true" outlineLevel="0" collapsed="false">
      <c r="D304" s="22" t="s">
        <v>832</v>
      </c>
      <c r="J304" s="23" t="n">
        <f aca="false">J303*OH_Site</f>
        <v>23.4196535041767</v>
      </c>
    </row>
    <row r="305" customFormat="false" ht="15" hidden="false" customHeight="true" outlineLevel="0" collapsed="false">
      <c r="D305" s="22" t="s">
        <v>833</v>
      </c>
      <c r="J305" s="23" t="n">
        <f aca="false">J303*OH_HO</f>
        <v>39.0327558402945</v>
      </c>
    </row>
    <row r="306" customFormat="false" ht="15" hidden="false" customHeight="true" outlineLevel="0" collapsed="false">
      <c r="D306" s="22" t="s">
        <v>834</v>
      </c>
      <c r="J306" s="23" t="n">
        <f aca="false">J303*Profit</f>
        <v>78.065511680589</v>
      </c>
    </row>
    <row r="307" customFormat="false" ht="15" hidden="false" customHeight="true" outlineLevel="0" collapsed="false">
      <c r="D307" s="24" t="s">
        <v>835</v>
      </c>
      <c r="J307" s="14" t="n">
        <f aca="false">J303+J304+J305+J306</f>
        <v>921.17303783095</v>
      </c>
    </row>
    <row r="308" customFormat="false" ht="15" hidden="false" customHeight="true" outlineLevel="0" collapsed="false">
      <c r="D308" s="22" t="s">
        <v>836</v>
      </c>
      <c r="J308" s="23" t="n">
        <f aca="false">IF(Tax_On="Yes",J307*N(Tax_Rate),0)</f>
        <v>0</v>
      </c>
    </row>
    <row r="309" customFormat="false" ht="15" hidden="false" customHeight="true" outlineLevel="0" collapsed="false">
      <c r="D309" s="24" t="s">
        <v>837</v>
      </c>
      <c r="J309" s="14" t="n">
        <f aca="false">ROUND(J307+J308,0)</f>
        <v>921</v>
      </c>
    </row>
    <row r="310" customFormat="false" ht="15" hidden="false" customHeight="true" outlineLevel="0" collapsed="false">
      <c r="D310" s="25" t="s">
        <v>838</v>
      </c>
      <c r="J310" s="26" t="n">
        <f aca="false">COUNTIF(K285:K296,"NO RATE")+COUNTIF(K285:K296,"OLD RATE")</f>
        <v>1</v>
      </c>
    </row>
    <row r="312" customFormat="false" ht="39.75" hidden="false" customHeight="true" outlineLevel="0" collapsed="false">
      <c r="A312" s="4" t="s">
        <v>162</v>
      </c>
      <c r="B312" s="16" t="s">
        <v>163</v>
      </c>
      <c r="C312" s="16"/>
      <c r="D312" s="16"/>
      <c r="E312" s="16"/>
      <c r="F312" s="16"/>
      <c r="G312" s="16"/>
      <c r="H312" s="16"/>
      <c r="I312" s="16"/>
      <c r="J312" s="4" t="s">
        <v>788</v>
      </c>
      <c r="K312" s="17"/>
    </row>
    <row r="313" customFormat="false" ht="21.75" hidden="false" customHeight="true" outlineLevel="0" collapsed="false">
      <c r="A313" s="12" t="s">
        <v>75</v>
      </c>
      <c r="B313" s="12" t="s">
        <v>789</v>
      </c>
      <c r="C313" s="12" t="s">
        <v>790</v>
      </c>
      <c r="D313" s="12" t="s">
        <v>791</v>
      </c>
      <c r="E313" s="12" t="s">
        <v>81</v>
      </c>
      <c r="F313" s="12" t="s">
        <v>792</v>
      </c>
      <c r="G313" s="12" t="s">
        <v>793</v>
      </c>
      <c r="H313" s="12" t="s">
        <v>794</v>
      </c>
      <c r="I313" s="12" t="s">
        <v>795</v>
      </c>
      <c r="J313" s="12" t="s">
        <v>796</v>
      </c>
      <c r="K313" s="12" t="s">
        <v>797</v>
      </c>
    </row>
    <row r="314" customFormat="false" ht="15" hidden="false" customHeight="true" outlineLevel="0" collapsed="false">
      <c r="A314" s="9" t="s">
        <v>162</v>
      </c>
      <c r="B314" s="9" t="s">
        <v>798</v>
      </c>
      <c r="C314" s="9" t="s">
        <v>799</v>
      </c>
      <c r="D314" s="5" t="s">
        <v>850</v>
      </c>
      <c r="E314" s="9" t="s">
        <v>801</v>
      </c>
      <c r="F314" s="18" t="n">
        <f aca="false">'15 MIX DESIGN LIBRARY'!J93</f>
        <v>0.240690924536316</v>
      </c>
      <c r="G314" s="13" t="n">
        <f aca="false">N(INDEX('05 MATERIAL RATE LIBRARY'!$E$5:$E$400,MATCH("MAT-CEM-OPC",'05 MATERIAL RATE LIBRARY'!$A$5:$A$400,0)))</f>
        <v>1575</v>
      </c>
      <c r="H314" s="19" t="n">
        <f aca="false">W_Cem</f>
        <v>0.02</v>
      </c>
      <c r="I314" s="18" t="n">
        <f aca="false">F314*(1+H314)</f>
        <v>0.245504743027042</v>
      </c>
      <c r="J314" s="13" t="n">
        <f aca="false">I314*G314</f>
        <v>386.669970267592</v>
      </c>
      <c r="K314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315" customFormat="false" ht="15" hidden="false" customHeight="true" outlineLevel="0" collapsed="false">
      <c r="A315" s="9" t="s">
        <v>162</v>
      </c>
      <c r="B315" s="9" t="s">
        <v>798</v>
      </c>
      <c r="C315" s="9" t="s">
        <v>809</v>
      </c>
      <c r="D315" s="5" t="s">
        <v>810</v>
      </c>
      <c r="E315" s="9" t="s">
        <v>811</v>
      </c>
      <c r="F315" s="18" t="n">
        <f aca="false">'15 MIX DESIGN LIBRARY'!J94</f>
        <v>5.43678323658502</v>
      </c>
      <c r="G315" s="13" t="n">
        <f aca="false">N(INDEX('05 MATERIAL RATE LIBRARY'!$E$5:$E$400,MATCH("MAT-WTR",'05 MATERIAL RATE LIBRARY'!$A$5:$A$400,0)))</f>
        <v>0.686</v>
      </c>
      <c r="H315" s="19" t="n">
        <f aca="false">W_Wtr</f>
        <v>0</v>
      </c>
      <c r="I315" s="18" t="n">
        <f aca="false">F315*(1+H315)</f>
        <v>5.43678323658502</v>
      </c>
      <c r="J315" s="13" t="n">
        <f aca="false">I315*G315</f>
        <v>3.72963330029732</v>
      </c>
      <c r="K315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316" customFormat="false" ht="15" hidden="false" customHeight="true" outlineLevel="0" collapsed="false">
      <c r="A316" s="9" t="s">
        <v>162</v>
      </c>
      <c r="B316" s="9" t="s">
        <v>798</v>
      </c>
      <c r="C316" s="9" t="s">
        <v>807</v>
      </c>
      <c r="D316" s="5" t="s">
        <v>860</v>
      </c>
      <c r="E316" s="9" t="s">
        <v>198</v>
      </c>
      <c r="F316" s="18" t="n">
        <f aca="false">'15 MIX DESIGN LIBRARY'!J95</f>
        <v>0.158856010193969</v>
      </c>
      <c r="G316" s="13" t="n">
        <f aca="false">N(INDEX('05 MATERIAL RATE LIBRARY'!$E$5:$E$400,MATCH("MAT-ADM-SP",'05 MATERIAL RATE LIBRARY'!$A$5:$A$400,0)))</f>
        <v>185</v>
      </c>
      <c r="H316" s="19" t="n">
        <f aca="false">W_Adm</f>
        <v>0.02</v>
      </c>
      <c r="I316" s="18" t="n">
        <f aca="false">F316*(1+H316)</f>
        <v>0.162033130397848</v>
      </c>
      <c r="J316" s="13" t="n">
        <f aca="false">I316*G316</f>
        <v>29.9761291236019</v>
      </c>
      <c r="K316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317" customFormat="false" ht="15" hidden="false" customHeight="true" outlineLevel="0" collapsed="false">
      <c r="A317" s="9" t="s">
        <v>162</v>
      </c>
      <c r="B317" s="9" t="s">
        <v>798</v>
      </c>
      <c r="C317" s="9" t="s">
        <v>839</v>
      </c>
      <c r="D317" s="5" t="s">
        <v>854</v>
      </c>
      <c r="E317" s="9" t="s">
        <v>109</v>
      </c>
      <c r="F317" s="18" t="n">
        <f aca="false">'15 MIX DESIGN LIBRARY'!J96</f>
        <v>0.0699586078237043</v>
      </c>
      <c r="G317" s="13" t="n">
        <f aca="false">N(INDEX('05 MATERIAL RATE LIBRARY'!$E$5:$E$400,MATCH("MAT-CRS-MGL",'05 MATERIAL RATE LIBRARY'!$A$5:$A$400,0)))</f>
        <v>180</v>
      </c>
      <c r="H317" s="19" t="n">
        <f aca="false">W_Agg</f>
        <v>0.05</v>
      </c>
      <c r="I317" s="18" t="n">
        <f aca="false">F317*(1+H317)</f>
        <v>0.0734565382148895</v>
      </c>
      <c r="J317" s="13" t="n">
        <f aca="false">I317*G317</f>
        <v>13.2221768786801</v>
      </c>
      <c r="K317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18" customFormat="false" ht="15" hidden="false" customHeight="true" outlineLevel="0" collapsed="false">
      <c r="A318" s="9" t="s">
        <v>162</v>
      </c>
      <c r="B318" s="9" t="s">
        <v>798</v>
      </c>
      <c r="C318" s="9" t="s">
        <v>839</v>
      </c>
      <c r="D318" s="5" t="s">
        <v>855</v>
      </c>
      <c r="E318" s="9" t="s">
        <v>109</v>
      </c>
      <c r="F318" s="18" t="n">
        <f aca="false">'15 MIX DESIGN LIBRARY'!J97</f>
        <v>0.491709072132322</v>
      </c>
      <c r="G318" s="13" t="n">
        <f aca="false">N(INDEX('05 MATERIAL RATE LIBRARY'!$E$5:$E$400,MATCH("MAT-CRS-MGL",'05 MATERIAL RATE LIBRARY'!$A$5:$A$400,0)))</f>
        <v>180</v>
      </c>
      <c r="H318" s="19" t="n">
        <f aca="false">W_Agg</f>
        <v>0.05</v>
      </c>
      <c r="I318" s="18" t="n">
        <f aca="false">F318*(1+H318)</f>
        <v>0.516294525738938</v>
      </c>
      <c r="J318" s="13" t="n">
        <f aca="false">I318*G318</f>
        <v>92.9330146330088</v>
      </c>
      <c r="K318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19" customFormat="false" ht="15" hidden="false" customHeight="true" outlineLevel="0" collapsed="false">
      <c r="A319" s="9" t="s">
        <v>162</v>
      </c>
      <c r="B319" s="9" t="s">
        <v>798</v>
      </c>
      <c r="C319" s="9" t="s">
        <v>839</v>
      </c>
      <c r="D319" s="5" t="s">
        <v>859</v>
      </c>
      <c r="E319" s="9" t="s">
        <v>109</v>
      </c>
      <c r="F319" s="18" t="n">
        <f aca="false">'15 MIX DESIGN LIBRARY'!J98</f>
        <v>0.140583488102873</v>
      </c>
      <c r="G319" s="13" t="n">
        <f aca="false">N(INDEX('05 MATERIAL RATE LIBRARY'!$E$5:$E$400,MATCH("MAT-CRS-MGL",'05 MATERIAL RATE LIBRARY'!$A$5:$A$400,0)))</f>
        <v>180</v>
      </c>
      <c r="H319" s="19" t="n">
        <f aca="false">W_Agg</f>
        <v>0.05</v>
      </c>
      <c r="I319" s="18" t="n">
        <f aca="false">F319*(1+H319)</f>
        <v>0.147612662508016</v>
      </c>
      <c r="J319" s="13" t="n">
        <f aca="false">I319*G319</f>
        <v>26.5702792514429</v>
      </c>
      <c r="K319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20" customFormat="false" ht="15" hidden="false" customHeight="true" outlineLevel="0" collapsed="false">
      <c r="A320" s="9" t="s">
        <v>162</v>
      </c>
      <c r="B320" s="9" t="s">
        <v>798</v>
      </c>
      <c r="C320" s="9" t="s">
        <v>805</v>
      </c>
      <c r="D320" s="5" t="s">
        <v>851</v>
      </c>
      <c r="E320" s="9" t="s">
        <v>109</v>
      </c>
      <c r="F320" s="18" t="n">
        <f aca="false">'15 MIX DESIGN LIBRARY'!J99</f>
        <v>0.422231661082008</v>
      </c>
      <c r="G320" s="13" t="n">
        <f aca="false">N(INDEX('05 MATERIAL RATE LIBRARY'!$E$5:$E$400,MATCH("MAT-SND-LWP",'05 MATERIAL RATE LIBRARY'!$A$5:$A$400,0)))</f>
        <v>240</v>
      </c>
      <c r="H320" s="19" t="n">
        <f aca="false">W_Agg</f>
        <v>0.05</v>
      </c>
      <c r="I320" s="18" t="n">
        <f aca="false">F320*(1+H320)</f>
        <v>0.443343244136108</v>
      </c>
      <c r="J320" s="13" t="n">
        <f aca="false">I320*G320</f>
        <v>106.402378592666</v>
      </c>
      <c r="K320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321" customFormat="false" ht="15" hidden="false" customHeight="true" outlineLevel="0" collapsed="false">
      <c r="A321" s="9" t="s">
        <v>162</v>
      </c>
      <c r="B321" s="9" t="s">
        <v>812</v>
      </c>
      <c r="C321" s="9" t="s">
        <v>813</v>
      </c>
      <c r="D321" s="5" t="s">
        <v>814</v>
      </c>
      <c r="E321" s="9" t="s">
        <v>815</v>
      </c>
      <c r="F321" s="18" t="n">
        <f aca="false">'13 PRODUCTIVITY LIBRARY'!E5/'13 PRODUCTIVITY LIBRARY'!D5</f>
        <v>0.01</v>
      </c>
      <c r="G321" s="13" t="n">
        <f aca="false">N(INDEX('06 LABOUR RATE LIBRARY'!$D$5:$D$100,MATCH("LAB-MSN",'06 LABOUR RATE LIBRARY'!$A$5:$A$100,0)))</f>
        <v>2200</v>
      </c>
      <c r="H321" s="21" t="n">
        <v>0</v>
      </c>
      <c r="I321" s="18" t="n">
        <f aca="false">F321*(1+H321)</f>
        <v>0.01</v>
      </c>
      <c r="J321" s="13" t="n">
        <f aca="false">I321*G321</f>
        <v>22</v>
      </c>
      <c r="K321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322" customFormat="false" ht="15" hidden="false" customHeight="true" outlineLevel="0" collapsed="false">
      <c r="A322" s="9" t="s">
        <v>162</v>
      </c>
      <c r="B322" s="9" t="s">
        <v>812</v>
      </c>
      <c r="C322" s="9" t="s">
        <v>816</v>
      </c>
      <c r="D322" s="5" t="s">
        <v>817</v>
      </c>
      <c r="E322" s="9" t="s">
        <v>815</v>
      </c>
      <c r="F322" s="18" t="n">
        <f aca="false">'13 PRODUCTIVITY LIBRARY'!F5/'13 PRODUCTIVITY LIBRARY'!D5</f>
        <v>0.08</v>
      </c>
      <c r="G322" s="13" t="n">
        <f aca="false">N(INDEX('06 LABOUR RATE LIBRARY'!$D$5:$D$100,MATCH("LAB-HLP",'06 LABOUR RATE LIBRARY'!$A$5:$A$100,0)))</f>
        <v>1538</v>
      </c>
      <c r="H322" s="21" t="n">
        <v>0</v>
      </c>
      <c r="I322" s="18" t="n">
        <f aca="false">F322*(1+H322)</f>
        <v>0.08</v>
      </c>
      <c r="J322" s="13" t="n">
        <f aca="false">I322*G322</f>
        <v>123.04</v>
      </c>
      <c r="K32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23" customFormat="false" ht="15" hidden="false" customHeight="true" outlineLevel="0" collapsed="false">
      <c r="A323" s="9" t="s">
        <v>162</v>
      </c>
      <c r="B323" s="9" t="s">
        <v>818</v>
      </c>
      <c r="C323" s="9" t="s">
        <v>819</v>
      </c>
      <c r="D323" s="5" t="s">
        <v>820</v>
      </c>
      <c r="E323" s="9" t="s">
        <v>815</v>
      </c>
      <c r="F323" s="18" t="n">
        <f aca="false">1/'13 PRODUCTIVITY LIBRARY'!D5</f>
        <v>0.01</v>
      </c>
      <c r="G323" s="13" t="n">
        <f aca="false">N(INDEX('07 EQUIPMENT RATE LIBRARY'!$D$5:$D$100,MATCH("EQ-VIB",'07 EQUIPMENT RATE LIBRARY'!$A$5:$A$100,0)))</f>
        <v>227</v>
      </c>
      <c r="H323" s="21" t="n">
        <v>0</v>
      </c>
      <c r="I323" s="18" t="n">
        <f aca="false">F323*(1+H323)</f>
        <v>0.01</v>
      </c>
      <c r="J323" s="13" t="n">
        <f aca="false">I323*G323</f>
        <v>2.27</v>
      </c>
      <c r="K323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324" customFormat="false" ht="21.75" hidden="false" customHeight="true" outlineLevel="0" collapsed="false">
      <c r="A324" s="9" t="s">
        <v>162</v>
      </c>
      <c r="B324" s="9" t="s">
        <v>818</v>
      </c>
      <c r="C324" s="9" t="s">
        <v>821</v>
      </c>
      <c r="D324" s="5" t="s">
        <v>822</v>
      </c>
      <c r="E324" s="9" t="s">
        <v>815</v>
      </c>
      <c r="F324" s="18" t="n">
        <f aca="false">1/'13 PRODUCTIVITY LIBRARY'!D5</f>
        <v>0.01</v>
      </c>
      <c r="G324" s="13" t="n">
        <f aca="false">N(INDEX('07 EQUIPMENT RATE LIBRARY'!$D$5:$D$100,MATCH("EQ-MIX",'07 EQUIPMENT RATE LIBRARY'!$A$5:$A$100,0)))</f>
        <v>3500</v>
      </c>
      <c r="H324" s="21" t="n">
        <v>0</v>
      </c>
      <c r="I324" s="18" t="n">
        <f aca="false">F324*(1+H324)</f>
        <v>0.01</v>
      </c>
      <c r="J324" s="13" t="n">
        <f aca="false">I324*G324</f>
        <v>35</v>
      </c>
      <c r="K324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325" customFormat="false" ht="15" hidden="false" customHeight="true" outlineLevel="0" collapsed="false">
      <c r="A325" s="9" t="s">
        <v>162</v>
      </c>
      <c r="B325" s="9" t="s">
        <v>818</v>
      </c>
      <c r="C325" s="9" t="s">
        <v>823</v>
      </c>
      <c r="D325" s="5" t="s">
        <v>824</v>
      </c>
      <c r="E325" s="9" t="s">
        <v>109</v>
      </c>
      <c r="F325" s="18" t="n">
        <v>1</v>
      </c>
      <c r="G325" s="13" t="n">
        <f aca="false">N(INDEX('07 EQUIPMENT RATE LIBRARY'!$D$5:$D$100,MATCH("EQ-PUMP",'07 EQUIPMENT RATE LIBRARY'!$A$5:$A$100,0)))</f>
        <v>28.32</v>
      </c>
      <c r="H325" s="21" t="n">
        <v>0</v>
      </c>
      <c r="I325" s="18" t="n">
        <f aca="false">F325*(1+H325)</f>
        <v>1</v>
      </c>
      <c r="J325" s="13" t="n">
        <f aca="false">I325*G325</f>
        <v>28.32</v>
      </c>
      <c r="K325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326" customFormat="false" ht="15" hidden="false" customHeight="true" outlineLevel="0" collapsed="false">
      <c r="D326" s="22" t="s">
        <v>825</v>
      </c>
      <c r="J326" s="23" t="n">
        <f aca="false">SUMPRODUCT((B314:B325="Material")*F314:F325*G314:G325)</f>
        <v>639.947010241163</v>
      </c>
    </row>
    <row r="327" customFormat="false" ht="15" hidden="false" customHeight="true" outlineLevel="0" collapsed="false">
      <c r="D327" s="22" t="s">
        <v>826</v>
      </c>
      <c r="J327" s="23" t="n">
        <f aca="false">SUMIF(B314:B325,"Material",J314:J325)-J326</f>
        <v>19.5565718061259</v>
      </c>
    </row>
    <row r="328" customFormat="false" ht="15" hidden="false" customHeight="true" outlineLevel="0" collapsed="false">
      <c r="D328" s="24" t="s">
        <v>827</v>
      </c>
      <c r="J328" s="14" t="n">
        <f aca="false">SUMIF(B314:B325,"Material",J314:J325)</f>
        <v>659.503582047289</v>
      </c>
    </row>
    <row r="329" customFormat="false" ht="15" hidden="false" customHeight="true" outlineLevel="0" collapsed="false">
      <c r="D329" s="24" t="s">
        <v>828</v>
      </c>
      <c r="J329" s="14" t="n">
        <f aca="false">SUMIF(B314:B325,"Labour",J314:J325)</f>
        <v>145.04</v>
      </c>
    </row>
    <row r="330" customFormat="false" ht="15" hidden="false" customHeight="true" outlineLevel="0" collapsed="false">
      <c r="D330" s="24" t="s">
        <v>829</v>
      </c>
      <c r="J330" s="14" t="n">
        <f aca="false">SUMIF(B314:B325,"Equipment",J314:J325)</f>
        <v>65.59</v>
      </c>
    </row>
    <row r="331" customFormat="false" ht="15" hidden="false" customHeight="true" outlineLevel="0" collapsed="false">
      <c r="D331" s="24" t="s">
        <v>830</v>
      </c>
      <c r="J331" s="14" t="n">
        <f aca="false">SUMIF(B314:B325,"Transport",J314:J325)</f>
        <v>0</v>
      </c>
    </row>
    <row r="332" customFormat="false" ht="15" hidden="false" customHeight="true" outlineLevel="0" collapsed="false">
      <c r="D332" s="24" t="s">
        <v>831</v>
      </c>
      <c r="J332" s="14" t="n">
        <f aca="false">J328+J329+J330+J331</f>
        <v>870.133582047289</v>
      </c>
    </row>
    <row r="333" customFormat="false" ht="15" hidden="false" customHeight="true" outlineLevel="0" collapsed="false">
      <c r="D333" s="22" t="s">
        <v>832</v>
      </c>
      <c r="J333" s="23" t="n">
        <f aca="false">J332*OH_Site</f>
        <v>26.1040074614187</v>
      </c>
    </row>
    <row r="334" customFormat="false" ht="15" hidden="false" customHeight="true" outlineLevel="0" collapsed="false">
      <c r="D334" s="22" t="s">
        <v>833</v>
      </c>
      <c r="J334" s="23" t="n">
        <f aca="false">J332*OH_HO</f>
        <v>43.5066791023644</v>
      </c>
    </row>
    <row r="335" customFormat="false" ht="15" hidden="false" customHeight="true" outlineLevel="0" collapsed="false">
      <c r="D335" s="22" t="s">
        <v>834</v>
      </c>
      <c r="J335" s="23" t="n">
        <f aca="false">J332*Profit</f>
        <v>87.0133582047289</v>
      </c>
    </row>
    <row r="336" customFormat="false" ht="15" hidden="false" customHeight="true" outlineLevel="0" collapsed="false">
      <c r="D336" s="24" t="s">
        <v>835</v>
      </c>
      <c r="J336" s="14" t="n">
        <f aca="false">J332+J333+J334+J335</f>
        <v>1026.7576268158</v>
      </c>
    </row>
    <row r="337" customFormat="false" ht="15" hidden="false" customHeight="true" outlineLevel="0" collapsed="false">
      <c r="D337" s="22" t="s">
        <v>836</v>
      </c>
      <c r="J337" s="23" t="n">
        <f aca="false">IF(Tax_On="Yes",J336*N(Tax_Rate),0)</f>
        <v>0</v>
      </c>
    </row>
    <row r="338" customFormat="false" ht="15" hidden="false" customHeight="true" outlineLevel="0" collapsed="false">
      <c r="D338" s="24" t="s">
        <v>837</v>
      </c>
      <c r="J338" s="14" t="n">
        <f aca="false">ROUND(J336+J337,0)</f>
        <v>1027</v>
      </c>
    </row>
    <row r="339" customFormat="false" ht="15" hidden="false" customHeight="true" outlineLevel="0" collapsed="false">
      <c r="D339" s="25" t="s">
        <v>838</v>
      </c>
      <c r="J339" s="26" t="n">
        <f aca="false">COUNTIF(K314:K325,"NO RATE")+COUNTIF(K314:K325,"OLD RATE")</f>
        <v>1</v>
      </c>
    </row>
    <row r="341" customFormat="false" ht="39.75" hidden="false" customHeight="true" outlineLevel="0" collapsed="false">
      <c r="A341" s="4" t="s">
        <v>166</v>
      </c>
      <c r="B341" s="16" t="s">
        <v>167</v>
      </c>
      <c r="C341" s="16"/>
      <c r="D341" s="16"/>
      <c r="E341" s="16"/>
      <c r="F341" s="16"/>
      <c r="G341" s="16"/>
      <c r="H341" s="16"/>
      <c r="I341" s="16"/>
      <c r="J341" s="4" t="s">
        <v>788</v>
      </c>
      <c r="K341" s="17"/>
    </row>
    <row r="342" customFormat="false" ht="21.75" hidden="false" customHeight="true" outlineLevel="0" collapsed="false">
      <c r="A342" s="12" t="s">
        <v>75</v>
      </c>
      <c r="B342" s="12" t="s">
        <v>789</v>
      </c>
      <c r="C342" s="12" t="s">
        <v>790</v>
      </c>
      <c r="D342" s="12" t="s">
        <v>791</v>
      </c>
      <c r="E342" s="12" t="s">
        <v>81</v>
      </c>
      <c r="F342" s="12" t="s">
        <v>792</v>
      </c>
      <c r="G342" s="12" t="s">
        <v>793</v>
      </c>
      <c r="H342" s="12" t="s">
        <v>794</v>
      </c>
      <c r="I342" s="12" t="s">
        <v>795</v>
      </c>
      <c r="J342" s="12" t="s">
        <v>796</v>
      </c>
      <c r="K342" s="12" t="s">
        <v>797</v>
      </c>
    </row>
    <row r="343" customFormat="false" ht="15" hidden="false" customHeight="true" outlineLevel="0" collapsed="false">
      <c r="A343" s="9" t="s">
        <v>166</v>
      </c>
      <c r="B343" s="9" t="s">
        <v>798</v>
      </c>
      <c r="C343" s="9" t="s">
        <v>799</v>
      </c>
      <c r="D343" s="5" t="s">
        <v>850</v>
      </c>
      <c r="E343" s="9" t="s">
        <v>801</v>
      </c>
      <c r="F343" s="18" t="n">
        <f aca="false">'15 MIX DESIGN LIBRARY'!J102</f>
        <v>0.263344188022087</v>
      </c>
      <c r="G343" s="13" t="n">
        <f aca="false">N(INDEX('05 MATERIAL RATE LIBRARY'!$E$5:$E$400,MATCH("MAT-CEM-OPC",'05 MATERIAL RATE LIBRARY'!$A$5:$A$400,0)))</f>
        <v>1575</v>
      </c>
      <c r="H343" s="19" t="n">
        <f aca="false">W_Cem</f>
        <v>0.02</v>
      </c>
      <c r="I343" s="18" t="n">
        <f aca="false">F343*(1+H343)</f>
        <v>0.268611071782529</v>
      </c>
      <c r="J343" s="13" t="n">
        <f aca="false">I343*G343</f>
        <v>423.062438057483</v>
      </c>
      <c r="K343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344" customFormat="false" ht="15" hidden="false" customHeight="true" outlineLevel="0" collapsed="false">
      <c r="A344" s="9" t="s">
        <v>166</v>
      </c>
      <c r="B344" s="9" t="s">
        <v>798</v>
      </c>
      <c r="C344" s="9" t="s">
        <v>809</v>
      </c>
      <c r="D344" s="5" t="s">
        <v>810</v>
      </c>
      <c r="E344" s="9" t="s">
        <v>811</v>
      </c>
      <c r="F344" s="18" t="n">
        <f aca="false">'15 MIX DESIGN LIBRARY'!J103</f>
        <v>5.26688376044174</v>
      </c>
      <c r="G344" s="13" t="n">
        <f aca="false">N(INDEX('05 MATERIAL RATE LIBRARY'!$E$5:$E$400,MATCH("MAT-WTR",'05 MATERIAL RATE LIBRARY'!$A$5:$A$400,0)))</f>
        <v>0.686</v>
      </c>
      <c r="H344" s="19" t="n">
        <f aca="false">W_Wtr</f>
        <v>0</v>
      </c>
      <c r="I344" s="18" t="n">
        <f aca="false">F344*(1+H344)</f>
        <v>5.26688376044174</v>
      </c>
      <c r="J344" s="13" t="n">
        <f aca="false">I344*G344</f>
        <v>3.61308225966303</v>
      </c>
      <c r="K344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345" customFormat="false" ht="15" hidden="false" customHeight="true" outlineLevel="0" collapsed="false">
      <c r="A345" s="9" t="s">
        <v>166</v>
      </c>
      <c r="B345" s="9" t="s">
        <v>798</v>
      </c>
      <c r="C345" s="9" t="s">
        <v>807</v>
      </c>
      <c r="D345" s="5" t="s">
        <v>861</v>
      </c>
      <c r="E345" s="9" t="s">
        <v>198</v>
      </c>
      <c r="F345" s="18" t="n">
        <f aca="false">'15 MIX DESIGN LIBRARY'!J104</f>
        <v>0.184340931615461</v>
      </c>
      <c r="G345" s="13" t="n">
        <f aca="false">N(INDEX('05 MATERIAL RATE LIBRARY'!$E$5:$E$400,MATCH("MAT-ADM-SP",'05 MATERIAL RATE LIBRARY'!$A$5:$A$400,0)))</f>
        <v>185</v>
      </c>
      <c r="H345" s="19" t="n">
        <f aca="false">W_Adm</f>
        <v>0.02</v>
      </c>
      <c r="I345" s="18" t="n">
        <f aca="false">F345*(1+H345)</f>
        <v>0.18802775024777</v>
      </c>
      <c r="J345" s="13" t="n">
        <f aca="false">I345*G345</f>
        <v>34.7851337958375</v>
      </c>
      <c r="K345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346" customFormat="false" ht="15" hidden="false" customHeight="true" outlineLevel="0" collapsed="false">
      <c r="A346" s="9" t="s">
        <v>166</v>
      </c>
      <c r="B346" s="9" t="s">
        <v>798</v>
      </c>
      <c r="C346" s="9" t="s">
        <v>839</v>
      </c>
      <c r="D346" s="5" t="s">
        <v>854</v>
      </c>
      <c r="E346" s="9" t="s">
        <v>109</v>
      </c>
      <c r="F346" s="18" t="n">
        <f aca="false">'15 MIX DESIGN LIBRARY'!J105</f>
        <v>0.0699586078237043</v>
      </c>
      <c r="G346" s="13" t="n">
        <f aca="false">N(INDEX('05 MATERIAL RATE LIBRARY'!$E$5:$E$400,MATCH("MAT-CRS-MGL",'05 MATERIAL RATE LIBRARY'!$A$5:$A$400,0)))</f>
        <v>180</v>
      </c>
      <c r="H346" s="19" t="n">
        <f aca="false">W_Agg</f>
        <v>0.05</v>
      </c>
      <c r="I346" s="18" t="n">
        <f aca="false">F346*(1+H346)</f>
        <v>0.0734565382148895</v>
      </c>
      <c r="J346" s="13" t="n">
        <f aca="false">I346*G346</f>
        <v>13.2221768786801</v>
      </c>
      <c r="K346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47" customFormat="false" ht="15" hidden="false" customHeight="true" outlineLevel="0" collapsed="false">
      <c r="A347" s="9" t="s">
        <v>166</v>
      </c>
      <c r="B347" s="9" t="s">
        <v>798</v>
      </c>
      <c r="C347" s="9" t="s">
        <v>839</v>
      </c>
      <c r="D347" s="5" t="s">
        <v>855</v>
      </c>
      <c r="E347" s="9" t="s">
        <v>109</v>
      </c>
      <c r="F347" s="18" t="n">
        <f aca="false">'15 MIX DESIGN LIBRARY'!J106</f>
        <v>0.491709072132322</v>
      </c>
      <c r="G347" s="13" t="n">
        <f aca="false">N(INDEX('05 MATERIAL RATE LIBRARY'!$E$5:$E$400,MATCH("MAT-CRS-MGL",'05 MATERIAL RATE LIBRARY'!$A$5:$A$400,0)))</f>
        <v>180</v>
      </c>
      <c r="H347" s="19" t="n">
        <f aca="false">W_Agg</f>
        <v>0.05</v>
      </c>
      <c r="I347" s="18" t="n">
        <f aca="false">F347*(1+H347)</f>
        <v>0.516294525738938</v>
      </c>
      <c r="J347" s="13" t="n">
        <f aca="false">I347*G347</f>
        <v>92.9330146330088</v>
      </c>
      <c r="K347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48" customFormat="false" ht="15" hidden="false" customHeight="true" outlineLevel="0" collapsed="false">
      <c r="A348" s="9" t="s">
        <v>166</v>
      </c>
      <c r="B348" s="9" t="s">
        <v>798</v>
      </c>
      <c r="C348" s="9" t="s">
        <v>839</v>
      </c>
      <c r="D348" s="5" t="s">
        <v>859</v>
      </c>
      <c r="E348" s="9" t="s">
        <v>109</v>
      </c>
      <c r="F348" s="18" t="n">
        <f aca="false">'15 MIX DESIGN LIBRARY'!J107</f>
        <v>0.140583488102873</v>
      </c>
      <c r="G348" s="13" t="n">
        <f aca="false">N(INDEX('05 MATERIAL RATE LIBRARY'!$E$5:$E$400,MATCH("MAT-CRS-MGL",'05 MATERIAL RATE LIBRARY'!$A$5:$A$400,0)))</f>
        <v>180</v>
      </c>
      <c r="H348" s="19" t="n">
        <f aca="false">W_Agg</f>
        <v>0.05</v>
      </c>
      <c r="I348" s="18" t="n">
        <f aca="false">F348*(1+H348)</f>
        <v>0.147612662508016</v>
      </c>
      <c r="J348" s="13" t="n">
        <f aca="false">I348*G348</f>
        <v>26.5702792514429</v>
      </c>
      <c r="K348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49" customFormat="false" ht="15" hidden="false" customHeight="true" outlineLevel="0" collapsed="false">
      <c r="A349" s="9" t="s">
        <v>166</v>
      </c>
      <c r="B349" s="9" t="s">
        <v>798</v>
      </c>
      <c r="C349" s="9" t="s">
        <v>805</v>
      </c>
      <c r="D349" s="5" t="s">
        <v>851</v>
      </c>
      <c r="E349" s="9" t="s">
        <v>109</v>
      </c>
      <c r="F349" s="18" t="n">
        <f aca="false">'15 MIX DESIGN LIBRARY'!J108</f>
        <v>0.408388000062926</v>
      </c>
      <c r="G349" s="13" t="n">
        <f aca="false">N(INDEX('05 MATERIAL RATE LIBRARY'!$E$5:$E$400,MATCH("MAT-SND-LWP",'05 MATERIAL RATE LIBRARY'!$A$5:$A$400,0)))</f>
        <v>240</v>
      </c>
      <c r="H349" s="19" t="n">
        <f aca="false">W_Agg</f>
        <v>0.05</v>
      </c>
      <c r="I349" s="18" t="n">
        <f aca="false">F349*(1+H349)</f>
        <v>0.428807400066072</v>
      </c>
      <c r="J349" s="13" t="n">
        <f aca="false">I349*G349</f>
        <v>102.913776015857</v>
      </c>
      <c r="K349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350" customFormat="false" ht="15" hidden="false" customHeight="true" outlineLevel="0" collapsed="false">
      <c r="A350" s="9" t="s">
        <v>166</v>
      </c>
      <c r="B350" s="9" t="s">
        <v>812</v>
      </c>
      <c r="C350" s="9" t="s">
        <v>813</v>
      </c>
      <c r="D350" s="5" t="s">
        <v>814</v>
      </c>
      <c r="E350" s="9" t="s">
        <v>815</v>
      </c>
      <c r="F350" s="18" t="n">
        <f aca="false">'13 PRODUCTIVITY LIBRARY'!E5/'13 PRODUCTIVITY LIBRARY'!D5</f>
        <v>0.01</v>
      </c>
      <c r="G350" s="13" t="n">
        <f aca="false">N(INDEX('06 LABOUR RATE LIBRARY'!$D$5:$D$100,MATCH("LAB-MSN",'06 LABOUR RATE LIBRARY'!$A$5:$A$100,0)))</f>
        <v>2200</v>
      </c>
      <c r="H350" s="21" t="n">
        <v>0</v>
      </c>
      <c r="I350" s="18" t="n">
        <f aca="false">F350*(1+H350)</f>
        <v>0.01</v>
      </c>
      <c r="J350" s="13" t="n">
        <f aca="false">I350*G350</f>
        <v>22</v>
      </c>
      <c r="K350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351" customFormat="false" ht="15" hidden="false" customHeight="true" outlineLevel="0" collapsed="false">
      <c r="A351" s="9" t="s">
        <v>166</v>
      </c>
      <c r="B351" s="9" t="s">
        <v>812</v>
      </c>
      <c r="C351" s="9" t="s">
        <v>816</v>
      </c>
      <c r="D351" s="5" t="s">
        <v>817</v>
      </c>
      <c r="E351" s="9" t="s">
        <v>815</v>
      </c>
      <c r="F351" s="18" t="n">
        <f aca="false">'13 PRODUCTIVITY LIBRARY'!F5/'13 PRODUCTIVITY LIBRARY'!D5</f>
        <v>0.08</v>
      </c>
      <c r="G351" s="13" t="n">
        <f aca="false">N(INDEX('06 LABOUR RATE LIBRARY'!$D$5:$D$100,MATCH("LAB-HLP",'06 LABOUR RATE LIBRARY'!$A$5:$A$100,0)))</f>
        <v>1538</v>
      </c>
      <c r="H351" s="21" t="n">
        <v>0</v>
      </c>
      <c r="I351" s="18" t="n">
        <f aca="false">F351*(1+H351)</f>
        <v>0.08</v>
      </c>
      <c r="J351" s="13" t="n">
        <f aca="false">I351*G351</f>
        <v>123.04</v>
      </c>
      <c r="K35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52" customFormat="false" ht="15" hidden="false" customHeight="true" outlineLevel="0" collapsed="false">
      <c r="A352" s="9" t="s">
        <v>166</v>
      </c>
      <c r="B352" s="9" t="s">
        <v>818</v>
      </c>
      <c r="C352" s="9" t="s">
        <v>819</v>
      </c>
      <c r="D352" s="5" t="s">
        <v>820</v>
      </c>
      <c r="E352" s="9" t="s">
        <v>815</v>
      </c>
      <c r="F352" s="18" t="n">
        <f aca="false">1/'13 PRODUCTIVITY LIBRARY'!D5</f>
        <v>0.01</v>
      </c>
      <c r="G352" s="13" t="n">
        <f aca="false">N(INDEX('07 EQUIPMENT RATE LIBRARY'!$D$5:$D$100,MATCH("EQ-VIB",'07 EQUIPMENT RATE LIBRARY'!$A$5:$A$100,0)))</f>
        <v>227</v>
      </c>
      <c r="H352" s="21" t="n">
        <v>0</v>
      </c>
      <c r="I352" s="18" t="n">
        <f aca="false">F352*(1+H352)</f>
        <v>0.01</v>
      </c>
      <c r="J352" s="13" t="n">
        <f aca="false">I352*G352</f>
        <v>2.27</v>
      </c>
      <c r="K352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353" customFormat="false" ht="21.75" hidden="false" customHeight="true" outlineLevel="0" collapsed="false">
      <c r="A353" s="9" t="s">
        <v>166</v>
      </c>
      <c r="B353" s="9" t="s">
        <v>818</v>
      </c>
      <c r="C353" s="9" t="s">
        <v>821</v>
      </c>
      <c r="D353" s="5" t="s">
        <v>822</v>
      </c>
      <c r="E353" s="9" t="s">
        <v>815</v>
      </c>
      <c r="F353" s="18" t="n">
        <f aca="false">1/'13 PRODUCTIVITY LIBRARY'!D5</f>
        <v>0.01</v>
      </c>
      <c r="G353" s="13" t="n">
        <f aca="false">N(INDEX('07 EQUIPMENT RATE LIBRARY'!$D$5:$D$100,MATCH("EQ-MIX",'07 EQUIPMENT RATE LIBRARY'!$A$5:$A$100,0)))</f>
        <v>3500</v>
      </c>
      <c r="H353" s="21" t="n">
        <v>0</v>
      </c>
      <c r="I353" s="18" t="n">
        <f aca="false">F353*(1+H353)</f>
        <v>0.01</v>
      </c>
      <c r="J353" s="13" t="n">
        <f aca="false">I353*G353</f>
        <v>35</v>
      </c>
      <c r="K353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354" customFormat="false" ht="15" hidden="false" customHeight="true" outlineLevel="0" collapsed="false">
      <c r="A354" s="9" t="s">
        <v>166</v>
      </c>
      <c r="B354" s="9" t="s">
        <v>818</v>
      </c>
      <c r="C354" s="9" t="s">
        <v>823</v>
      </c>
      <c r="D354" s="5" t="s">
        <v>824</v>
      </c>
      <c r="E354" s="9" t="s">
        <v>109</v>
      </c>
      <c r="F354" s="18" t="n">
        <v>1</v>
      </c>
      <c r="G354" s="13" t="n">
        <f aca="false">N(INDEX('07 EQUIPMENT RATE LIBRARY'!$D$5:$D$100,MATCH("EQ-PUMP",'07 EQUIPMENT RATE LIBRARY'!$A$5:$A$100,0)))</f>
        <v>28.32</v>
      </c>
      <c r="H354" s="21" t="n">
        <v>0</v>
      </c>
      <c r="I354" s="18" t="n">
        <f aca="false">F354*(1+H354)</f>
        <v>1</v>
      </c>
      <c r="J354" s="13" t="n">
        <f aca="false">I354*G354</f>
        <v>28.32</v>
      </c>
      <c r="K354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355" customFormat="false" ht="15" hidden="false" customHeight="true" outlineLevel="0" collapsed="false">
      <c r="D355" s="22" t="s">
        <v>825</v>
      </c>
      <c r="J355" s="23" t="n">
        <f aca="false">SUMPRODUCT((B343:B354="Material")*F343:F354*G343:G354)</f>
        <v>676.901581009014</v>
      </c>
    </row>
    <row r="356" customFormat="false" ht="15" hidden="false" customHeight="true" outlineLevel="0" collapsed="false">
      <c r="D356" s="22" t="s">
        <v>826</v>
      </c>
      <c r="J356" s="23" t="n">
        <f aca="false">SUMIF(B343:B354,"Material",J343:J354)-J355</f>
        <v>20.1983198829582</v>
      </c>
    </row>
    <row r="357" customFormat="false" ht="15" hidden="false" customHeight="true" outlineLevel="0" collapsed="false">
      <c r="D357" s="24" t="s">
        <v>827</v>
      </c>
      <c r="J357" s="14" t="n">
        <f aca="false">SUMIF(B343:B354,"Material",J343:J354)</f>
        <v>697.099900891972</v>
      </c>
    </row>
    <row r="358" customFormat="false" ht="15" hidden="false" customHeight="true" outlineLevel="0" collapsed="false">
      <c r="D358" s="24" t="s">
        <v>828</v>
      </c>
      <c r="J358" s="14" t="n">
        <f aca="false">SUMIF(B343:B354,"Labour",J343:J354)</f>
        <v>145.04</v>
      </c>
    </row>
    <row r="359" customFormat="false" ht="15" hidden="false" customHeight="true" outlineLevel="0" collapsed="false">
      <c r="D359" s="24" t="s">
        <v>829</v>
      </c>
      <c r="J359" s="14" t="n">
        <f aca="false">SUMIF(B343:B354,"Equipment",J343:J354)</f>
        <v>65.59</v>
      </c>
    </row>
    <row r="360" customFormat="false" ht="15" hidden="false" customHeight="true" outlineLevel="0" collapsed="false">
      <c r="D360" s="24" t="s">
        <v>830</v>
      </c>
      <c r="J360" s="14" t="n">
        <f aca="false">SUMIF(B343:B354,"Transport",J343:J354)</f>
        <v>0</v>
      </c>
    </row>
    <row r="361" customFormat="false" ht="15" hidden="false" customHeight="true" outlineLevel="0" collapsed="false">
      <c r="D361" s="24" t="s">
        <v>831</v>
      </c>
      <c r="J361" s="14" t="n">
        <f aca="false">J357+J358+J359+J360</f>
        <v>907.729900891973</v>
      </c>
    </row>
    <row r="362" customFormat="false" ht="15" hidden="false" customHeight="true" outlineLevel="0" collapsed="false">
      <c r="D362" s="22" t="s">
        <v>832</v>
      </c>
      <c r="J362" s="23" t="n">
        <f aca="false">J361*OH_Site</f>
        <v>27.2318970267592</v>
      </c>
    </row>
    <row r="363" customFormat="false" ht="15" hidden="false" customHeight="true" outlineLevel="0" collapsed="false">
      <c r="D363" s="22" t="s">
        <v>833</v>
      </c>
      <c r="J363" s="23" t="n">
        <f aca="false">J361*OH_HO</f>
        <v>45.3864950445986</v>
      </c>
    </row>
    <row r="364" customFormat="false" ht="15" hidden="false" customHeight="true" outlineLevel="0" collapsed="false">
      <c r="D364" s="22" t="s">
        <v>834</v>
      </c>
      <c r="J364" s="23" t="n">
        <f aca="false">J361*Profit</f>
        <v>90.7729900891973</v>
      </c>
    </row>
    <row r="365" customFormat="false" ht="15" hidden="false" customHeight="true" outlineLevel="0" collapsed="false">
      <c r="D365" s="24" t="s">
        <v>835</v>
      </c>
      <c r="J365" s="14" t="n">
        <f aca="false">J361+J362+J363+J364</f>
        <v>1071.12128305253</v>
      </c>
    </row>
    <row r="366" customFormat="false" ht="15" hidden="false" customHeight="true" outlineLevel="0" collapsed="false">
      <c r="D366" s="22" t="s">
        <v>836</v>
      </c>
      <c r="J366" s="23" t="n">
        <f aca="false">IF(Tax_On="Yes",J365*N(Tax_Rate),0)</f>
        <v>0</v>
      </c>
    </row>
    <row r="367" customFormat="false" ht="15" hidden="false" customHeight="true" outlineLevel="0" collapsed="false">
      <c r="D367" s="24" t="s">
        <v>837</v>
      </c>
      <c r="J367" s="14" t="n">
        <f aca="false">ROUND(J365+J366,0)</f>
        <v>1071</v>
      </c>
    </row>
    <row r="368" customFormat="false" ht="15" hidden="false" customHeight="true" outlineLevel="0" collapsed="false">
      <c r="D368" s="25" t="s">
        <v>838</v>
      </c>
      <c r="J368" s="26" t="n">
        <f aca="false">COUNTIF(K343:K354,"NO RATE")+COUNTIF(K343:K354,"OLD RATE")</f>
        <v>1</v>
      </c>
    </row>
    <row r="370" customFormat="false" ht="39.75" hidden="false" customHeight="true" outlineLevel="0" collapsed="false">
      <c r="A370" s="4" t="s">
        <v>170</v>
      </c>
      <c r="B370" s="16" t="s">
        <v>171</v>
      </c>
      <c r="C370" s="16"/>
      <c r="D370" s="16"/>
      <c r="E370" s="16"/>
      <c r="F370" s="16"/>
      <c r="G370" s="16"/>
      <c r="H370" s="16"/>
      <c r="I370" s="16"/>
      <c r="J370" s="4" t="s">
        <v>788</v>
      </c>
      <c r="K370" s="17"/>
    </row>
    <row r="371" customFormat="false" ht="21.75" hidden="false" customHeight="true" outlineLevel="0" collapsed="false">
      <c r="A371" s="12" t="s">
        <v>75</v>
      </c>
      <c r="B371" s="12" t="s">
        <v>789</v>
      </c>
      <c r="C371" s="12" t="s">
        <v>790</v>
      </c>
      <c r="D371" s="12" t="s">
        <v>791</v>
      </c>
      <c r="E371" s="12" t="s">
        <v>81</v>
      </c>
      <c r="F371" s="12" t="s">
        <v>792</v>
      </c>
      <c r="G371" s="12" t="s">
        <v>793</v>
      </c>
      <c r="H371" s="12" t="s">
        <v>794</v>
      </c>
      <c r="I371" s="12" t="s">
        <v>795</v>
      </c>
      <c r="J371" s="12" t="s">
        <v>796</v>
      </c>
      <c r="K371" s="12" t="s">
        <v>797</v>
      </c>
    </row>
    <row r="372" customFormat="false" ht="15" hidden="false" customHeight="true" outlineLevel="0" collapsed="false">
      <c r="A372" s="9" t="s">
        <v>170</v>
      </c>
      <c r="B372" s="9" t="s">
        <v>798</v>
      </c>
      <c r="C372" s="9" t="s">
        <v>799</v>
      </c>
      <c r="D372" s="5" t="s">
        <v>850</v>
      </c>
      <c r="E372" s="9" t="s">
        <v>801</v>
      </c>
      <c r="F372" s="18" t="n">
        <f aca="false">'15 MIX DESIGN LIBRARY'!J111</f>
        <v>0.291660767379301</v>
      </c>
      <c r="G372" s="13" t="n">
        <f aca="false">N(INDEX('05 MATERIAL RATE LIBRARY'!$E$5:$E$400,MATCH("MAT-CEM-OPC",'05 MATERIAL RATE LIBRARY'!$A$5:$A$400,0)))</f>
        <v>1575</v>
      </c>
      <c r="H372" s="19" t="n">
        <f aca="false">W_Cem</f>
        <v>0.02</v>
      </c>
      <c r="I372" s="18" t="n">
        <f aca="false">F372*(1+H372)</f>
        <v>0.297493982726887</v>
      </c>
      <c r="J372" s="13" t="n">
        <f aca="false">I372*G372</f>
        <v>468.553022794846</v>
      </c>
      <c r="K372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373" customFormat="false" ht="15" hidden="false" customHeight="true" outlineLevel="0" collapsed="false">
      <c r="A373" s="9" t="s">
        <v>170</v>
      </c>
      <c r="B373" s="9" t="s">
        <v>798</v>
      </c>
      <c r="C373" s="9" t="s">
        <v>809</v>
      </c>
      <c r="D373" s="5" t="s">
        <v>810</v>
      </c>
      <c r="E373" s="9" t="s">
        <v>811</v>
      </c>
      <c r="F373" s="18" t="n">
        <f aca="false">'15 MIX DESIGN LIBRARY'!J112</f>
        <v>5.40846665722781</v>
      </c>
      <c r="G373" s="13" t="n">
        <f aca="false">N(INDEX('05 MATERIAL RATE LIBRARY'!$E$5:$E$400,MATCH("MAT-WTR",'05 MATERIAL RATE LIBRARY'!$A$5:$A$400,0)))</f>
        <v>0.686</v>
      </c>
      <c r="H373" s="19" t="n">
        <f aca="false">W_Wtr</f>
        <v>0</v>
      </c>
      <c r="I373" s="18" t="n">
        <f aca="false">F373*(1+H373)</f>
        <v>5.40846665722781</v>
      </c>
      <c r="J373" s="13" t="n">
        <f aca="false">I373*G373</f>
        <v>3.71020812685828</v>
      </c>
      <c r="K37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374" customFormat="false" ht="15" hidden="false" customHeight="true" outlineLevel="0" collapsed="false">
      <c r="A374" s="9" t="s">
        <v>170</v>
      </c>
      <c r="B374" s="9" t="s">
        <v>798</v>
      </c>
      <c r="C374" s="9" t="s">
        <v>807</v>
      </c>
      <c r="D374" s="5" t="s">
        <v>862</v>
      </c>
      <c r="E374" s="9" t="s">
        <v>198</v>
      </c>
      <c r="F374" s="18" t="n">
        <f aca="false">'15 MIX DESIGN LIBRARY'!J113</f>
        <v>0.206427863514088</v>
      </c>
      <c r="G374" s="13" t="n">
        <f aca="false">N(INDEX('05 MATERIAL RATE LIBRARY'!$E$5:$E$400,MATCH("MAT-ADM-SP",'05 MATERIAL RATE LIBRARY'!$A$5:$A$400,0)))</f>
        <v>185</v>
      </c>
      <c r="H374" s="19" t="n">
        <f aca="false">W_Adm</f>
        <v>0.02</v>
      </c>
      <c r="I374" s="18" t="n">
        <f aca="false">F374*(1+H374)</f>
        <v>0.210556420784369</v>
      </c>
      <c r="J374" s="13" t="n">
        <f aca="false">I374*G374</f>
        <v>38.9529378451083</v>
      </c>
      <c r="K374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375" customFormat="false" ht="15" hidden="false" customHeight="true" outlineLevel="0" collapsed="false">
      <c r="A375" s="9" t="s">
        <v>170</v>
      </c>
      <c r="B375" s="9" t="s">
        <v>798</v>
      </c>
      <c r="C375" s="9" t="s">
        <v>839</v>
      </c>
      <c r="D375" s="5" t="s">
        <v>854</v>
      </c>
      <c r="E375" s="9" t="s">
        <v>109</v>
      </c>
      <c r="F375" s="18" t="n">
        <f aca="false">'15 MIX DESIGN LIBRARY'!J114</f>
        <v>0.0699586078237043</v>
      </c>
      <c r="G375" s="13" t="n">
        <f aca="false">N(INDEX('05 MATERIAL RATE LIBRARY'!$E$5:$E$400,MATCH("MAT-CRS-MGL",'05 MATERIAL RATE LIBRARY'!$A$5:$A$400,0)))</f>
        <v>180</v>
      </c>
      <c r="H375" s="19" t="n">
        <f aca="false">W_Agg</f>
        <v>0.05</v>
      </c>
      <c r="I375" s="18" t="n">
        <f aca="false">F375*(1+H375)</f>
        <v>0.0734565382148895</v>
      </c>
      <c r="J375" s="13" t="n">
        <f aca="false">I375*G375</f>
        <v>13.2221768786801</v>
      </c>
      <c r="K375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76" customFormat="false" ht="15" hidden="false" customHeight="true" outlineLevel="0" collapsed="false">
      <c r="A376" s="9" t="s">
        <v>170</v>
      </c>
      <c r="B376" s="9" t="s">
        <v>798</v>
      </c>
      <c r="C376" s="9" t="s">
        <v>839</v>
      </c>
      <c r="D376" s="5" t="s">
        <v>855</v>
      </c>
      <c r="E376" s="9" t="s">
        <v>109</v>
      </c>
      <c r="F376" s="18" t="n">
        <f aca="false">'15 MIX DESIGN LIBRARY'!J115</f>
        <v>0.491709072132322</v>
      </c>
      <c r="G376" s="13" t="n">
        <f aca="false">N(INDEX('05 MATERIAL RATE LIBRARY'!$E$5:$E$400,MATCH("MAT-CRS-MGL",'05 MATERIAL RATE LIBRARY'!$A$5:$A$400,0)))</f>
        <v>180</v>
      </c>
      <c r="H376" s="19" t="n">
        <f aca="false">W_Agg</f>
        <v>0.05</v>
      </c>
      <c r="I376" s="18" t="n">
        <f aca="false">F376*(1+H376)</f>
        <v>0.516294525738938</v>
      </c>
      <c r="J376" s="13" t="n">
        <f aca="false">I376*G376</f>
        <v>92.9330146330088</v>
      </c>
      <c r="K376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77" customFormat="false" ht="15" hidden="false" customHeight="true" outlineLevel="0" collapsed="false">
      <c r="A377" s="9" t="s">
        <v>170</v>
      </c>
      <c r="B377" s="9" t="s">
        <v>798</v>
      </c>
      <c r="C377" s="9" t="s">
        <v>839</v>
      </c>
      <c r="D377" s="5" t="s">
        <v>859</v>
      </c>
      <c r="E377" s="9" t="s">
        <v>109</v>
      </c>
      <c r="F377" s="18" t="n">
        <f aca="false">'15 MIX DESIGN LIBRARY'!J116</f>
        <v>0.140583488102873</v>
      </c>
      <c r="G377" s="13" t="n">
        <f aca="false">N(INDEX('05 MATERIAL RATE LIBRARY'!$E$5:$E$400,MATCH("MAT-CRS-MGL",'05 MATERIAL RATE LIBRARY'!$A$5:$A$400,0)))</f>
        <v>180</v>
      </c>
      <c r="H377" s="19" t="n">
        <f aca="false">W_Agg</f>
        <v>0.05</v>
      </c>
      <c r="I377" s="18" t="n">
        <f aca="false">F377*(1+H377)</f>
        <v>0.147612662508016</v>
      </c>
      <c r="J377" s="13" t="n">
        <f aca="false">I377*G377</f>
        <v>26.5702792514429</v>
      </c>
      <c r="K377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378" customFormat="false" ht="15" hidden="false" customHeight="true" outlineLevel="0" collapsed="false">
      <c r="A378" s="9" t="s">
        <v>170</v>
      </c>
      <c r="B378" s="9" t="s">
        <v>798</v>
      </c>
      <c r="C378" s="9" t="s">
        <v>805</v>
      </c>
      <c r="D378" s="5" t="s">
        <v>851</v>
      </c>
      <c r="E378" s="9" t="s">
        <v>109</v>
      </c>
      <c r="F378" s="18" t="n">
        <f aca="false">'15 MIX DESIGN LIBRARY'!J117</f>
        <v>0.373149590196171</v>
      </c>
      <c r="G378" s="13" t="n">
        <f aca="false">N(INDEX('05 MATERIAL RATE LIBRARY'!$E$5:$E$400,MATCH("MAT-SND-LWP",'05 MATERIAL RATE LIBRARY'!$A$5:$A$400,0)))</f>
        <v>240</v>
      </c>
      <c r="H378" s="19" t="n">
        <f aca="false">W_Agg</f>
        <v>0.05</v>
      </c>
      <c r="I378" s="18" t="n">
        <f aca="false">F378*(1+H378)</f>
        <v>0.39180706970598</v>
      </c>
      <c r="J378" s="13" t="n">
        <f aca="false">I378*G378</f>
        <v>94.0336967294351</v>
      </c>
      <c r="K378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379" customFormat="false" ht="15" hidden="false" customHeight="true" outlineLevel="0" collapsed="false">
      <c r="A379" s="9" t="s">
        <v>170</v>
      </c>
      <c r="B379" s="9" t="s">
        <v>812</v>
      </c>
      <c r="C379" s="9" t="s">
        <v>813</v>
      </c>
      <c r="D379" s="5" t="s">
        <v>814</v>
      </c>
      <c r="E379" s="9" t="s">
        <v>815</v>
      </c>
      <c r="F379" s="18" t="n">
        <f aca="false">'13 PRODUCTIVITY LIBRARY'!E5/'13 PRODUCTIVITY LIBRARY'!D5</f>
        <v>0.01</v>
      </c>
      <c r="G379" s="13" t="n">
        <f aca="false">N(INDEX('06 LABOUR RATE LIBRARY'!$D$5:$D$100,MATCH("LAB-MSN",'06 LABOUR RATE LIBRARY'!$A$5:$A$100,0)))</f>
        <v>2200</v>
      </c>
      <c r="H379" s="21" t="n">
        <v>0</v>
      </c>
      <c r="I379" s="18" t="n">
        <f aca="false">F379*(1+H379)</f>
        <v>0.01</v>
      </c>
      <c r="J379" s="13" t="n">
        <f aca="false">I379*G379</f>
        <v>22</v>
      </c>
      <c r="K37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380" customFormat="false" ht="15" hidden="false" customHeight="true" outlineLevel="0" collapsed="false">
      <c r="A380" s="9" t="s">
        <v>170</v>
      </c>
      <c r="B380" s="9" t="s">
        <v>812</v>
      </c>
      <c r="C380" s="9" t="s">
        <v>816</v>
      </c>
      <c r="D380" s="5" t="s">
        <v>817</v>
      </c>
      <c r="E380" s="9" t="s">
        <v>815</v>
      </c>
      <c r="F380" s="18" t="n">
        <f aca="false">'13 PRODUCTIVITY LIBRARY'!F5/'13 PRODUCTIVITY LIBRARY'!D5</f>
        <v>0.08</v>
      </c>
      <c r="G380" s="13" t="n">
        <f aca="false">N(INDEX('06 LABOUR RATE LIBRARY'!$D$5:$D$100,MATCH("LAB-HLP",'06 LABOUR RATE LIBRARY'!$A$5:$A$100,0)))</f>
        <v>1538</v>
      </c>
      <c r="H380" s="21" t="n">
        <v>0</v>
      </c>
      <c r="I380" s="18" t="n">
        <f aca="false">F380*(1+H380)</f>
        <v>0.08</v>
      </c>
      <c r="J380" s="13" t="n">
        <f aca="false">I380*G380</f>
        <v>123.04</v>
      </c>
      <c r="K38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81" customFormat="false" ht="15" hidden="false" customHeight="true" outlineLevel="0" collapsed="false">
      <c r="A381" s="9" t="s">
        <v>170</v>
      </c>
      <c r="B381" s="9" t="s">
        <v>818</v>
      </c>
      <c r="C381" s="9" t="s">
        <v>819</v>
      </c>
      <c r="D381" s="5" t="s">
        <v>820</v>
      </c>
      <c r="E381" s="9" t="s">
        <v>815</v>
      </c>
      <c r="F381" s="18" t="n">
        <f aca="false">1/'13 PRODUCTIVITY LIBRARY'!D5</f>
        <v>0.01</v>
      </c>
      <c r="G381" s="13" t="n">
        <f aca="false">N(INDEX('07 EQUIPMENT RATE LIBRARY'!$D$5:$D$100,MATCH("EQ-VIB",'07 EQUIPMENT RATE LIBRARY'!$A$5:$A$100,0)))</f>
        <v>227</v>
      </c>
      <c r="H381" s="21" t="n">
        <v>0</v>
      </c>
      <c r="I381" s="18" t="n">
        <f aca="false">F381*(1+H381)</f>
        <v>0.01</v>
      </c>
      <c r="J381" s="13" t="n">
        <f aca="false">I381*G381</f>
        <v>2.27</v>
      </c>
      <c r="K381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382" customFormat="false" ht="21.75" hidden="false" customHeight="true" outlineLevel="0" collapsed="false">
      <c r="A382" s="9" t="s">
        <v>170</v>
      </c>
      <c r="B382" s="9" t="s">
        <v>818</v>
      </c>
      <c r="C382" s="9" t="s">
        <v>821</v>
      </c>
      <c r="D382" s="5" t="s">
        <v>822</v>
      </c>
      <c r="E382" s="9" t="s">
        <v>815</v>
      </c>
      <c r="F382" s="18" t="n">
        <f aca="false">1/'13 PRODUCTIVITY LIBRARY'!D5</f>
        <v>0.01</v>
      </c>
      <c r="G382" s="13" t="n">
        <f aca="false">N(INDEX('07 EQUIPMENT RATE LIBRARY'!$D$5:$D$100,MATCH("EQ-MIX",'07 EQUIPMENT RATE LIBRARY'!$A$5:$A$100,0)))</f>
        <v>3500</v>
      </c>
      <c r="H382" s="21" t="n">
        <v>0</v>
      </c>
      <c r="I382" s="18" t="n">
        <f aca="false">F382*(1+H382)</f>
        <v>0.01</v>
      </c>
      <c r="J382" s="13" t="n">
        <f aca="false">I382*G382</f>
        <v>35</v>
      </c>
      <c r="K382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383" customFormat="false" ht="15" hidden="false" customHeight="true" outlineLevel="0" collapsed="false">
      <c r="A383" s="9" t="s">
        <v>170</v>
      </c>
      <c r="B383" s="9" t="s">
        <v>818</v>
      </c>
      <c r="C383" s="9" t="s">
        <v>823</v>
      </c>
      <c r="D383" s="5" t="s">
        <v>824</v>
      </c>
      <c r="E383" s="9" t="s">
        <v>109</v>
      </c>
      <c r="F383" s="18" t="n">
        <v>1</v>
      </c>
      <c r="G383" s="13" t="n">
        <f aca="false">N(INDEX('07 EQUIPMENT RATE LIBRARY'!$D$5:$D$100,MATCH("EQ-PUMP",'07 EQUIPMENT RATE LIBRARY'!$A$5:$A$100,0)))</f>
        <v>28.32</v>
      </c>
      <c r="H383" s="21" t="n">
        <v>0</v>
      </c>
      <c r="I383" s="18" t="n">
        <f aca="false">F383*(1+H383)</f>
        <v>1</v>
      </c>
      <c r="J383" s="13" t="n">
        <f aca="false">I383*G383</f>
        <v>28.32</v>
      </c>
      <c r="K383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384" customFormat="false" ht="15" hidden="false" customHeight="true" outlineLevel="0" collapsed="false">
      <c r="D384" s="22" t="s">
        <v>825</v>
      </c>
      <c r="J384" s="23" t="n">
        <f aca="false">SUMPRODUCT((B372:B383="Material")*F372:F383*G372:G383)</f>
        <v>717.226183397046</v>
      </c>
    </row>
    <row r="385" customFormat="false" ht="15" hidden="false" customHeight="true" outlineLevel="0" collapsed="false">
      <c r="D385" s="22" t="s">
        <v>826</v>
      </c>
      <c r="J385" s="23" t="n">
        <f aca="false">SUMIF(B372:B383,"Material",J372:J383)-J384</f>
        <v>20.7491528623342</v>
      </c>
    </row>
    <row r="386" customFormat="false" ht="15" hidden="false" customHeight="true" outlineLevel="0" collapsed="false">
      <c r="D386" s="24" t="s">
        <v>827</v>
      </c>
      <c r="J386" s="14" t="n">
        <f aca="false">SUMIF(B372:B383,"Material",J372:J383)</f>
        <v>737.97533625938</v>
      </c>
    </row>
    <row r="387" customFormat="false" ht="15" hidden="false" customHeight="true" outlineLevel="0" collapsed="false">
      <c r="D387" s="24" t="s">
        <v>828</v>
      </c>
      <c r="J387" s="14" t="n">
        <f aca="false">SUMIF(B372:B383,"Labour",J372:J383)</f>
        <v>145.04</v>
      </c>
    </row>
    <row r="388" customFormat="false" ht="15" hidden="false" customHeight="true" outlineLevel="0" collapsed="false">
      <c r="D388" s="24" t="s">
        <v>829</v>
      </c>
      <c r="J388" s="14" t="n">
        <f aca="false">SUMIF(B372:B383,"Equipment",J372:J383)</f>
        <v>65.59</v>
      </c>
    </row>
    <row r="389" customFormat="false" ht="15" hidden="false" customHeight="true" outlineLevel="0" collapsed="false">
      <c r="D389" s="24" t="s">
        <v>830</v>
      </c>
      <c r="J389" s="14" t="n">
        <f aca="false">SUMIF(B372:B383,"Transport",J372:J383)</f>
        <v>0</v>
      </c>
    </row>
    <row r="390" customFormat="false" ht="15" hidden="false" customHeight="true" outlineLevel="0" collapsed="false">
      <c r="D390" s="24" t="s">
        <v>831</v>
      </c>
      <c r="J390" s="14" t="n">
        <f aca="false">J386+J387+J388+J389</f>
        <v>948.60533625938</v>
      </c>
    </row>
    <row r="391" customFormat="false" ht="15" hidden="false" customHeight="true" outlineLevel="0" collapsed="false">
      <c r="D391" s="22" t="s">
        <v>832</v>
      </c>
      <c r="J391" s="23" t="n">
        <f aca="false">J390*OH_Site</f>
        <v>28.4581600877814</v>
      </c>
    </row>
    <row r="392" customFormat="false" ht="15" hidden="false" customHeight="true" outlineLevel="0" collapsed="false">
      <c r="D392" s="22" t="s">
        <v>833</v>
      </c>
      <c r="J392" s="23" t="n">
        <f aca="false">J390*OH_HO</f>
        <v>47.430266812969</v>
      </c>
    </row>
    <row r="393" customFormat="false" ht="15" hidden="false" customHeight="true" outlineLevel="0" collapsed="false">
      <c r="D393" s="22" t="s">
        <v>834</v>
      </c>
      <c r="J393" s="23" t="n">
        <f aca="false">J390*Profit</f>
        <v>94.860533625938</v>
      </c>
    </row>
    <row r="394" customFormat="false" ht="15" hidden="false" customHeight="true" outlineLevel="0" collapsed="false">
      <c r="D394" s="24" t="s">
        <v>835</v>
      </c>
      <c r="J394" s="14" t="n">
        <f aca="false">J390+J391+J392+J393</f>
        <v>1119.35429678607</v>
      </c>
    </row>
    <row r="395" customFormat="false" ht="15" hidden="false" customHeight="true" outlineLevel="0" collapsed="false">
      <c r="D395" s="22" t="s">
        <v>836</v>
      </c>
      <c r="J395" s="23" t="n">
        <f aca="false">IF(Tax_On="Yes",J394*N(Tax_Rate),0)</f>
        <v>0</v>
      </c>
    </row>
    <row r="396" customFormat="false" ht="15" hidden="false" customHeight="true" outlineLevel="0" collapsed="false">
      <c r="D396" s="24" t="s">
        <v>837</v>
      </c>
      <c r="J396" s="14" t="n">
        <f aca="false">ROUND(J394+J395,0)</f>
        <v>1119</v>
      </c>
    </row>
    <row r="397" customFormat="false" ht="15" hidden="false" customHeight="true" outlineLevel="0" collapsed="false">
      <c r="D397" s="25" t="s">
        <v>838</v>
      </c>
      <c r="J397" s="26" t="n">
        <f aca="false">COUNTIF(K372:K383,"NO RATE")+COUNTIF(K372:K383,"OLD RATE")</f>
        <v>1</v>
      </c>
    </row>
    <row r="399" customFormat="false" ht="39.75" hidden="false" customHeight="true" outlineLevel="0" collapsed="false">
      <c r="A399" s="4" t="s">
        <v>174</v>
      </c>
      <c r="B399" s="16" t="s">
        <v>176</v>
      </c>
      <c r="C399" s="16"/>
      <c r="D399" s="16"/>
      <c r="E399" s="16"/>
      <c r="F399" s="16"/>
      <c r="G399" s="16"/>
      <c r="H399" s="16"/>
      <c r="I399" s="16"/>
      <c r="J399" s="4" t="s">
        <v>788</v>
      </c>
      <c r="K399" s="17"/>
    </row>
    <row r="400" customFormat="false" ht="21.75" hidden="false" customHeight="true" outlineLevel="0" collapsed="false">
      <c r="A400" s="12" t="s">
        <v>75</v>
      </c>
      <c r="B400" s="12" t="s">
        <v>789</v>
      </c>
      <c r="C400" s="12" t="s">
        <v>790</v>
      </c>
      <c r="D400" s="12" t="s">
        <v>791</v>
      </c>
      <c r="E400" s="12" t="s">
        <v>81</v>
      </c>
      <c r="F400" s="12" t="s">
        <v>792</v>
      </c>
      <c r="G400" s="12" t="s">
        <v>793</v>
      </c>
      <c r="H400" s="12" t="s">
        <v>794</v>
      </c>
      <c r="I400" s="12" t="s">
        <v>795</v>
      </c>
      <c r="J400" s="12" t="s">
        <v>796</v>
      </c>
      <c r="K400" s="12" t="s">
        <v>797</v>
      </c>
    </row>
    <row r="401" customFormat="false" ht="15" hidden="false" customHeight="true" outlineLevel="0" collapsed="false">
      <c r="A401" s="9" t="s">
        <v>174</v>
      </c>
      <c r="B401" s="9" t="s">
        <v>798</v>
      </c>
      <c r="C401" s="9" t="s">
        <v>799</v>
      </c>
      <c r="D401" s="5" t="s">
        <v>850</v>
      </c>
      <c r="E401" s="9" t="s">
        <v>801</v>
      </c>
      <c r="F401" s="18" t="n">
        <f aca="false">'15 MIX DESIGN LIBRARY'!J120</f>
        <v>0.300155741186465</v>
      </c>
      <c r="G401" s="13" t="n">
        <f aca="false">N(INDEX('05 MATERIAL RATE LIBRARY'!$E$5:$E$400,MATCH("MAT-CEM-OPC",'05 MATERIAL RATE LIBRARY'!$A$5:$A$400,0)))</f>
        <v>1575</v>
      </c>
      <c r="H401" s="19" t="n">
        <f aca="false">W_Cem</f>
        <v>0.02</v>
      </c>
      <c r="I401" s="18" t="n">
        <f aca="false">F401*(1+H401)</f>
        <v>0.306158856010194</v>
      </c>
      <c r="J401" s="13" t="n">
        <f aca="false">I401*G401</f>
        <v>482.200198216056</v>
      </c>
      <c r="K401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402" customFormat="false" ht="15" hidden="false" customHeight="true" outlineLevel="0" collapsed="false">
      <c r="A402" s="9" t="s">
        <v>174</v>
      </c>
      <c r="B402" s="9" t="s">
        <v>798</v>
      </c>
      <c r="C402" s="9" t="s">
        <v>809</v>
      </c>
      <c r="D402" s="5" t="s">
        <v>810</v>
      </c>
      <c r="E402" s="9" t="s">
        <v>811</v>
      </c>
      <c r="F402" s="18" t="n">
        <f aca="false">'15 MIX DESIGN LIBRARY'!J121</f>
        <v>5.40846665722781</v>
      </c>
      <c r="G402" s="13" t="n">
        <f aca="false">N(INDEX('05 MATERIAL RATE LIBRARY'!$E$5:$E$400,MATCH("MAT-WTR",'05 MATERIAL RATE LIBRARY'!$A$5:$A$400,0)))</f>
        <v>0.686</v>
      </c>
      <c r="H402" s="19" t="n">
        <f aca="false">W_Wtr</f>
        <v>0</v>
      </c>
      <c r="I402" s="18" t="n">
        <f aca="false">F402*(1+H402)</f>
        <v>5.40846665722781</v>
      </c>
      <c r="J402" s="13" t="n">
        <f aca="false">I402*G402</f>
        <v>3.71020812685828</v>
      </c>
      <c r="K402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403" customFormat="false" ht="15" hidden="false" customHeight="true" outlineLevel="0" collapsed="false">
      <c r="A403" s="9" t="s">
        <v>174</v>
      </c>
      <c r="B403" s="9" t="s">
        <v>798</v>
      </c>
      <c r="C403" s="9" t="s">
        <v>807</v>
      </c>
      <c r="D403" s="5" t="s">
        <v>862</v>
      </c>
      <c r="E403" s="9" t="s">
        <v>198</v>
      </c>
      <c r="F403" s="18" t="n">
        <f aca="false">'15 MIX DESIGN LIBRARY'!J122</f>
        <v>0.212374345179102</v>
      </c>
      <c r="G403" s="13" t="n">
        <f aca="false">N(INDEX('05 MATERIAL RATE LIBRARY'!$E$5:$E$400,MATCH("MAT-ADM-SP",'05 MATERIAL RATE LIBRARY'!$A$5:$A$400,0)))</f>
        <v>185</v>
      </c>
      <c r="H403" s="19" t="n">
        <f aca="false">W_Adm</f>
        <v>0.02</v>
      </c>
      <c r="I403" s="18" t="n">
        <f aca="false">F403*(1+H403)</f>
        <v>0.216621832082684</v>
      </c>
      <c r="J403" s="13" t="n">
        <f aca="false">I403*G403</f>
        <v>40.0750389352966</v>
      </c>
      <c r="K403" s="20" t="str">
        <f aca="false">IF(INDEX('05 MATERIAL RATE LIBRARY'!$M$5:$M$400,MATCH("MAT-ADM-SP",'05 MATERIAL RATE LIBRARY'!$A$5:$A$400,0))=1,"",IF(INDEX('05 MATERIAL RATE LIBRARY'!$M$5:$M$400,MATCH("MAT-ADM-SP",'05 MATERIAL RATE LIBRARY'!$A$5:$A$400,0))=2,"OLD RATE","NO RATE"))</f>
        <v>OLD RATE</v>
      </c>
    </row>
    <row r="404" customFormat="false" ht="15" hidden="false" customHeight="true" outlineLevel="0" collapsed="false">
      <c r="A404" s="9" t="s">
        <v>174</v>
      </c>
      <c r="B404" s="9" t="s">
        <v>798</v>
      </c>
      <c r="C404" s="9" t="s">
        <v>839</v>
      </c>
      <c r="D404" s="5" t="s">
        <v>854</v>
      </c>
      <c r="E404" s="9" t="s">
        <v>109</v>
      </c>
      <c r="F404" s="18" t="n">
        <f aca="false">'15 MIX DESIGN LIBRARY'!J123</f>
        <v>0.0699586078237043</v>
      </c>
      <c r="G404" s="13" t="n">
        <f aca="false">N(INDEX('05 MATERIAL RATE LIBRARY'!$E$5:$E$400,MATCH("MAT-CRS-MGL",'05 MATERIAL RATE LIBRARY'!$A$5:$A$400,0)))</f>
        <v>180</v>
      </c>
      <c r="H404" s="19" t="n">
        <f aca="false">W_Agg</f>
        <v>0.05</v>
      </c>
      <c r="I404" s="18" t="n">
        <f aca="false">F404*(1+H404)</f>
        <v>0.0734565382148895</v>
      </c>
      <c r="J404" s="13" t="n">
        <f aca="false">I404*G404</f>
        <v>13.2221768786801</v>
      </c>
      <c r="K404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05" customFormat="false" ht="15" hidden="false" customHeight="true" outlineLevel="0" collapsed="false">
      <c r="A405" s="9" t="s">
        <v>174</v>
      </c>
      <c r="B405" s="9" t="s">
        <v>798</v>
      </c>
      <c r="C405" s="9" t="s">
        <v>839</v>
      </c>
      <c r="D405" s="5" t="s">
        <v>855</v>
      </c>
      <c r="E405" s="9" t="s">
        <v>109</v>
      </c>
      <c r="F405" s="18" t="n">
        <f aca="false">'15 MIX DESIGN LIBRARY'!J124</f>
        <v>0.491709072132322</v>
      </c>
      <c r="G405" s="13" t="n">
        <f aca="false">N(INDEX('05 MATERIAL RATE LIBRARY'!$E$5:$E$400,MATCH("MAT-CRS-MGL",'05 MATERIAL RATE LIBRARY'!$A$5:$A$400,0)))</f>
        <v>180</v>
      </c>
      <c r="H405" s="19" t="n">
        <f aca="false">W_Agg</f>
        <v>0.05</v>
      </c>
      <c r="I405" s="18" t="n">
        <f aca="false">F405*(1+H405)</f>
        <v>0.516294525738938</v>
      </c>
      <c r="J405" s="13" t="n">
        <f aca="false">I405*G405</f>
        <v>92.9330146330088</v>
      </c>
      <c r="K405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06" customFormat="false" ht="15" hidden="false" customHeight="true" outlineLevel="0" collapsed="false">
      <c r="A406" s="9" t="s">
        <v>174</v>
      </c>
      <c r="B406" s="9" t="s">
        <v>798</v>
      </c>
      <c r="C406" s="9" t="s">
        <v>839</v>
      </c>
      <c r="D406" s="5" t="s">
        <v>859</v>
      </c>
      <c r="E406" s="9" t="s">
        <v>109</v>
      </c>
      <c r="F406" s="18" t="n">
        <f aca="false">'15 MIX DESIGN LIBRARY'!J125</f>
        <v>0.140583488102873</v>
      </c>
      <c r="G406" s="13" t="n">
        <f aca="false">N(INDEX('05 MATERIAL RATE LIBRARY'!$E$5:$E$400,MATCH("MAT-CRS-MGL",'05 MATERIAL RATE LIBRARY'!$A$5:$A$400,0)))</f>
        <v>180</v>
      </c>
      <c r="H406" s="19" t="n">
        <f aca="false">W_Agg</f>
        <v>0.05</v>
      </c>
      <c r="I406" s="18" t="n">
        <f aca="false">F406*(1+H406)</f>
        <v>0.147612662508016</v>
      </c>
      <c r="J406" s="13" t="n">
        <f aca="false">I406*G406</f>
        <v>26.5702792514429</v>
      </c>
      <c r="K406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07" customFormat="false" ht="15" hidden="false" customHeight="true" outlineLevel="0" collapsed="false">
      <c r="A407" s="9" t="s">
        <v>174</v>
      </c>
      <c r="B407" s="9" t="s">
        <v>798</v>
      </c>
      <c r="C407" s="9" t="s">
        <v>805</v>
      </c>
      <c r="D407" s="5" t="s">
        <v>851</v>
      </c>
      <c r="E407" s="9" t="s">
        <v>109</v>
      </c>
      <c r="F407" s="18" t="n">
        <f aca="false">'15 MIX DESIGN LIBRARY'!J126</f>
        <v>0.364339987729482</v>
      </c>
      <c r="G407" s="13" t="n">
        <f aca="false">N(INDEX('05 MATERIAL RATE LIBRARY'!$E$5:$E$400,MATCH("MAT-SND-LWP",'05 MATERIAL RATE LIBRARY'!$A$5:$A$400,0)))</f>
        <v>240</v>
      </c>
      <c r="H407" s="19" t="n">
        <f aca="false">W_Agg</f>
        <v>0.05</v>
      </c>
      <c r="I407" s="18" t="n">
        <f aca="false">F407*(1+H407)</f>
        <v>0.382556987115957</v>
      </c>
      <c r="J407" s="13" t="n">
        <f aca="false">I407*G407</f>
        <v>91.8136769078296</v>
      </c>
      <c r="K407" s="20" t="str">
        <f aca="false">IF(INDEX('05 MATERIAL RATE LIBRARY'!$M$5:$M$400,MATCH("MAT-SND-LWP",'05 MATERIAL RATE LIBRARY'!$A$5:$A$400,0))=1,"",IF(INDEX('05 MATERIAL RATE LIBRARY'!$M$5:$M$400,MATCH("MAT-SND-LWP",'05 MATERIAL RATE LIBRARY'!$A$5:$A$400,0))=2,"OLD RATE","NO RATE"))</f>
        <v/>
      </c>
    </row>
    <row r="408" customFormat="false" ht="15" hidden="false" customHeight="true" outlineLevel="0" collapsed="false">
      <c r="A408" s="9" t="s">
        <v>174</v>
      </c>
      <c r="B408" s="9" t="s">
        <v>812</v>
      </c>
      <c r="C408" s="9" t="s">
        <v>813</v>
      </c>
      <c r="D408" s="5" t="s">
        <v>814</v>
      </c>
      <c r="E408" s="9" t="s">
        <v>815</v>
      </c>
      <c r="F408" s="18" t="n">
        <f aca="false">'13 PRODUCTIVITY LIBRARY'!E5/'13 PRODUCTIVITY LIBRARY'!D5</f>
        <v>0.01</v>
      </c>
      <c r="G408" s="13" t="n">
        <f aca="false">N(INDEX('06 LABOUR RATE LIBRARY'!$D$5:$D$100,MATCH("LAB-MSN",'06 LABOUR RATE LIBRARY'!$A$5:$A$100,0)))</f>
        <v>2200</v>
      </c>
      <c r="H408" s="21" t="n">
        <v>0</v>
      </c>
      <c r="I408" s="18" t="n">
        <f aca="false">F408*(1+H408)</f>
        <v>0.01</v>
      </c>
      <c r="J408" s="13" t="n">
        <f aca="false">I408*G408</f>
        <v>22</v>
      </c>
      <c r="K408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409" customFormat="false" ht="15" hidden="false" customHeight="true" outlineLevel="0" collapsed="false">
      <c r="A409" s="9" t="s">
        <v>174</v>
      </c>
      <c r="B409" s="9" t="s">
        <v>812</v>
      </c>
      <c r="C409" s="9" t="s">
        <v>816</v>
      </c>
      <c r="D409" s="5" t="s">
        <v>817</v>
      </c>
      <c r="E409" s="9" t="s">
        <v>815</v>
      </c>
      <c r="F409" s="18" t="n">
        <f aca="false">'13 PRODUCTIVITY LIBRARY'!F5/'13 PRODUCTIVITY LIBRARY'!D5</f>
        <v>0.08</v>
      </c>
      <c r="G409" s="13" t="n">
        <f aca="false">N(INDEX('06 LABOUR RATE LIBRARY'!$D$5:$D$100,MATCH("LAB-HLP",'06 LABOUR RATE LIBRARY'!$A$5:$A$100,0)))</f>
        <v>1538</v>
      </c>
      <c r="H409" s="21" t="n">
        <v>0</v>
      </c>
      <c r="I409" s="18" t="n">
        <f aca="false">F409*(1+H409)</f>
        <v>0.08</v>
      </c>
      <c r="J409" s="13" t="n">
        <f aca="false">I409*G409</f>
        <v>123.04</v>
      </c>
      <c r="K40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410" customFormat="false" ht="15" hidden="false" customHeight="true" outlineLevel="0" collapsed="false">
      <c r="A410" s="9" t="s">
        <v>174</v>
      </c>
      <c r="B410" s="9" t="s">
        <v>818</v>
      </c>
      <c r="C410" s="9" t="s">
        <v>819</v>
      </c>
      <c r="D410" s="5" t="s">
        <v>820</v>
      </c>
      <c r="E410" s="9" t="s">
        <v>815</v>
      </c>
      <c r="F410" s="18" t="n">
        <f aca="false">1/'13 PRODUCTIVITY LIBRARY'!D5</f>
        <v>0.01</v>
      </c>
      <c r="G410" s="13" t="n">
        <f aca="false">N(INDEX('07 EQUIPMENT RATE LIBRARY'!$D$5:$D$100,MATCH("EQ-VIB",'07 EQUIPMENT RATE LIBRARY'!$A$5:$A$100,0)))</f>
        <v>227</v>
      </c>
      <c r="H410" s="21" t="n">
        <v>0</v>
      </c>
      <c r="I410" s="18" t="n">
        <f aca="false">F410*(1+H410)</f>
        <v>0.01</v>
      </c>
      <c r="J410" s="13" t="n">
        <f aca="false">I410*G410</f>
        <v>2.27</v>
      </c>
      <c r="K410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411" customFormat="false" ht="21.75" hidden="false" customHeight="true" outlineLevel="0" collapsed="false">
      <c r="A411" s="9" t="s">
        <v>174</v>
      </c>
      <c r="B411" s="9" t="s">
        <v>818</v>
      </c>
      <c r="C411" s="9" t="s">
        <v>821</v>
      </c>
      <c r="D411" s="5" t="s">
        <v>822</v>
      </c>
      <c r="E411" s="9" t="s">
        <v>815</v>
      </c>
      <c r="F411" s="18" t="n">
        <f aca="false">1/'13 PRODUCTIVITY LIBRARY'!D5</f>
        <v>0.01</v>
      </c>
      <c r="G411" s="13" t="n">
        <f aca="false">N(INDEX('07 EQUIPMENT RATE LIBRARY'!$D$5:$D$100,MATCH("EQ-MIX",'07 EQUIPMENT RATE LIBRARY'!$A$5:$A$100,0)))</f>
        <v>3500</v>
      </c>
      <c r="H411" s="21" t="n">
        <v>0</v>
      </c>
      <c r="I411" s="18" t="n">
        <f aca="false">F411*(1+H411)</f>
        <v>0.01</v>
      </c>
      <c r="J411" s="13" t="n">
        <f aca="false">I411*G411</f>
        <v>35</v>
      </c>
      <c r="K411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412" customFormat="false" ht="15" hidden="false" customHeight="true" outlineLevel="0" collapsed="false">
      <c r="A412" s="9" t="s">
        <v>174</v>
      </c>
      <c r="B412" s="9" t="s">
        <v>818</v>
      </c>
      <c r="C412" s="9" t="s">
        <v>823</v>
      </c>
      <c r="D412" s="5" t="s">
        <v>824</v>
      </c>
      <c r="E412" s="9" t="s">
        <v>109</v>
      </c>
      <c r="F412" s="18" t="n">
        <v>1</v>
      </c>
      <c r="G412" s="13" t="n">
        <f aca="false">N(INDEX('07 EQUIPMENT RATE LIBRARY'!$D$5:$D$100,MATCH("EQ-PUMP",'07 EQUIPMENT RATE LIBRARY'!$A$5:$A$100,0)))</f>
        <v>28.32</v>
      </c>
      <c r="H412" s="21" t="n">
        <v>0</v>
      </c>
      <c r="I412" s="18" t="n">
        <f aca="false">F412*(1+H412)</f>
        <v>1</v>
      </c>
      <c r="J412" s="13" t="n">
        <f aca="false">I412*G412</f>
        <v>28.32</v>
      </c>
      <c r="K412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413" customFormat="false" ht="15" hidden="false" customHeight="true" outlineLevel="0" collapsed="false">
      <c r="D413" s="22" t="s">
        <v>825</v>
      </c>
      <c r="J413" s="23" t="n">
        <f aca="false">SUMPRODUCT((B401:B412="Material")*F401:F412*G401:G412)</f>
        <v>729.591561659352</v>
      </c>
    </row>
    <row r="414" customFormat="false" ht="15" hidden="false" customHeight="true" outlineLevel="0" collapsed="false">
      <c r="D414" s="22" t="s">
        <v>826</v>
      </c>
      <c r="J414" s="23" t="n">
        <f aca="false">SUMIF(B401:B412,"Material",J401:J412)-J413</f>
        <v>20.9330312898202</v>
      </c>
    </row>
    <row r="415" customFormat="false" ht="15" hidden="false" customHeight="true" outlineLevel="0" collapsed="false">
      <c r="D415" s="24" t="s">
        <v>827</v>
      </c>
      <c r="J415" s="14" t="n">
        <f aca="false">SUMIF(B401:B412,"Material",J401:J412)</f>
        <v>750.524592949172</v>
      </c>
    </row>
    <row r="416" customFormat="false" ht="15" hidden="false" customHeight="true" outlineLevel="0" collapsed="false">
      <c r="D416" s="24" t="s">
        <v>828</v>
      </c>
      <c r="J416" s="14" t="n">
        <f aca="false">SUMIF(B401:B412,"Labour",J401:J412)</f>
        <v>145.04</v>
      </c>
    </row>
    <row r="417" customFormat="false" ht="15" hidden="false" customHeight="true" outlineLevel="0" collapsed="false">
      <c r="D417" s="24" t="s">
        <v>829</v>
      </c>
      <c r="J417" s="14" t="n">
        <f aca="false">SUMIF(B401:B412,"Equipment",J401:J412)</f>
        <v>65.59</v>
      </c>
    </row>
    <row r="418" customFormat="false" ht="15" hidden="false" customHeight="true" outlineLevel="0" collapsed="false">
      <c r="D418" s="24" t="s">
        <v>830</v>
      </c>
      <c r="J418" s="14" t="n">
        <f aca="false">SUMIF(B401:B412,"Transport",J401:J412)</f>
        <v>0</v>
      </c>
    </row>
    <row r="419" customFormat="false" ht="15" hidden="false" customHeight="true" outlineLevel="0" collapsed="false">
      <c r="D419" s="24" t="s">
        <v>831</v>
      </c>
      <c r="J419" s="14" t="n">
        <f aca="false">J415+J416+J417+J418</f>
        <v>961.154592949172</v>
      </c>
    </row>
    <row r="420" customFormat="false" ht="15" hidden="false" customHeight="true" outlineLevel="0" collapsed="false">
      <c r="D420" s="22" t="s">
        <v>832</v>
      </c>
      <c r="J420" s="23" t="n">
        <f aca="false">J419*OH_Site</f>
        <v>28.8346377884752</v>
      </c>
    </row>
    <row r="421" customFormat="false" ht="15" hidden="false" customHeight="true" outlineLevel="0" collapsed="false">
      <c r="D421" s="22" t="s">
        <v>833</v>
      </c>
      <c r="J421" s="23" t="n">
        <f aca="false">J419*OH_HO</f>
        <v>48.0577296474586</v>
      </c>
    </row>
    <row r="422" customFormat="false" ht="15" hidden="false" customHeight="true" outlineLevel="0" collapsed="false">
      <c r="D422" s="22" t="s">
        <v>834</v>
      </c>
      <c r="J422" s="23" t="n">
        <f aca="false">J419*Profit</f>
        <v>96.1154592949172</v>
      </c>
    </row>
    <row r="423" customFormat="false" ht="15" hidden="false" customHeight="true" outlineLevel="0" collapsed="false">
      <c r="D423" s="24" t="s">
        <v>835</v>
      </c>
      <c r="J423" s="14" t="n">
        <f aca="false">J419+J420+J421+J422</f>
        <v>1134.16241968002</v>
      </c>
    </row>
    <row r="424" customFormat="false" ht="15" hidden="false" customHeight="true" outlineLevel="0" collapsed="false">
      <c r="D424" s="22" t="s">
        <v>836</v>
      </c>
      <c r="J424" s="23" t="n">
        <f aca="false">IF(Tax_On="Yes",J423*N(Tax_Rate),0)</f>
        <v>0</v>
      </c>
    </row>
    <row r="425" customFormat="false" ht="15" hidden="false" customHeight="true" outlineLevel="0" collapsed="false">
      <c r="D425" s="24" t="s">
        <v>837</v>
      </c>
      <c r="J425" s="14" t="n">
        <f aca="false">ROUND(J423+J424,0)</f>
        <v>1134</v>
      </c>
    </row>
    <row r="426" customFormat="false" ht="15" hidden="false" customHeight="true" outlineLevel="0" collapsed="false">
      <c r="D426" s="25" t="s">
        <v>838</v>
      </c>
      <c r="J426" s="26" t="n">
        <f aca="false">COUNTIF(K401:K412,"NO RATE")+COUNTIF(K401:K412,"OLD RATE")</f>
        <v>1</v>
      </c>
    </row>
    <row r="428" customFormat="false" ht="39.75" hidden="false" customHeight="true" outlineLevel="0" collapsed="false">
      <c r="A428" s="4" t="s">
        <v>179</v>
      </c>
      <c r="B428" s="16" t="s">
        <v>181</v>
      </c>
      <c r="C428" s="16"/>
      <c r="D428" s="16"/>
      <c r="E428" s="16"/>
      <c r="F428" s="16"/>
      <c r="G428" s="16"/>
      <c r="H428" s="16"/>
      <c r="I428" s="16"/>
      <c r="J428" s="4" t="s">
        <v>788</v>
      </c>
      <c r="K428" s="17"/>
    </row>
    <row r="429" customFormat="false" ht="21.75" hidden="false" customHeight="true" outlineLevel="0" collapsed="false">
      <c r="A429" s="12" t="s">
        <v>75</v>
      </c>
      <c r="B429" s="12" t="s">
        <v>789</v>
      </c>
      <c r="C429" s="12" t="s">
        <v>790</v>
      </c>
      <c r="D429" s="12" t="s">
        <v>791</v>
      </c>
      <c r="E429" s="12" t="s">
        <v>81</v>
      </c>
      <c r="F429" s="12" t="s">
        <v>792</v>
      </c>
      <c r="G429" s="12" t="s">
        <v>793</v>
      </c>
      <c r="H429" s="12" t="s">
        <v>794</v>
      </c>
      <c r="I429" s="12" t="s">
        <v>795</v>
      </c>
      <c r="J429" s="12" t="s">
        <v>796</v>
      </c>
      <c r="K429" s="12" t="s">
        <v>797</v>
      </c>
    </row>
    <row r="430" customFormat="false" ht="15" hidden="false" customHeight="true" outlineLevel="0" collapsed="false">
      <c r="A430" s="9" t="s">
        <v>179</v>
      </c>
      <c r="B430" s="9" t="s">
        <v>798</v>
      </c>
      <c r="C430" s="9" t="s">
        <v>799</v>
      </c>
      <c r="D430" s="5" t="s">
        <v>863</v>
      </c>
      <c r="E430" s="9" t="s">
        <v>801</v>
      </c>
      <c r="F430" s="18" t="n">
        <f aca="false">DryF_Conc*1/13/Bag_cft</f>
        <v>0.0947692307692308</v>
      </c>
      <c r="G430" s="13" t="n">
        <f aca="false">N(INDEX('05 MATERIAL RATE LIBRARY'!$E$5:$E$400,MATCH("MAT-CEM-OPC",'05 MATERIAL RATE LIBRARY'!$A$5:$A$400,0)))</f>
        <v>1575</v>
      </c>
      <c r="H430" s="19" t="n">
        <f aca="false">W_Cem</f>
        <v>0.02</v>
      </c>
      <c r="I430" s="18" t="n">
        <f aca="false">F430*(1+H430)</f>
        <v>0.0966646153846154</v>
      </c>
      <c r="J430" s="13" t="n">
        <f aca="false">I430*G430</f>
        <v>152.246769230769</v>
      </c>
      <c r="K430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431" customFormat="false" ht="15" hidden="false" customHeight="true" outlineLevel="0" collapsed="false">
      <c r="A431" s="9" t="s">
        <v>179</v>
      </c>
      <c r="B431" s="9" t="s">
        <v>798</v>
      </c>
      <c r="C431" s="9" t="s">
        <v>864</v>
      </c>
      <c r="D431" s="5" t="s">
        <v>865</v>
      </c>
      <c r="E431" s="9" t="s">
        <v>109</v>
      </c>
      <c r="F431" s="18" t="n">
        <f aca="false">DryF_Conc*4/13</f>
        <v>0.473846153846154</v>
      </c>
      <c r="G431" s="13" t="n">
        <f aca="false">N(INDEX('05 MATERIAL RATE LIBRARY'!$E$5:$E$400,MATCH("MAT-SND-CHN",'05 MATERIAL RATE LIBRARY'!$A$5:$A$400,0)))</f>
        <v>80</v>
      </c>
      <c r="H431" s="19" t="n">
        <f aca="false">W_Agg</f>
        <v>0.05</v>
      </c>
      <c r="I431" s="18" t="n">
        <f aca="false">F431*(1+H431)</f>
        <v>0.497538461538462</v>
      </c>
      <c r="J431" s="13" t="n">
        <f aca="false">I431*G431</f>
        <v>39.8030769230769</v>
      </c>
      <c r="K431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432" customFormat="false" ht="15" hidden="false" customHeight="true" outlineLevel="0" collapsed="false">
      <c r="A432" s="9" t="s">
        <v>179</v>
      </c>
      <c r="B432" s="9" t="s">
        <v>798</v>
      </c>
      <c r="C432" s="9" t="s">
        <v>839</v>
      </c>
      <c r="D432" s="5" t="s">
        <v>866</v>
      </c>
      <c r="E432" s="9" t="s">
        <v>109</v>
      </c>
      <c r="F432" s="18" t="n">
        <f aca="false">DryF_Conc*8/13</f>
        <v>0.947692307692308</v>
      </c>
      <c r="G432" s="13" t="n">
        <f aca="false">N(INDEX('05 MATERIAL RATE LIBRARY'!$E$5:$E$400,MATCH("MAT-CRS-MGL",'05 MATERIAL RATE LIBRARY'!$A$5:$A$400,0)))</f>
        <v>180</v>
      </c>
      <c r="H432" s="19" t="n">
        <f aca="false">W_Agg</f>
        <v>0.05</v>
      </c>
      <c r="I432" s="18" t="n">
        <f aca="false">F432*(1+H432)</f>
        <v>0.995076923076923</v>
      </c>
      <c r="J432" s="13" t="n">
        <f aca="false">I432*G432</f>
        <v>179.113846153846</v>
      </c>
      <c r="K432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33" customFormat="false" ht="15" hidden="false" customHeight="true" outlineLevel="0" collapsed="false">
      <c r="A433" s="9" t="s">
        <v>179</v>
      </c>
      <c r="B433" s="9" t="s">
        <v>798</v>
      </c>
      <c r="C433" s="9" t="s">
        <v>809</v>
      </c>
      <c r="D433" s="5" t="s">
        <v>867</v>
      </c>
      <c r="E433" s="9" t="s">
        <v>811</v>
      </c>
      <c r="F433" s="18" t="n">
        <f aca="false">DryF_Conc*1/13/Bag_cft*Bag_kg*0.5</f>
        <v>2.36923076923077</v>
      </c>
      <c r="G433" s="13" t="n">
        <f aca="false">N(INDEX('05 MATERIAL RATE LIBRARY'!$E$5:$E$400,MATCH("MAT-WTR",'05 MATERIAL RATE LIBRARY'!$A$5:$A$400,0)))</f>
        <v>0.686</v>
      </c>
      <c r="H433" s="19" t="n">
        <f aca="false">W_Wtr</f>
        <v>0</v>
      </c>
      <c r="I433" s="18" t="n">
        <f aca="false">F433*(1+H433)</f>
        <v>2.36923076923077</v>
      </c>
      <c r="J433" s="13" t="n">
        <f aca="false">I433*G433</f>
        <v>1.62529230769231</v>
      </c>
      <c r="K43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434" customFormat="false" ht="15" hidden="false" customHeight="true" outlineLevel="0" collapsed="false">
      <c r="A434" s="9" t="s">
        <v>179</v>
      </c>
      <c r="B434" s="9" t="s">
        <v>812</v>
      </c>
      <c r="C434" s="9" t="s">
        <v>813</v>
      </c>
      <c r="D434" s="5" t="s">
        <v>843</v>
      </c>
      <c r="E434" s="9" t="s">
        <v>815</v>
      </c>
      <c r="F434" s="18" t="n">
        <f aca="false">'13 PRODUCTIVITY LIBRARY'!E6/'13 PRODUCTIVITY LIBRARY'!D6</f>
        <v>0.0125</v>
      </c>
      <c r="G434" s="13" t="n">
        <f aca="false">N(INDEX('06 LABOUR RATE LIBRARY'!$D$5:$D$100,MATCH("LAB-MSN",'06 LABOUR RATE LIBRARY'!$A$5:$A$100,0)))</f>
        <v>2200</v>
      </c>
      <c r="H434" s="21" t="n">
        <v>0</v>
      </c>
      <c r="I434" s="18" t="n">
        <f aca="false">F434*(1+H434)</f>
        <v>0.0125</v>
      </c>
      <c r="J434" s="13" t="n">
        <f aca="false">I434*G434</f>
        <v>27.5</v>
      </c>
      <c r="K43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435" customFormat="false" ht="15" hidden="false" customHeight="true" outlineLevel="0" collapsed="false">
      <c r="A435" s="9" t="s">
        <v>179</v>
      </c>
      <c r="B435" s="9" t="s">
        <v>812</v>
      </c>
      <c r="C435" s="9" t="s">
        <v>816</v>
      </c>
      <c r="D435" s="5" t="s">
        <v>844</v>
      </c>
      <c r="E435" s="9" t="s">
        <v>815</v>
      </c>
      <c r="F435" s="18" t="n">
        <f aca="false">'13 PRODUCTIVITY LIBRARY'!F6/'13 PRODUCTIVITY LIBRARY'!D6</f>
        <v>0.075</v>
      </c>
      <c r="G435" s="13" t="n">
        <f aca="false">N(INDEX('06 LABOUR RATE LIBRARY'!$D$5:$D$100,MATCH("LAB-HLP",'06 LABOUR RATE LIBRARY'!$A$5:$A$100,0)))</f>
        <v>1538</v>
      </c>
      <c r="H435" s="21" t="n">
        <v>0</v>
      </c>
      <c r="I435" s="18" t="n">
        <f aca="false">F435*(1+H435)</f>
        <v>0.075</v>
      </c>
      <c r="J435" s="13" t="n">
        <f aca="false">I435*G435</f>
        <v>115.35</v>
      </c>
      <c r="K43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436" customFormat="false" ht="15" hidden="false" customHeight="true" outlineLevel="0" collapsed="false">
      <c r="A436" s="9" t="s">
        <v>179</v>
      </c>
      <c r="B436" s="9" t="s">
        <v>818</v>
      </c>
      <c r="C436" s="9" t="s">
        <v>821</v>
      </c>
      <c r="D436" s="5" t="s">
        <v>868</v>
      </c>
      <c r="E436" s="9" t="s">
        <v>815</v>
      </c>
      <c r="F436" s="18" t="n">
        <f aca="false">1/'13 PRODUCTIVITY LIBRARY'!D6</f>
        <v>0.0125</v>
      </c>
      <c r="G436" s="13" t="n">
        <f aca="false">N(INDEX('07 EQUIPMENT RATE LIBRARY'!$D$5:$D$100,MATCH("EQ-MIX",'07 EQUIPMENT RATE LIBRARY'!$A$5:$A$100,0)))</f>
        <v>3500</v>
      </c>
      <c r="H436" s="21" t="n">
        <v>0</v>
      </c>
      <c r="I436" s="18" t="n">
        <f aca="false">F436*(1+H436)</f>
        <v>0.0125</v>
      </c>
      <c r="J436" s="13" t="n">
        <f aca="false">I436*G436</f>
        <v>43.75</v>
      </c>
      <c r="K436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437" customFormat="false" ht="15" hidden="false" customHeight="true" outlineLevel="0" collapsed="false">
      <c r="A437" s="9" t="s">
        <v>179</v>
      </c>
      <c r="B437" s="9" t="s">
        <v>818</v>
      </c>
      <c r="C437" s="9" t="s">
        <v>819</v>
      </c>
      <c r="D437" s="5" t="s">
        <v>820</v>
      </c>
      <c r="E437" s="9" t="s">
        <v>815</v>
      </c>
      <c r="F437" s="18" t="n">
        <f aca="false">1/'13 PRODUCTIVITY LIBRARY'!D6</f>
        <v>0.0125</v>
      </c>
      <c r="G437" s="13" t="n">
        <f aca="false">N(INDEX('07 EQUIPMENT RATE LIBRARY'!$D$5:$D$100,MATCH("EQ-VIB",'07 EQUIPMENT RATE LIBRARY'!$A$5:$A$100,0)))</f>
        <v>227</v>
      </c>
      <c r="H437" s="21" t="n">
        <v>0</v>
      </c>
      <c r="I437" s="18" t="n">
        <f aca="false">F437*(1+H437)</f>
        <v>0.0125</v>
      </c>
      <c r="J437" s="13" t="n">
        <f aca="false">I437*G437</f>
        <v>2.8375</v>
      </c>
      <c r="K437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438" customFormat="false" ht="15" hidden="false" customHeight="true" outlineLevel="0" collapsed="false">
      <c r="D438" s="22" t="s">
        <v>825</v>
      </c>
      <c r="J438" s="23" t="n">
        <f aca="false">SUMPRODUCT((B430:B437="Material")*F430:F437*G430:G437)</f>
        <v>359.379138461539</v>
      </c>
    </row>
    <row r="439" customFormat="false" ht="15" hidden="false" customHeight="true" outlineLevel="0" collapsed="false">
      <c r="D439" s="22" t="s">
        <v>826</v>
      </c>
      <c r="J439" s="23" t="n">
        <f aca="false">SUMIF(B430:B437,"Material",J430:J437)-J438</f>
        <v>13.4098461538462</v>
      </c>
    </row>
    <row r="440" customFormat="false" ht="15" hidden="false" customHeight="true" outlineLevel="0" collapsed="false">
      <c r="D440" s="24" t="s">
        <v>827</v>
      </c>
      <c r="J440" s="14" t="n">
        <f aca="false">SUMIF(B430:B437,"Material",J430:J437)</f>
        <v>372.788984615385</v>
      </c>
    </row>
    <row r="441" customFormat="false" ht="15" hidden="false" customHeight="true" outlineLevel="0" collapsed="false">
      <c r="D441" s="24" t="s">
        <v>828</v>
      </c>
      <c r="J441" s="14" t="n">
        <f aca="false">SUMIF(B430:B437,"Labour",J430:J437)</f>
        <v>142.85</v>
      </c>
    </row>
    <row r="442" customFormat="false" ht="15" hidden="false" customHeight="true" outlineLevel="0" collapsed="false">
      <c r="D442" s="24" t="s">
        <v>829</v>
      </c>
      <c r="J442" s="14" t="n">
        <f aca="false">SUMIF(B430:B437,"Equipment",J430:J437)</f>
        <v>46.5875</v>
      </c>
    </row>
    <row r="443" customFormat="false" ht="15" hidden="false" customHeight="true" outlineLevel="0" collapsed="false">
      <c r="D443" s="24" t="s">
        <v>830</v>
      </c>
      <c r="J443" s="14" t="n">
        <f aca="false">SUMIF(B430:B437,"Transport",J430:J437)</f>
        <v>0</v>
      </c>
    </row>
    <row r="444" customFormat="false" ht="15" hidden="false" customHeight="true" outlineLevel="0" collapsed="false">
      <c r="D444" s="24" t="s">
        <v>831</v>
      </c>
      <c r="J444" s="14" t="n">
        <f aca="false">J440+J441+J442+J443</f>
        <v>562.226484615385</v>
      </c>
    </row>
    <row r="445" customFormat="false" ht="15" hidden="false" customHeight="true" outlineLevel="0" collapsed="false">
      <c r="D445" s="22" t="s">
        <v>832</v>
      </c>
      <c r="J445" s="23" t="n">
        <f aca="false">J444*OH_Site</f>
        <v>16.8667945384615</v>
      </c>
    </row>
    <row r="446" customFormat="false" ht="15" hidden="false" customHeight="true" outlineLevel="0" collapsed="false">
      <c r="D446" s="22" t="s">
        <v>833</v>
      </c>
      <c r="J446" s="23" t="n">
        <f aca="false">J444*OH_HO</f>
        <v>28.1113242307692</v>
      </c>
    </row>
    <row r="447" customFormat="false" ht="15" hidden="false" customHeight="true" outlineLevel="0" collapsed="false">
      <c r="D447" s="22" t="s">
        <v>834</v>
      </c>
      <c r="J447" s="23" t="n">
        <f aca="false">J444*Profit</f>
        <v>56.2226484615385</v>
      </c>
    </row>
    <row r="448" customFormat="false" ht="15" hidden="false" customHeight="true" outlineLevel="0" collapsed="false">
      <c r="D448" s="24" t="s">
        <v>835</v>
      </c>
      <c r="J448" s="14" t="n">
        <f aca="false">J444+J445+J446+J447</f>
        <v>663.427251846154</v>
      </c>
    </row>
    <row r="449" customFormat="false" ht="15" hidden="false" customHeight="true" outlineLevel="0" collapsed="false">
      <c r="D449" s="22" t="s">
        <v>836</v>
      </c>
      <c r="J449" s="23" t="n">
        <f aca="false">IF(Tax_On="Yes",J448*N(Tax_Rate),0)</f>
        <v>0</v>
      </c>
    </row>
    <row r="450" customFormat="false" ht="15" hidden="false" customHeight="true" outlineLevel="0" collapsed="false">
      <c r="D450" s="24" t="s">
        <v>837</v>
      </c>
      <c r="J450" s="14" t="n">
        <f aca="false">ROUND(J448+J449,0)</f>
        <v>663</v>
      </c>
    </row>
    <row r="451" customFormat="false" ht="15" hidden="false" customHeight="true" outlineLevel="0" collapsed="false">
      <c r="D451" s="25" t="s">
        <v>838</v>
      </c>
      <c r="J451" s="26" t="n">
        <f aca="false">COUNTIF(K430:K437,"NO RATE")+COUNTIF(K430:K437,"OLD RATE")</f>
        <v>0</v>
      </c>
    </row>
    <row r="453" customFormat="false" ht="39.75" hidden="false" customHeight="true" outlineLevel="0" collapsed="false">
      <c r="A453" s="4" t="s">
        <v>185</v>
      </c>
      <c r="B453" s="16" t="s">
        <v>187</v>
      </c>
      <c r="C453" s="16"/>
      <c r="D453" s="16"/>
      <c r="E453" s="16"/>
      <c r="F453" s="16"/>
      <c r="G453" s="16"/>
      <c r="H453" s="16"/>
      <c r="I453" s="16"/>
      <c r="J453" s="4" t="s">
        <v>788</v>
      </c>
      <c r="K453" s="17"/>
    </row>
    <row r="454" customFormat="false" ht="21.75" hidden="false" customHeight="true" outlineLevel="0" collapsed="false">
      <c r="A454" s="12" t="s">
        <v>75</v>
      </c>
      <c r="B454" s="12" t="s">
        <v>789</v>
      </c>
      <c r="C454" s="12" t="s">
        <v>790</v>
      </c>
      <c r="D454" s="12" t="s">
        <v>791</v>
      </c>
      <c r="E454" s="12" t="s">
        <v>81</v>
      </c>
      <c r="F454" s="12" t="s">
        <v>792</v>
      </c>
      <c r="G454" s="12" t="s">
        <v>793</v>
      </c>
      <c r="H454" s="12" t="s">
        <v>794</v>
      </c>
      <c r="I454" s="12" t="s">
        <v>795</v>
      </c>
      <c r="J454" s="12" t="s">
        <v>796</v>
      </c>
      <c r="K454" s="12" t="s">
        <v>797</v>
      </c>
    </row>
    <row r="455" customFormat="false" ht="15" hidden="false" customHeight="true" outlineLevel="0" collapsed="false">
      <c r="A455" s="9" t="s">
        <v>185</v>
      </c>
      <c r="B455" s="9" t="s">
        <v>798</v>
      </c>
      <c r="C455" s="9" t="s">
        <v>799</v>
      </c>
      <c r="D455" s="5" t="s">
        <v>869</v>
      </c>
      <c r="E455" s="9" t="s">
        <v>801</v>
      </c>
      <c r="F455" s="18" t="n">
        <f aca="false">DryF_Conc*1/7/Bag_cft</f>
        <v>0.176</v>
      </c>
      <c r="G455" s="13" t="n">
        <f aca="false">N(INDEX('05 MATERIAL RATE LIBRARY'!$E$5:$E$400,MATCH("MAT-CEM-OPC",'05 MATERIAL RATE LIBRARY'!$A$5:$A$400,0)))</f>
        <v>1575</v>
      </c>
      <c r="H455" s="19" t="n">
        <f aca="false">W_Cem</f>
        <v>0.02</v>
      </c>
      <c r="I455" s="18" t="n">
        <f aca="false">F455*(1+H455)</f>
        <v>0.17952</v>
      </c>
      <c r="J455" s="13" t="n">
        <f aca="false">I455*G455</f>
        <v>282.744</v>
      </c>
      <c r="K455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456" customFormat="false" ht="15" hidden="false" customHeight="true" outlineLevel="0" collapsed="false">
      <c r="A456" s="9" t="s">
        <v>185</v>
      </c>
      <c r="B456" s="9" t="s">
        <v>798</v>
      </c>
      <c r="C456" s="9" t="s">
        <v>864</v>
      </c>
      <c r="D456" s="5" t="s">
        <v>870</v>
      </c>
      <c r="E456" s="9" t="s">
        <v>109</v>
      </c>
      <c r="F456" s="18" t="n">
        <f aca="false">DryF_Conc*2/7</f>
        <v>0.44</v>
      </c>
      <c r="G456" s="13" t="n">
        <f aca="false">N(INDEX('05 MATERIAL RATE LIBRARY'!$E$5:$E$400,MATCH("MAT-SND-CHN",'05 MATERIAL RATE LIBRARY'!$A$5:$A$400,0)))</f>
        <v>80</v>
      </c>
      <c r="H456" s="19" t="n">
        <f aca="false">W_Agg</f>
        <v>0.05</v>
      </c>
      <c r="I456" s="18" t="n">
        <f aca="false">F456*(1+H456)</f>
        <v>0.462</v>
      </c>
      <c r="J456" s="13" t="n">
        <f aca="false">I456*G456</f>
        <v>36.96</v>
      </c>
      <c r="K456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457" customFormat="false" ht="15" hidden="false" customHeight="true" outlineLevel="0" collapsed="false">
      <c r="A457" s="9" t="s">
        <v>185</v>
      </c>
      <c r="B457" s="9" t="s">
        <v>798</v>
      </c>
      <c r="C457" s="9" t="s">
        <v>839</v>
      </c>
      <c r="D457" s="5" t="s">
        <v>871</v>
      </c>
      <c r="E457" s="9" t="s">
        <v>109</v>
      </c>
      <c r="F457" s="18" t="n">
        <f aca="false">DryF_Conc*4/7</f>
        <v>0.88</v>
      </c>
      <c r="G457" s="13" t="n">
        <f aca="false">N(INDEX('05 MATERIAL RATE LIBRARY'!$E$5:$E$400,MATCH("MAT-CRS-MGL",'05 MATERIAL RATE LIBRARY'!$A$5:$A$400,0)))</f>
        <v>180</v>
      </c>
      <c r="H457" s="19" t="n">
        <f aca="false">W_Agg</f>
        <v>0.05</v>
      </c>
      <c r="I457" s="18" t="n">
        <f aca="false">F457*(1+H457)</f>
        <v>0.924</v>
      </c>
      <c r="J457" s="13" t="n">
        <f aca="false">I457*G457</f>
        <v>166.32</v>
      </c>
      <c r="K457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58" customFormat="false" ht="15" hidden="false" customHeight="true" outlineLevel="0" collapsed="false">
      <c r="A458" s="9" t="s">
        <v>185</v>
      </c>
      <c r="B458" s="9" t="s">
        <v>798</v>
      </c>
      <c r="C458" s="9" t="s">
        <v>809</v>
      </c>
      <c r="D458" s="5" t="s">
        <v>867</v>
      </c>
      <c r="E458" s="9" t="s">
        <v>811</v>
      </c>
      <c r="F458" s="18" t="n">
        <f aca="false">DryF_Conc*1/7/Bag_cft*Bag_kg*0.5</f>
        <v>4.4</v>
      </c>
      <c r="G458" s="13" t="n">
        <f aca="false">N(INDEX('05 MATERIAL RATE LIBRARY'!$E$5:$E$400,MATCH("MAT-WTR",'05 MATERIAL RATE LIBRARY'!$A$5:$A$400,0)))</f>
        <v>0.686</v>
      </c>
      <c r="H458" s="19" t="n">
        <f aca="false">W_Wtr</f>
        <v>0</v>
      </c>
      <c r="I458" s="18" t="n">
        <f aca="false">F458*(1+H458)</f>
        <v>4.4</v>
      </c>
      <c r="J458" s="13" t="n">
        <f aca="false">I458*G458</f>
        <v>3.0184</v>
      </c>
      <c r="K458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459" customFormat="false" ht="15" hidden="false" customHeight="true" outlineLevel="0" collapsed="false">
      <c r="A459" s="9" t="s">
        <v>185</v>
      </c>
      <c r="B459" s="9" t="s">
        <v>812</v>
      </c>
      <c r="C459" s="9" t="s">
        <v>813</v>
      </c>
      <c r="D459" s="5" t="s">
        <v>814</v>
      </c>
      <c r="E459" s="9" t="s">
        <v>815</v>
      </c>
      <c r="F459" s="18" t="n">
        <f aca="false">'13 PRODUCTIVITY LIBRARY'!E5/'13 PRODUCTIVITY LIBRARY'!D5</f>
        <v>0.01</v>
      </c>
      <c r="G459" s="13" t="n">
        <f aca="false">N(INDEX('06 LABOUR RATE LIBRARY'!$D$5:$D$100,MATCH("LAB-MSN",'06 LABOUR RATE LIBRARY'!$A$5:$A$100,0)))</f>
        <v>2200</v>
      </c>
      <c r="H459" s="21" t="n">
        <v>0</v>
      </c>
      <c r="I459" s="18" t="n">
        <f aca="false">F459*(1+H459)</f>
        <v>0.01</v>
      </c>
      <c r="J459" s="13" t="n">
        <f aca="false">I459*G459</f>
        <v>22</v>
      </c>
      <c r="K45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460" customFormat="false" ht="15" hidden="false" customHeight="true" outlineLevel="0" collapsed="false">
      <c r="A460" s="9" t="s">
        <v>185</v>
      </c>
      <c r="B460" s="9" t="s">
        <v>812</v>
      </c>
      <c r="C460" s="9" t="s">
        <v>816</v>
      </c>
      <c r="D460" s="5" t="s">
        <v>817</v>
      </c>
      <c r="E460" s="9" t="s">
        <v>815</v>
      </c>
      <c r="F460" s="18" t="n">
        <f aca="false">'13 PRODUCTIVITY LIBRARY'!F5/'13 PRODUCTIVITY LIBRARY'!D5</f>
        <v>0.08</v>
      </c>
      <c r="G460" s="13" t="n">
        <f aca="false">N(INDEX('06 LABOUR RATE LIBRARY'!$D$5:$D$100,MATCH("LAB-HLP",'06 LABOUR RATE LIBRARY'!$A$5:$A$100,0)))</f>
        <v>1538</v>
      </c>
      <c r="H460" s="21" t="n">
        <v>0</v>
      </c>
      <c r="I460" s="18" t="n">
        <f aca="false">F460*(1+H460)</f>
        <v>0.08</v>
      </c>
      <c r="J460" s="13" t="n">
        <f aca="false">I460*G460</f>
        <v>123.04</v>
      </c>
      <c r="K46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461" customFormat="false" ht="15" hidden="false" customHeight="true" outlineLevel="0" collapsed="false">
      <c r="A461" s="9" t="s">
        <v>185</v>
      </c>
      <c r="B461" s="9" t="s">
        <v>818</v>
      </c>
      <c r="C461" s="9" t="s">
        <v>821</v>
      </c>
      <c r="D461" s="5" t="s">
        <v>868</v>
      </c>
      <c r="E461" s="9" t="s">
        <v>815</v>
      </c>
      <c r="F461" s="18" t="n">
        <f aca="false">1/'13 PRODUCTIVITY LIBRARY'!D5</f>
        <v>0.01</v>
      </c>
      <c r="G461" s="13" t="n">
        <f aca="false">N(INDEX('07 EQUIPMENT RATE LIBRARY'!$D$5:$D$100,MATCH("EQ-MIX",'07 EQUIPMENT RATE LIBRARY'!$A$5:$A$100,0)))</f>
        <v>3500</v>
      </c>
      <c r="H461" s="21" t="n">
        <v>0</v>
      </c>
      <c r="I461" s="18" t="n">
        <f aca="false">F461*(1+H461)</f>
        <v>0.01</v>
      </c>
      <c r="J461" s="13" t="n">
        <f aca="false">I461*G461</f>
        <v>35</v>
      </c>
      <c r="K461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462" customFormat="false" ht="15" hidden="false" customHeight="true" outlineLevel="0" collapsed="false">
      <c r="A462" s="9" t="s">
        <v>185</v>
      </c>
      <c r="B462" s="9" t="s">
        <v>818</v>
      </c>
      <c r="C462" s="9" t="s">
        <v>819</v>
      </c>
      <c r="D462" s="5" t="s">
        <v>820</v>
      </c>
      <c r="E462" s="9" t="s">
        <v>815</v>
      </c>
      <c r="F462" s="18" t="n">
        <f aca="false">1/'13 PRODUCTIVITY LIBRARY'!D5</f>
        <v>0.01</v>
      </c>
      <c r="G462" s="13" t="n">
        <f aca="false">N(INDEX('07 EQUIPMENT RATE LIBRARY'!$D$5:$D$100,MATCH("EQ-VIB",'07 EQUIPMENT RATE LIBRARY'!$A$5:$A$100,0)))</f>
        <v>227</v>
      </c>
      <c r="H462" s="21" t="n">
        <v>0</v>
      </c>
      <c r="I462" s="18" t="n">
        <f aca="false">F462*(1+H462)</f>
        <v>0.01</v>
      </c>
      <c r="J462" s="13" t="n">
        <f aca="false">I462*G462</f>
        <v>2.27</v>
      </c>
      <c r="K462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463" customFormat="false" ht="15" hidden="false" customHeight="true" outlineLevel="0" collapsed="false">
      <c r="D463" s="22" t="s">
        <v>825</v>
      </c>
      <c r="J463" s="23" t="n">
        <f aca="false">SUMPRODUCT((B455:B462="Material")*F455:F462*G455:G462)</f>
        <v>473.8184</v>
      </c>
    </row>
    <row r="464" customFormat="false" ht="15" hidden="false" customHeight="true" outlineLevel="0" collapsed="false">
      <c r="D464" s="22" t="s">
        <v>826</v>
      </c>
      <c r="J464" s="23" t="n">
        <f aca="false">SUMIF(B455:B462,"Material",J455:J462)-J463</f>
        <v>15.224</v>
      </c>
    </row>
    <row r="465" customFormat="false" ht="15" hidden="false" customHeight="true" outlineLevel="0" collapsed="false">
      <c r="D465" s="24" t="s">
        <v>827</v>
      </c>
      <c r="J465" s="14" t="n">
        <f aca="false">SUMIF(B455:B462,"Material",J455:J462)</f>
        <v>489.0424</v>
      </c>
    </row>
    <row r="466" customFormat="false" ht="15" hidden="false" customHeight="true" outlineLevel="0" collapsed="false">
      <c r="D466" s="24" t="s">
        <v>828</v>
      </c>
      <c r="J466" s="14" t="n">
        <f aca="false">SUMIF(B455:B462,"Labour",J455:J462)</f>
        <v>145.04</v>
      </c>
    </row>
    <row r="467" customFormat="false" ht="15" hidden="false" customHeight="true" outlineLevel="0" collapsed="false">
      <c r="D467" s="24" t="s">
        <v>829</v>
      </c>
      <c r="J467" s="14" t="n">
        <f aca="false">SUMIF(B455:B462,"Equipment",J455:J462)</f>
        <v>37.27</v>
      </c>
    </row>
    <row r="468" customFormat="false" ht="15" hidden="false" customHeight="true" outlineLevel="0" collapsed="false">
      <c r="D468" s="24" t="s">
        <v>830</v>
      </c>
      <c r="J468" s="14" t="n">
        <f aca="false">SUMIF(B455:B462,"Transport",J455:J462)</f>
        <v>0</v>
      </c>
    </row>
    <row r="469" customFormat="false" ht="15" hidden="false" customHeight="true" outlineLevel="0" collapsed="false">
      <c r="D469" s="24" t="s">
        <v>831</v>
      </c>
      <c r="J469" s="14" t="n">
        <f aca="false">J465+J466+J467+J468</f>
        <v>671.3524</v>
      </c>
    </row>
    <row r="470" customFormat="false" ht="15" hidden="false" customHeight="true" outlineLevel="0" collapsed="false">
      <c r="D470" s="22" t="s">
        <v>832</v>
      </c>
      <c r="J470" s="23" t="n">
        <f aca="false">J469*OH_Site</f>
        <v>20.140572</v>
      </c>
    </row>
    <row r="471" customFormat="false" ht="15" hidden="false" customHeight="true" outlineLevel="0" collapsed="false">
      <c r="D471" s="22" t="s">
        <v>833</v>
      </c>
      <c r="J471" s="23" t="n">
        <f aca="false">J469*OH_HO</f>
        <v>33.56762</v>
      </c>
    </row>
    <row r="472" customFormat="false" ht="15" hidden="false" customHeight="true" outlineLevel="0" collapsed="false">
      <c r="D472" s="22" t="s">
        <v>834</v>
      </c>
      <c r="J472" s="23" t="n">
        <f aca="false">J469*Profit</f>
        <v>67.13524</v>
      </c>
    </row>
    <row r="473" customFormat="false" ht="15" hidden="false" customHeight="true" outlineLevel="0" collapsed="false">
      <c r="D473" s="24" t="s">
        <v>835</v>
      </c>
      <c r="J473" s="14" t="n">
        <f aca="false">J469+J470+J471+J472</f>
        <v>792.195832</v>
      </c>
    </row>
    <row r="474" customFormat="false" ht="15" hidden="false" customHeight="true" outlineLevel="0" collapsed="false">
      <c r="D474" s="22" t="s">
        <v>836</v>
      </c>
      <c r="J474" s="23" t="n">
        <f aca="false">IF(Tax_On="Yes",J473*N(Tax_Rate),0)</f>
        <v>0</v>
      </c>
    </row>
    <row r="475" customFormat="false" ht="15" hidden="false" customHeight="true" outlineLevel="0" collapsed="false">
      <c r="D475" s="24" t="s">
        <v>837</v>
      </c>
      <c r="J475" s="14" t="n">
        <f aca="false">ROUND(J473+J474,0)</f>
        <v>792</v>
      </c>
    </row>
    <row r="476" customFormat="false" ht="15" hidden="false" customHeight="true" outlineLevel="0" collapsed="false">
      <c r="D476" s="25" t="s">
        <v>838</v>
      </c>
      <c r="J476" s="26" t="n">
        <f aca="false">COUNTIF(K455:K462,"NO RATE")+COUNTIF(K455:K462,"OLD RATE")</f>
        <v>0</v>
      </c>
    </row>
    <row r="478" customFormat="false" ht="39.75" hidden="false" customHeight="true" outlineLevel="0" collapsed="false">
      <c r="A478" s="4" t="s">
        <v>189</v>
      </c>
      <c r="B478" s="16" t="s">
        <v>191</v>
      </c>
      <c r="C478" s="16"/>
      <c r="D478" s="16"/>
      <c r="E478" s="16"/>
      <c r="F478" s="16"/>
      <c r="G478" s="16"/>
      <c r="H478" s="16"/>
      <c r="I478" s="16"/>
      <c r="J478" s="4" t="s">
        <v>788</v>
      </c>
      <c r="K478" s="17"/>
    </row>
    <row r="479" customFormat="false" ht="21.75" hidden="false" customHeight="true" outlineLevel="0" collapsed="false">
      <c r="A479" s="12" t="s">
        <v>75</v>
      </c>
      <c r="B479" s="12" t="s">
        <v>789</v>
      </c>
      <c r="C479" s="12" t="s">
        <v>790</v>
      </c>
      <c r="D479" s="12" t="s">
        <v>791</v>
      </c>
      <c r="E479" s="12" t="s">
        <v>81</v>
      </c>
      <c r="F479" s="12" t="s">
        <v>792</v>
      </c>
      <c r="G479" s="12" t="s">
        <v>793</v>
      </c>
      <c r="H479" s="12" t="s">
        <v>794</v>
      </c>
      <c r="I479" s="12" t="s">
        <v>795</v>
      </c>
      <c r="J479" s="12" t="s">
        <v>796</v>
      </c>
      <c r="K479" s="12" t="s">
        <v>797</v>
      </c>
    </row>
    <row r="480" customFormat="false" ht="15" hidden="false" customHeight="true" outlineLevel="0" collapsed="false">
      <c r="A480" s="9" t="s">
        <v>189</v>
      </c>
      <c r="B480" s="9" t="s">
        <v>798</v>
      </c>
      <c r="C480" s="9" t="s">
        <v>799</v>
      </c>
      <c r="D480" s="5" t="s">
        <v>872</v>
      </c>
      <c r="E480" s="9" t="s">
        <v>801</v>
      </c>
      <c r="F480" s="18" t="n">
        <f aca="false">DryF_Conc*1/5.5/Bag_cft</f>
        <v>0.224</v>
      </c>
      <c r="G480" s="13" t="n">
        <f aca="false">N(INDEX('05 MATERIAL RATE LIBRARY'!$E$5:$E$400,MATCH("MAT-CEM-OPC",'05 MATERIAL RATE LIBRARY'!$A$5:$A$400,0)))</f>
        <v>1575</v>
      </c>
      <c r="H480" s="19" t="n">
        <f aca="false">W_Cem</f>
        <v>0.02</v>
      </c>
      <c r="I480" s="18" t="n">
        <f aca="false">F480*(1+H480)</f>
        <v>0.22848</v>
      </c>
      <c r="J480" s="13" t="n">
        <f aca="false">I480*G480</f>
        <v>359.856</v>
      </c>
      <c r="K480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481" customFormat="false" ht="15" hidden="false" customHeight="true" outlineLevel="0" collapsed="false">
      <c r="A481" s="9" t="s">
        <v>189</v>
      </c>
      <c r="B481" s="9" t="s">
        <v>798</v>
      </c>
      <c r="C481" s="9" t="s">
        <v>864</v>
      </c>
      <c r="D481" s="5" t="s">
        <v>873</v>
      </c>
      <c r="E481" s="9" t="s">
        <v>109</v>
      </c>
      <c r="F481" s="18" t="n">
        <f aca="false">DryF_Conc*1.5/5.5</f>
        <v>0.42</v>
      </c>
      <c r="G481" s="13" t="n">
        <f aca="false">N(INDEX('05 MATERIAL RATE LIBRARY'!$E$5:$E$400,MATCH("MAT-SND-CHN",'05 MATERIAL RATE LIBRARY'!$A$5:$A$400,0)))</f>
        <v>80</v>
      </c>
      <c r="H481" s="19" t="n">
        <f aca="false">W_Agg</f>
        <v>0.05</v>
      </c>
      <c r="I481" s="18" t="n">
        <f aca="false">F481*(1+H481)</f>
        <v>0.441</v>
      </c>
      <c r="J481" s="13" t="n">
        <f aca="false">I481*G481</f>
        <v>35.28</v>
      </c>
      <c r="K481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482" customFormat="false" ht="15" hidden="false" customHeight="true" outlineLevel="0" collapsed="false">
      <c r="A482" s="9" t="s">
        <v>189</v>
      </c>
      <c r="B482" s="9" t="s">
        <v>798</v>
      </c>
      <c r="C482" s="9" t="s">
        <v>839</v>
      </c>
      <c r="D482" s="5" t="s">
        <v>874</v>
      </c>
      <c r="E482" s="9" t="s">
        <v>109</v>
      </c>
      <c r="F482" s="18" t="n">
        <f aca="false">DryF_Conc*3/5.5</f>
        <v>0.84</v>
      </c>
      <c r="G482" s="13" t="n">
        <f aca="false">N(INDEX('05 MATERIAL RATE LIBRARY'!$E$5:$E$400,MATCH("MAT-CRS-MGL",'05 MATERIAL RATE LIBRARY'!$A$5:$A$400,0)))</f>
        <v>180</v>
      </c>
      <c r="H482" s="19" t="n">
        <f aca="false">W_Agg</f>
        <v>0.05</v>
      </c>
      <c r="I482" s="18" t="n">
        <f aca="false">F482*(1+H482)</f>
        <v>0.882</v>
      </c>
      <c r="J482" s="13" t="n">
        <f aca="false">I482*G482</f>
        <v>158.76</v>
      </c>
      <c r="K482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483" customFormat="false" ht="15" hidden="false" customHeight="true" outlineLevel="0" collapsed="false">
      <c r="A483" s="9" t="s">
        <v>189</v>
      </c>
      <c r="B483" s="9" t="s">
        <v>798</v>
      </c>
      <c r="C483" s="9" t="s">
        <v>809</v>
      </c>
      <c r="D483" s="5" t="s">
        <v>867</v>
      </c>
      <c r="E483" s="9" t="s">
        <v>811</v>
      </c>
      <c r="F483" s="18" t="n">
        <f aca="false">DryF_Conc*1/5.5/Bag_cft*Bag_kg*0.5</f>
        <v>5.6</v>
      </c>
      <c r="G483" s="13" t="n">
        <f aca="false">N(INDEX('05 MATERIAL RATE LIBRARY'!$E$5:$E$400,MATCH("MAT-WTR",'05 MATERIAL RATE LIBRARY'!$A$5:$A$400,0)))</f>
        <v>0.686</v>
      </c>
      <c r="H483" s="19" t="n">
        <f aca="false">W_Wtr</f>
        <v>0</v>
      </c>
      <c r="I483" s="18" t="n">
        <f aca="false">F483*(1+H483)</f>
        <v>5.6</v>
      </c>
      <c r="J483" s="13" t="n">
        <f aca="false">I483*G483</f>
        <v>3.8416</v>
      </c>
      <c r="K48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484" customFormat="false" ht="15" hidden="false" customHeight="true" outlineLevel="0" collapsed="false">
      <c r="A484" s="9" t="s">
        <v>189</v>
      </c>
      <c r="B484" s="9" t="s">
        <v>812</v>
      </c>
      <c r="C484" s="9" t="s">
        <v>813</v>
      </c>
      <c r="D484" s="5" t="s">
        <v>814</v>
      </c>
      <c r="E484" s="9" t="s">
        <v>815</v>
      </c>
      <c r="F484" s="18" t="n">
        <f aca="false">'13 PRODUCTIVITY LIBRARY'!E5/'13 PRODUCTIVITY LIBRARY'!D5</f>
        <v>0.01</v>
      </c>
      <c r="G484" s="13" t="n">
        <f aca="false">N(INDEX('06 LABOUR RATE LIBRARY'!$D$5:$D$100,MATCH("LAB-MSN",'06 LABOUR RATE LIBRARY'!$A$5:$A$100,0)))</f>
        <v>2200</v>
      </c>
      <c r="H484" s="21" t="n">
        <v>0</v>
      </c>
      <c r="I484" s="18" t="n">
        <f aca="false">F484*(1+H484)</f>
        <v>0.01</v>
      </c>
      <c r="J484" s="13" t="n">
        <f aca="false">I484*G484</f>
        <v>22</v>
      </c>
      <c r="K48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485" customFormat="false" ht="15" hidden="false" customHeight="true" outlineLevel="0" collapsed="false">
      <c r="A485" s="9" t="s">
        <v>189</v>
      </c>
      <c r="B485" s="9" t="s">
        <v>812</v>
      </c>
      <c r="C485" s="9" t="s">
        <v>816</v>
      </c>
      <c r="D485" s="5" t="s">
        <v>817</v>
      </c>
      <c r="E485" s="9" t="s">
        <v>815</v>
      </c>
      <c r="F485" s="18" t="n">
        <f aca="false">'13 PRODUCTIVITY LIBRARY'!F5/'13 PRODUCTIVITY LIBRARY'!D5</f>
        <v>0.08</v>
      </c>
      <c r="G485" s="13" t="n">
        <f aca="false">N(INDEX('06 LABOUR RATE LIBRARY'!$D$5:$D$100,MATCH("LAB-HLP",'06 LABOUR RATE LIBRARY'!$A$5:$A$100,0)))</f>
        <v>1538</v>
      </c>
      <c r="H485" s="21" t="n">
        <v>0</v>
      </c>
      <c r="I485" s="18" t="n">
        <f aca="false">F485*(1+H485)</f>
        <v>0.08</v>
      </c>
      <c r="J485" s="13" t="n">
        <f aca="false">I485*G485</f>
        <v>123.04</v>
      </c>
      <c r="K48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486" customFormat="false" ht="15" hidden="false" customHeight="true" outlineLevel="0" collapsed="false">
      <c r="A486" s="9" t="s">
        <v>189</v>
      </c>
      <c r="B486" s="9" t="s">
        <v>818</v>
      </c>
      <c r="C486" s="9" t="s">
        <v>821</v>
      </c>
      <c r="D486" s="5" t="s">
        <v>868</v>
      </c>
      <c r="E486" s="9" t="s">
        <v>815</v>
      </c>
      <c r="F486" s="18" t="n">
        <f aca="false">1/'13 PRODUCTIVITY LIBRARY'!D5</f>
        <v>0.01</v>
      </c>
      <c r="G486" s="13" t="n">
        <f aca="false">N(INDEX('07 EQUIPMENT RATE LIBRARY'!$D$5:$D$100,MATCH("EQ-MIX",'07 EQUIPMENT RATE LIBRARY'!$A$5:$A$100,0)))</f>
        <v>3500</v>
      </c>
      <c r="H486" s="21" t="n">
        <v>0</v>
      </c>
      <c r="I486" s="18" t="n">
        <f aca="false">F486*(1+H486)</f>
        <v>0.01</v>
      </c>
      <c r="J486" s="13" t="n">
        <f aca="false">I486*G486</f>
        <v>35</v>
      </c>
      <c r="K486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487" customFormat="false" ht="15" hidden="false" customHeight="true" outlineLevel="0" collapsed="false">
      <c r="A487" s="9" t="s">
        <v>189</v>
      </c>
      <c r="B487" s="9" t="s">
        <v>818</v>
      </c>
      <c r="C487" s="9" t="s">
        <v>819</v>
      </c>
      <c r="D487" s="5" t="s">
        <v>820</v>
      </c>
      <c r="E487" s="9" t="s">
        <v>815</v>
      </c>
      <c r="F487" s="18" t="n">
        <f aca="false">1/'13 PRODUCTIVITY LIBRARY'!D5</f>
        <v>0.01</v>
      </c>
      <c r="G487" s="13" t="n">
        <f aca="false">N(INDEX('07 EQUIPMENT RATE LIBRARY'!$D$5:$D$100,MATCH("EQ-VIB",'07 EQUIPMENT RATE LIBRARY'!$A$5:$A$100,0)))</f>
        <v>227</v>
      </c>
      <c r="H487" s="21" t="n">
        <v>0</v>
      </c>
      <c r="I487" s="18" t="n">
        <f aca="false">F487*(1+H487)</f>
        <v>0.01</v>
      </c>
      <c r="J487" s="13" t="n">
        <f aca="false">I487*G487</f>
        <v>2.27</v>
      </c>
      <c r="K487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488" customFormat="false" ht="15" hidden="false" customHeight="true" outlineLevel="0" collapsed="false">
      <c r="D488" s="22" t="s">
        <v>825</v>
      </c>
      <c r="J488" s="23" t="n">
        <f aca="false">SUMPRODUCT((B480:B487="Material")*F480:F487*G480:G487)</f>
        <v>541.4416</v>
      </c>
    </row>
    <row r="489" customFormat="false" ht="15" hidden="false" customHeight="true" outlineLevel="0" collapsed="false">
      <c r="D489" s="22" t="s">
        <v>826</v>
      </c>
      <c r="J489" s="23" t="n">
        <f aca="false">SUMIF(B480:B487,"Material",J480:J487)-J488</f>
        <v>16.2959999999999</v>
      </c>
    </row>
    <row r="490" customFormat="false" ht="15" hidden="false" customHeight="true" outlineLevel="0" collapsed="false">
      <c r="D490" s="24" t="s">
        <v>827</v>
      </c>
      <c r="J490" s="14" t="n">
        <f aca="false">SUMIF(B480:B487,"Material",J480:J487)</f>
        <v>557.7376</v>
      </c>
    </row>
    <row r="491" customFormat="false" ht="15" hidden="false" customHeight="true" outlineLevel="0" collapsed="false">
      <c r="D491" s="24" t="s">
        <v>828</v>
      </c>
      <c r="J491" s="14" t="n">
        <f aca="false">SUMIF(B480:B487,"Labour",J480:J487)</f>
        <v>145.04</v>
      </c>
    </row>
    <row r="492" customFormat="false" ht="15" hidden="false" customHeight="true" outlineLevel="0" collapsed="false">
      <c r="D492" s="24" t="s">
        <v>829</v>
      </c>
      <c r="J492" s="14" t="n">
        <f aca="false">SUMIF(B480:B487,"Equipment",J480:J487)</f>
        <v>37.27</v>
      </c>
    </row>
    <row r="493" customFormat="false" ht="15" hidden="false" customHeight="true" outlineLevel="0" collapsed="false">
      <c r="D493" s="24" t="s">
        <v>830</v>
      </c>
      <c r="J493" s="14" t="n">
        <f aca="false">SUMIF(B480:B487,"Transport",J480:J487)</f>
        <v>0</v>
      </c>
    </row>
    <row r="494" customFormat="false" ht="15" hidden="false" customHeight="true" outlineLevel="0" collapsed="false">
      <c r="D494" s="24" t="s">
        <v>831</v>
      </c>
      <c r="J494" s="14" t="n">
        <f aca="false">J490+J491+J492+J493</f>
        <v>740.0476</v>
      </c>
    </row>
    <row r="495" customFormat="false" ht="15" hidden="false" customHeight="true" outlineLevel="0" collapsed="false">
      <c r="D495" s="22" t="s">
        <v>832</v>
      </c>
      <c r="J495" s="23" t="n">
        <f aca="false">J494*OH_Site</f>
        <v>22.201428</v>
      </c>
    </row>
    <row r="496" customFormat="false" ht="15" hidden="false" customHeight="true" outlineLevel="0" collapsed="false">
      <c r="D496" s="22" t="s">
        <v>833</v>
      </c>
      <c r="J496" s="23" t="n">
        <f aca="false">J494*OH_HO</f>
        <v>37.00238</v>
      </c>
    </row>
    <row r="497" customFormat="false" ht="15" hidden="false" customHeight="true" outlineLevel="0" collapsed="false">
      <c r="D497" s="22" t="s">
        <v>834</v>
      </c>
      <c r="J497" s="23" t="n">
        <f aca="false">J494*Profit</f>
        <v>74.00476</v>
      </c>
    </row>
    <row r="498" customFormat="false" ht="15" hidden="false" customHeight="true" outlineLevel="0" collapsed="false">
      <c r="D498" s="24" t="s">
        <v>835</v>
      </c>
      <c r="J498" s="14" t="n">
        <f aca="false">J494+J495+J496+J497</f>
        <v>873.256168</v>
      </c>
    </row>
    <row r="499" customFormat="false" ht="15" hidden="false" customHeight="true" outlineLevel="0" collapsed="false">
      <c r="D499" s="22" t="s">
        <v>836</v>
      </c>
      <c r="J499" s="23" t="n">
        <f aca="false">IF(Tax_On="Yes",J498*N(Tax_Rate),0)</f>
        <v>0</v>
      </c>
    </row>
    <row r="500" customFormat="false" ht="15" hidden="false" customHeight="true" outlineLevel="0" collapsed="false">
      <c r="D500" s="24" t="s">
        <v>837</v>
      </c>
      <c r="J500" s="14" t="n">
        <f aca="false">ROUND(J498+J499,0)</f>
        <v>873</v>
      </c>
    </row>
    <row r="501" customFormat="false" ht="15" hidden="false" customHeight="true" outlineLevel="0" collapsed="false">
      <c r="D501" s="25" t="s">
        <v>838</v>
      </c>
      <c r="J501" s="26" t="n">
        <f aca="false">COUNTIF(K480:K487,"NO RATE")+COUNTIF(K480:K487,"OLD RATE")</f>
        <v>0</v>
      </c>
    </row>
    <row r="503" customFormat="false" ht="39.75" hidden="false" customHeight="true" outlineLevel="0" collapsed="false">
      <c r="A503" s="4" t="s">
        <v>193</v>
      </c>
      <c r="B503" s="16" t="s">
        <v>196</v>
      </c>
      <c r="C503" s="16"/>
      <c r="D503" s="16"/>
      <c r="E503" s="16"/>
      <c r="F503" s="16"/>
      <c r="G503" s="16"/>
      <c r="H503" s="16"/>
      <c r="I503" s="16"/>
      <c r="J503" s="4" t="s">
        <v>875</v>
      </c>
      <c r="K503" s="17"/>
    </row>
    <row r="504" customFormat="false" ht="21.75" hidden="false" customHeight="true" outlineLevel="0" collapsed="false">
      <c r="A504" s="12" t="s">
        <v>75</v>
      </c>
      <c r="B504" s="12" t="s">
        <v>789</v>
      </c>
      <c r="C504" s="12" t="s">
        <v>790</v>
      </c>
      <c r="D504" s="12" t="s">
        <v>791</v>
      </c>
      <c r="E504" s="12" t="s">
        <v>81</v>
      </c>
      <c r="F504" s="12" t="s">
        <v>792</v>
      </c>
      <c r="G504" s="12" t="s">
        <v>793</v>
      </c>
      <c r="H504" s="12" t="s">
        <v>794</v>
      </c>
      <c r="I504" s="12" t="s">
        <v>795</v>
      </c>
      <c r="J504" s="12" t="s">
        <v>796</v>
      </c>
      <c r="K504" s="12" t="s">
        <v>797</v>
      </c>
    </row>
    <row r="505" customFormat="false" ht="15" hidden="false" customHeight="true" outlineLevel="0" collapsed="false">
      <c r="A505" s="9" t="s">
        <v>193</v>
      </c>
      <c r="B505" s="9" t="s">
        <v>798</v>
      </c>
      <c r="C505" s="9" t="s">
        <v>876</v>
      </c>
      <c r="D505" s="5" t="s">
        <v>877</v>
      </c>
      <c r="E505" s="9" t="s">
        <v>198</v>
      </c>
      <c r="F505" s="18" t="n">
        <v>1</v>
      </c>
      <c r="G505" s="13" t="n">
        <f aca="false">N(INDEX('05 MATERIAL RATE LIBRARY'!$E$5:$E$400,MATCH("MAT-STL-G60",'05 MATERIAL RATE LIBRARY'!$A$5:$A$400,0)))</f>
        <v>242</v>
      </c>
      <c r="H505" s="19" t="n">
        <f aca="false">W_Stl</f>
        <v>0.03</v>
      </c>
      <c r="I505" s="18" t="n">
        <f aca="false">F505*(1+H505)</f>
        <v>1.03</v>
      </c>
      <c r="J505" s="13" t="n">
        <f aca="false">I505*G505</f>
        <v>249.26</v>
      </c>
      <c r="K505" s="20" t="str">
        <f aca="false">IF(INDEX('05 MATERIAL RATE LIBRARY'!$M$5:$M$400,MATCH("MAT-STL-G60",'05 MATERIAL RATE LIBRARY'!$A$5:$A$400,0))=1,"",IF(INDEX('05 MATERIAL RATE LIBRARY'!$M$5:$M$400,MATCH("MAT-STL-G60",'05 MATERIAL RATE LIBRARY'!$A$5:$A$400,0))=2,"OLD RATE","NO RATE"))</f>
        <v/>
      </c>
    </row>
    <row r="506" customFormat="false" ht="15" hidden="false" customHeight="true" outlineLevel="0" collapsed="false">
      <c r="A506" s="9" t="s">
        <v>193</v>
      </c>
      <c r="B506" s="9" t="s">
        <v>798</v>
      </c>
      <c r="C506" s="9" t="s">
        <v>878</v>
      </c>
      <c r="D506" s="5" t="s">
        <v>879</v>
      </c>
      <c r="E506" s="9" t="s">
        <v>198</v>
      </c>
      <c r="F506" s="18" t="n">
        <v>0.01</v>
      </c>
      <c r="G506" s="13" t="n">
        <f aca="false">N(INDEX('05 MATERIAL RATE LIBRARY'!$E$5:$E$400,MATCH("MAT-BWIRE",'05 MATERIAL RATE LIBRARY'!$A$5:$A$400,0)))</f>
        <v>345</v>
      </c>
      <c r="H506" s="21" t="n">
        <v>0</v>
      </c>
      <c r="I506" s="18" t="n">
        <f aca="false">F506*(1+H506)</f>
        <v>0.01</v>
      </c>
      <c r="J506" s="13" t="n">
        <f aca="false">I506*G506</f>
        <v>3.45</v>
      </c>
      <c r="K506" s="20" t="str">
        <f aca="false">IF(INDEX('05 MATERIAL RATE LIBRARY'!$M$5:$M$400,MATCH("MAT-BWIRE",'05 MATERIAL RATE LIBRARY'!$A$5:$A$400,0))=1,"",IF(INDEX('05 MATERIAL RATE LIBRARY'!$M$5:$M$400,MATCH("MAT-BWIRE",'05 MATERIAL RATE LIBRARY'!$A$5:$A$400,0))=2,"OLD RATE","NO RATE"))</f>
        <v/>
      </c>
    </row>
    <row r="507" customFormat="false" ht="15" hidden="false" customHeight="true" outlineLevel="0" collapsed="false">
      <c r="A507" s="9" t="s">
        <v>193</v>
      </c>
      <c r="B507" s="9" t="s">
        <v>812</v>
      </c>
      <c r="C507" s="9" t="s">
        <v>880</v>
      </c>
      <c r="D507" s="5" t="s">
        <v>881</v>
      </c>
      <c r="E507" s="9" t="s">
        <v>815</v>
      </c>
      <c r="F507" s="18" t="n">
        <f aca="false">'13 PRODUCTIVITY LIBRARY'!E7/'13 PRODUCTIVITY LIBRARY'!D7</f>
        <v>0.00277777777777778</v>
      </c>
      <c r="G507" s="13" t="n">
        <f aca="false">N(INDEX('06 LABOUR RATE LIBRARY'!$D$5:$D$100,MATCH("LAB-SFX",'06 LABOUR RATE LIBRARY'!$A$5:$A$100,0)))</f>
        <v>2450</v>
      </c>
      <c r="H507" s="21" t="n">
        <v>0</v>
      </c>
      <c r="I507" s="18" t="n">
        <f aca="false">F507*(1+H507)</f>
        <v>0.00277777777777778</v>
      </c>
      <c r="J507" s="13" t="n">
        <f aca="false">I507*G507</f>
        <v>6.80555555555556</v>
      </c>
      <c r="K507" s="20" t="str">
        <f aca="false">IF(INDEX('06 LABOUR RATE LIBRARY'!$L$5:$L$100,MATCH("LAB-SFX",'06 LABOUR RATE LIBRARY'!$A$5:$A$100,0))=1,"",IF(INDEX('06 LABOUR RATE LIBRARY'!$L$5:$L$100,MATCH("LAB-SFX",'06 LABOUR RATE LIBRARY'!$A$5:$A$100,0))=2,"OLD RATE","NO RATE"))</f>
        <v/>
      </c>
    </row>
    <row r="508" customFormat="false" ht="15" hidden="false" customHeight="true" outlineLevel="0" collapsed="false">
      <c r="A508" s="9" t="s">
        <v>193</v>
      </c>
      <c r="B508" s="9" t="s">
        <v>812</v>
      </c>
      <c r="C508" s="9" t="s">
        <v>816</v>
      </c>
      <c r="D508" s="5" t="s">
        <v>882</v>
      </c>
      <c r="E508" s="9" t="s">
        <v>815</v>
      </c>
      <c r="F508" s="18" t="n">
        <f aca="false">'13 PRODUCTIVITY LIBRARY'!F7/'13 PRODUCTIVITY LIBRARY'!D7</f>
        <v>0.00277777777777778</v>
      </c>
      <c r="G508" s="13" t="n">
        <f aca="false">N(INDEX('06 LABOUR RATE LIBRARY'!$D$5:$D$100,MATCH("LAB-HLP",'06 LABOUR RATE LIBRARY'!$A$5:$A$100,0)))</f>
        <v>1538</v>
      </c>
      <c r="H508" s="21" t="n">
        <v>0</v>
      </c>
      <c r="I508" s="18" t="n">
        <f aca="false">F508*(1+H508)</f>
        <v>0.00277777777777778</v>
      </c>
      <c r="J508" s="13" t="n">
        <f aca="false">I508*G508</f>
        <v>4.27222222222222</v>
      </c>
      <c r="K50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509" customFormat="false" ht="15" hidden="false" customHeight="true" outlineLevel="0" collapsed="false">
      <c r="D509" s="22" t="s">
        <v>825</v>
      </c>
      <c r="J509" s="23" t="n">
        <f aca="false">SUMPRODUCT((B505:B508="Material")*F505:F508*G505:G508)</f>
        <v>245.45</v>
      </c>
    </row>
    <row r="510" customFormat="false" ht="15" hidden="false" customHeight="true" outlineLevel="0" collapsed="false">
      <c r="D510" s="22" t="s">
        <v>826</v>
      </c>
      <c r="J510" s="23" t="n">
        <f aca="false">SUMIF(B505:B508,"Material",J505:J508)-J509</f>
        <v>7.26000000000002</v>
      </c>
    </row>
    <row r="511" customFormat="false" ht="15" hidden="false" customHeight="true" outlineLevel="0" collapsed="false">
      <c r="D511" s="24" t="s">
        <v>827</v>
      </c>
      <c r="J511" s="14" t="n">
        <f aca="false">SUMIF(B505:B508,"Material",J505:J508)</f>
        <v>252.71</v>
      </c>
    </row>
    <row r="512" customFormat="false" ht="15" hidden="false" customHeight="true" outlineLevel="0" collapsed="false">
      <c r="D512" s="24" t="s">
        <v>828</v>
      </c>
      <c r="J512" s="14" t="n">
        <f aca="false">SUMIF(B505:B508,"Labour",J505:J508)</f>
        <v>11.0777777777778</v>
      </c>
    </row>
    <row r="513" customFormat="false" ht="15" hidden="false" customHeight="true" outlineLevel="0" collapsed="false">
      <c r="D513" s="24" t="s">
        <v>829</v>
      </c>
      <c r="J513" s="14" t="n">
        <f aca="false">SUMIF(B505:B508,"Equipment",J505:J508)</f>
        <v>0</v>
      </c>
    </row>
    <row r="514" customFormat="false" ht="15" hidden="false" customHeight="true" outlineLevel="0" collapsed="false">
      <c r="D514" s="24" t="s">
        <v>830</v>
      </c>
      <c r="J514" s="14" t="n">
        <f aca="false">SUMIF(B505:B508,"Transport",J505:J508)</f>
        <v>0</v>
      </c>
    </row>
    <row r="515" customFormat="false" ht="15" hidden="false" customHeight="true" outlineLevel="0" collapsed="false">
      <c r="D515" s="24" t="s">
        <v>831</v>
      </c>
      <c r="J515" s="14" t="n">
        <f aca="false">J511+J512+J513+J514</f>
        <v>263.787777777778</v>
      </c>
    </row>
    <row r="516" customFormat="false" ht="15" hidden="false" customHeight="true" outlineLevel="0" collapsed="false">
      <c r="D516" s="22" t="s">
        <v>832</v>
      </c>
      <c r="J516" s="23" t="n">
        <f aca="false">J515*OH_Site</f>
        <v>7.91363333333333</v>
      </c>
    </row>
    <row r="517" customFormat="false" ht="15" hidden="false" customHeight="true" outlineLevel="0" collapsed="false">
      <c r="D517" s="22" t="s">
        <v>833</v>
      </c>
      <c r="J517" s="23" t="n">
        <f aca="false">J515*OH_HO</f>
        <v>13.1893888888889</v>
      </c>
    </row>
    <row r="518" customFormat="false" ht="15" hidden="false" customHeight="true" outlineLevel="0" collapsed="false">
      <c r="D518" s="22" t="s">
        <v>834</v>
      </c>
      <c r="J518" s="23" t="n">
        <f aca="false">J515*Profit</f>
        <v>26.3787777777778</v>
      </c>
    </row>
    <row r="519" customFormat="false" ht="15" hidden="false" customHeight="true" outlineLevel="0" collapsed="false">
      <c r="D519" s="24" t="s">
        <v>835</v>
      </c>
      <c r="J519" s="14" t="n">
        <f aca="false">J515+J516+J517+J518</f>
        <v>311.269577777778</v>
      </c>
    </row>
    <row r="520" customFormat="false" ht="15" hidden="false" customHeight="true" outlineLevel="0" collapsed="false">
      <c r="D520" s="22" t="s">
        <v>836</v>
      </c>
      <c r="J520" s="23" t="n">
        <f aca="false">IF(Tax_On="Yes",J519*N(Tax_Rate),0)</f>
        <v>0</v>
      </c>
    </row>
    <row r="521" customFormat="false" ht="15" hidden="false" customHeight="true" outlineLevel="0" collapsed="false">
      <c r="D521" s="24" t="s">
        <v>883</v>
      </c>
      <c r="J521" s="14" t="n">
        <f aca="false">ROUND(J519+J520,0)</f>
        <v>311</v>
      </c>
    </row>
    <row r="522" customFormat="false" ht="15" hidden="false" customHeight="true" outlineLevel="0" collapsed="false">
      <c r="D522" s="25" t="s">
        <v>838</v>
      </c>
      <c r="J522" s="26" t="n">
        <f aca="false">COUNTIF(K505:K508,"NO RATE")+COUNTIF(K505:K508,"OLD RATE")</f>
        <v>0</v>
      </c>
    </row>
    <row r="524" customFormat="false" ht="39.75" hidden="false" customHeight="true" outlineLevel="0" collapsed="false">
      <c r="A524" s="4" t="s">
        <v>200</v>
      </c>
      <c r="B524" s="16" t="s">
        <v>203</v>
      </c>
      <c r="C524" s="16"/>
      <c r="D524" s="16"/>
      <c r="E524" s="16"/>
      <c r="F524" s="16"/>
      <c r="G524" s="16"/>
      <c r="H524" s="16"/>
      <c r="I524" s="16"/>
      <c r="J524" s="4" t="s">
        <v>788</v>
      </c>
      <c r="K524" s="17"/>
    </row>
    <row r="525" customFormat="false" ht="21.75" hidden="false" customHeight="true" outlineLevel="0" collapsed="false">
      <c r="A525" s="12" t="s">
        <v>75</v>
      </c>
      <c r="B525" s="12" t="s">
        <v>789</v>
      </c>
      <c r="C525" s="12" t="s">
        <v>790</v>
      </c>
      <c r="D525" s="12" t="s">
        <v>791</v>
      </c>
      <c r="E525" s="12" t="s">
        <v>81</v>
      </c>
      <c r="F525" s="12" t="s">
        <v>792</v>
      </c>
      <c r="G525" s="12" t="s">
        <v>793</v>
      </c>
      <c r="H525" s="12" t="s">
        <v>794</v>
      </c>
      <c r="I525" s="12" t="s">
        <v>795</v>
      </c>
      <c r="J525" s="12" t="s">
        <v>796</v>
      </c>
      <c r="K525" s="12" t="s">
        <v>797</v>
      </c>
    </row>
    <row r="526" customFormat="false" ht="15" hidden="false" customHeight="true" outlineLevel="0" collapsed="false">
      <c r="A526" s="9" t="s">
        <v>200</v>
      </c>
      <c r="B526" s="9" t="s">
        <v>798</v>
      </c>
      <c r="C526" s="9" t="s">
        <v>884</v>
      </c>
      <c r="D526" s="5" t="s">
        <v>885</v>
      </c>
      <c r="E526" s="9" t="s">
        <v>368</v>
      </c>
      <c r="F526" s="18" t="n">
        <v>13.5</v>
      </c>
      <c r="G526" s="13" t="n">
        <f aca="false">N(INDEX('05 MATERIAL RATE LIBRARY'!$E$5:$E$400,MATCH("MAT-BRK-A",'05 MATERIAL RATE LIBRARY'!$A$5:$A$400,0)))</f>
        <v>17.5</v>
      </c>
      <c r="H526" s="19" t="n">
        <f aca="false">W_Brk</f>
        <v>0.05</v>
      </c>
      <c r="I526" s="18" t="n">
        <f aca="false">F526*(1+H526)</f>
        <v>14.175</v>
      </c>
      <c r="J526" s="13" t="n">
        <f aca="false">I526*G526</f>
        <v>248.0625</v>
      </c>
      <c r="K526" s="20" t="str">
        <f aca="false">IF(INDEX('05 MATERIAL RATE LIBRARY'!$M$5:$M$400,MATCH("MAT-BRK-A",'05 MATERIAL RATE LIBRARY'!$A$5:$A$400,0))=1,"",IF(INDEX('05 MATERIAL RATE LIBRARY'!$M$5:$M$400,MATCH("MAT-BRK-A",'05 MATERIAL RATE LIBRARY'!$A$5:$A$400,0))=2,"OLD RATE","NO RATE"))</f>
        <v/>
      </c>
    </row>
    <row r="527" customFormat="false" ht="15" hidden="false" customHeight="true" outlineLevel="0" collapsed="false">
      <c r="A527" s="9" t="s">
        <v>200</v>
      </c>
      <c r="B527" s="9" t="s">
        <v>798</v>
      </c>
      <c r="C527" s="9" t="s">
        <v>799</v>
      </c>
      <c r="D527" s="5" t="s">
        <v>886</v>
      </c>
      <c r="E527" s="9" t="s">
        <v>801</v>
      </c>
      <c r="F527" s="18" t="n">
        <f aca="false">0.25*DryF_Mortar/7/Bag_cft</f>
        <v>0.0371428571428571</v>
      </c>
      <c r="G527" s="13" t="n">
        <f aca="false">N(INDEX('05 MATERIAL RATE LIBRARY'!$E$5:$E$400,MATCH("MAT-CEM-OPC",'05 MATERIAL RATE LIBRARY'!$A$5:$A$400,0)))</f>
        <v>1575</v>
      </c>
      <c r="H527" s="19" t="n">
        <f aca="false">W_Cem</f>
        <v>0.02</v>
      </c>
      <c r="I527" s="18" t="n">
        <f aca="false">F527*(1+H527)</f>
        <v>0.0378857142857143</v>
      </c>
      <c r="J527" s="13" t="n">
        <f aca="false">I527*G527</f>
        <v>59.67</v>
      </c>
      <c r="K527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528" customFormat="false" ht="15" hidden="false" customHeight="true" outlineLevel="0" collapsed="false">
      <c r="A528" s="9" t="s">
        <v>200</v>
      </c>
      <c r="B528" s="9" t="s">
        <v>798</v>
      </c>
      <c r="C528" s="9" t="s">
        <v>864</v>
      </c>
      <c r="D528" s="5" t="s">
        <v>887</v>
      </c>
      <c r="E528" s="9" t="s">
        <v>109</v>
      </c>
      <c r="F528" s="18" t="n">
        <f aca="false">0.25*DryF_Mortar*6/7</f>
        <v>0.278571428571429</v>
      </c>
      <c r="G528" s="13" t="n">
        <f aca="false">N(INDEX('05 MATERIAL RATE LIBRARY'!$E$5:$E$400,MATCH("MAT-SND-CHN",'05 MATERIAL RATE LIBRARY'!$A$5:$A$400,0)))</f>
        <v>80</v>
      </c>
      <c r="H528" s="19" t="n">
        <f aca="false">W_Agg</f>
        <v>0.05</v>
      </c>
      <c r="I528" s="18" t="n">
        <f aca="false">F528*(1+H528)</f>
        <v>0.2925</v>
      </c>
      <c r="J528" s="13" t="n">
        <f aca="false">I528*G528</f>
        <v>23.4</v>
      </c>
      <c r="K528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529" customFormat="false" ht="15" hidden="false" customHeight="true" outlineLevel="0" collapsed="false">
      <c r="A529" s="9" t="s">
        <v>200</v>
      </c>
      <c r="B529" s="9" t="s">
        <v>812</v>
      </c>
      <c r="C529" s="9" t="s">
        <v>813</v>
      </c>
      <c r="D529" s="5" t="s">
        <v>888</v>
      </c>
      <c r="E529" s="9" t="s">
        <v>815</v>
      </c>
      <c r="F529" s="18" t="n">
        <f aca="false">'13 PRODUCTIVITY LIBRARY'!E8/'13 PRODUCTIVITY LIBRARY'!D8</f>
        <v>0.02</v>
      </c>
      <c r="G529" s="13" t="n">
        <f aca="false">N(INDEX('06 LABOUR RATE LIBRARY'!$D$5:$D$100,MATCH("LAB-MSN",'06 LABOUR RATE LIBRARY'!$A$5:$A$100,0)))</f>
        <v>2200</v>
      </c>
      <c r="H529" s="21" t="n">
        <v>0</v>
      </c>
      <c r="I529" s="18" t="n">
        <f aca="false">F529*(1+H529)</f>
        <v>0.02</v>
      </c>
      <c r="J529" s="13" t="n">
        <f aca="false">I529*G529</f>
        <v>44</v>
      </c>
      <c r="K52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530" customFormat="false" ht="15" hidden="false" customHeight="true" outlineLevel="0" collapsed="false">
      <c r="A530" s="9" t="s">
        <v>200</v>
      </c>
      <c r="B530" s="9" t="s">
        <v>812</v>
      </c>
      <c r="C530" s="9" t="s">
        <v>816</v>
      </c>
      <c r="D530" s="5" t="s">
        <v>889</v>
      </c>
      <c r="E530" s="9" t="s">
        <v>815</v>
      </c>
      <c r="F530" s="18" t="n">
        <f aca="false">'13 PRODUCTIVITY LIBRARY'!F8/'13 PRODUCTIVITY LIBRARY'!D8</f>
        <v>0.03</v>
      </c>
      <c r="G530" s="13" t="n">
        <f aca="false">N(INDEX('06 LABOUR RATE LIBRARY'!$D$5:$D$100,MATCH("LAB-HLP",'06 LABOUR RATE LIBRARY'!$A$5:$A$100,0)))</f>
        <v>1538</v>
      </c>
      <c r="H530" s="21" t="n">
        <v>0</v>
      </c>
      <c r="I530" s="18" t="n">
        <f aca="false">F530*(1+H530)</f>
        <v>0.03</v>
      </c>
      <c r="J530" s="13" t="n">
        <f aca="false">I530*G530</f>
        <v>46.14</v>
      </c>
      <c r="K53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531" customFormat="false" ht="15" hidden="false" customHeight="true" outlineLevel="0" collapsed="false">
      <c r="D531" s="22" t="s">
        <v>825</v>
      </c>
      <c r="J531" s="23" t="n">
        <f aca="false">SUMPRODUCT((B526:B530="Material")*F526:F530*G526:G530)</f>
        <v>317.035714285714</v>
      </c>
    </row>
    <row r="532" customFormat="false" ht="15" hidden="false" customHeight="true" outlineLevel="0" collapsed="false">
      <c r="D532" s="22" t="s">
        <v>826</v>
      </c>
      <c r="J532" s="23" t="n">
        <f aca="false">SUMIF(B526:B530,"Material",J526:J530)-J531</f>
        <v>14.0967857142857</v>
      </c>
    </row>
    <row r="533" customFormat="false" ht="15" hidden="false" customHeight="true" outlineLevel="0" collapsed="false">
      <c r="D533" s="24" t="s">
        <v>827</v>
      </c>
      <c r="J533" s="14" t="n">
        <f aca="false">SUMIF(B526:B530,"Material",J526:J530)</f>
        <v>331.1325</v>
      </c>
    </row>
    <row r="534" customFormat="false" ht="15" hidden="false" customHeight="true" outlineLevel="0" collapsed="false">
      <c r="D534" s="24" t="s">
        <v>828</v>
      </c>
      <c r="J534" s="14" t="n">
        <f aca="false">SUMIF(B526:B530,"Labour",J526:J530)</f>
        <v>90.14</v>
      </c>
    </row>
    <row r="535" customFormat="false" ht="15" hidden="false" customHeight="true" outlineLevel="0" collapsed="false">
      <c r="D535" s="24" t="s">
        <v>829</v>
      </c>
      <c r="J535" s="14" t="n">
        <f aca="false">SUMIF(B526:B530,"Equipment",J526:J530)</f>
        <v>0</v>
      </c>
    </row>
    <row r="536" customFormat="false" ht="15" hidden="false" customHeight="true" outlineLevel="0" collapsed="false">
      <c r="D536" s="24" t="s">
        <v>830</v>
      </c>
      <c r="J536" s="14" t="n">
        <f aca="false">SUMIF(B526:B530,"Transport",J526:J530)</f>
        <v>0</v>
      </c>
    </row>
    <row r="537" customFormat="false" ht="15" hidden="false" customHeight="true" outlineLevel="0" collapsed="false">
      <c r="D537" s="24" t="s">
        <v>831</v>
      </c>
      <c r="J537" s="14" t="n">
        <f aca="false">J533+J534+J535+J536</f>
        <v>421.2725</v>
      </c>
    </row>
    <row r="538" customFormat="false" ht="15" hidden="false" customHeight="true" outlineLevel="0" collapsed="false">
      <c r="D538" s="22" t="s">
        <v>832</v>
      </c>
      <c r="J538" s="23" t="n">
        <f aca="false">J537*OH_Site</f>
        <v>12.638175</v>
      </c>
    </row>
    <row r="539" customFormat="false" ht="15" hidden="false" customHeight="true" outlineLevel="0" collapsed="false">
      <c r="D539" s="22" t="s">
        <v>833</v>
      </c>
      <c r="J539" s="23" t="n">
        <f aca="false">J537*OH_HO</f>
        <v>21.063625</v>
      </c>
    </row>
    <row r="540" customFormat="false" ht="15" hidden="false" customHeight="true" outlineLevel="0" collapsed="false">
      <c r="D540" s="22" t="s">
        <v>834</v>
      </c>
      <c r="J540" s="23" t="n">
        <f aca="false">J537*Profit</f>
        <v>42.12725</v>
      </c>
    </row>
    <row r="541" customFormat="false" ht="15" hidden="false" customHeight="true" outlineLevel="0" collapsed="false">
      <c r="D541" s="24" t="s">
        <v>835</v>
      </c>
      <c r="J541" s="14" t="n">
        <f aca="false">J537+J538+J539+J540</f>
        <v>497.10155</v>
      </c>
    </row>
    <row r="542" customFormat="false" ht="15" hidden="false" customHeight="true" outlineLevel="0" collapsed="false">
      <c r="D542" s="22" t="s">
        <v>836</v>
      </c>
      <c r="J542" s="23" t="n">
        <f aca="false">IF(Tax_On="Yes",J541*N(Tax_Rate),0)</f>
        <v>0</v>
      </c>
    </row>
    <row r="543" customFormat="false" ht="15" hidden="false" customHeight="true" outlineLevel="0" collapsed="false">
      <c r="D543" s="24" t="s">
        <v>837</v>
      </c>
      <c r="J543" s="14" t="n">
        <f aca="false">ROUND(J541+J542,0)</f>
        <v>497</v>
      </c>
    </row>
    <row r="544" customFormat="false" ht="15" hidden="false" customHeight="true" outlineLevel="0" collapsed="false">
      <c r="D544" s="25" t="s">
        <v>838</v>
      </c>
      <c r="J544" s="26" t="n">
        <f aca="false">COUNTIF(K526:K530,"NO RATE")+COUNTIF(K526:K530,"OLD RATE")</f>
        <v>0</v>
      </c>
    </row>
    <row r="546" customFormat="false" ht="39.75" hidden="false" customHeight="true" outlineLevel="0" collapsed="false">
      <c r="A546" s="4" t="s">
        <v>206</v>
      </c>
      <c r="B546" s="16" t="s">
        <v>210</v>
      </c>
      <c r="C546" s="16"/>
      <c r="D546" s="16"/>
      <c r="E546" s="16"/>
      <c r="F546" s="16"/>
      <c r="G546" s="16"/>
      <c r="H546" s="16"/>
      <c r="I546" s="16"/>
      <c r="J546" s="4" t="s">
        <v>890</v>
      </c>
      <c r="K546" s="17"/>
    </row>
    <row r="547" customFormat="false" ht="21.75" hidden="false" customHeight="true" outlineLevel="0" collapsed="false">
      <c r="A547" s="12" t="s">
        <v>75</v>
      </c>
      <c r="B547" s="12" t="s">
        <v>789</v>
      </c>
      <c r="C547" s="12" t="s">
        <v>790</v>
      </c>
      <c r="D547" s="12" t="s">
        <v>791</v>
      </c>
      <c r="E547" s="12" t="s">
        <v>81</v>
      </c>
      <c r="F547" s="12" t="s">
        <v>792</v>
      </c>
      <c r="G547" s="12" t="s">
        <v>793</v>
      </c>
      <c r="H547" s="12" t="s">
        <v>794</v>
      </c>
      <c r="I547" s="12" t="s">
        <v>795</v>
      </c>
      <c r="J547" s="12" t="s">
        <v>796</v>
      </c>
      <c r="K547" s="12" t="s">
        <v>797</v>
      </c>
    </row>
    <row r="548" customFormat="false" ht="15" hidden="false" customHeight="true" outlineLevel="0" collapsed="false">
      <c r="A548" s="9" t="s">
        <v>206</v>
      </c>
      <c r="B548" s="9" t="s">
        <v>798</v>
      </c>
      <c r="C548" s="9" t="s">
        <v>799</v>
      </c>
      <c r="D548" s="5" t="s">
        <v>850</v>
      </c>
      <c r="E548" s="9" t="s">
        <v>801</v>
      </c>
      <c r="F548" s="18" t="n">
        <f aca="false">0.0416666666666667*1.2*DryF_Mortar*1/5/Bag_cft</f>
        <v>0.0104</v>
      </c>
      <c r="G548" s="13" t="n">
        <f aca="false">N(INDEX('05 MATERIAL RATE LIBRARY'!$E$5:$E$400,MATCH("MAT-CEM-OPC",'05 MATERIAL RATE LIBRARY'!$A$5:$A$400,0)))</f>
        <v>1575</v>
      </c>
      <c r="H548" s="19" t="n">
        <f aca="false">W_Cem</f>
        <v>0.02</v>
      </c>
      <c r="I548" s="18" t="n">
        <f aca="false">F548*(1+H548)</f>
        <v>0.010608</v>
      </c>
      <c r="J548" s="13" t="n">
        <f aca="false">I548*G548</f>
        <v>16.7076</v>
      </c>
      <c r="K548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549" customFormat="false" ht="15" hidden="false" customHeight="true" outlineLevel="0" collapsed="false">
      <c r="A549" s="9" t="s">
        <v>206</v>
      </c>
      <c r="B549" s="9" t="s">
        <v>798</v>
      </c>
      <c r="C549" s="9" t="s">
        <v>864</v>
      </c>
      <c r="D549" s="5" t="s">
        <v>891</v>
      </c>
      <c r="E549" s="9" t="s">
        <v>109</v>
      </c>
      <c r="F549" s="18" t="n">
        <f aca="false">0.0416666666666667*1.2*DryF_Mortar*4/5</f>
        <v>0.052</v>
      </c>
      <c r="G549" s="13" t="n">
        <f aca="false">N(INDEX('05 MATERIAL RATE LIBRARY'!$E$5:$E$400,MATCH("MAT-SND-CHN",'05 MATERIAL RATE LIBRARY'!$A$5:$A$400,0)))</f>
        <v>80</v>
      </c>
      <c r="H549" s="19" t="n">
        <f aca="false">W_Agg</f>
        <v>0.05</v>
      </c>
      <c r="I549" s="18" t="n">
        <f aca="false">F549*(1+H549)</f>
        <v>0.0546000000000001</v>
      </c>
      <c r="J549" s="13" t="n">
        <f aca="false">I549*G549</f>
        <v>4.368</v>
      </c>
      <c r="K549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550" customFormat="false" ht="15" hidden="false" customHeight="true" outlineLevel="0" collapsed="false">
      <c r="A550" s="9" t="s">
        <v>206</v>
      </c>
      <c r="B550" s="9" t="s">
        <v>812</v>
      </c>
      <c r="C550" s="9" t="s">
        <v>892</v>
      </c>
      <c r="D550" s="5" t="s">
        <v>893</v>
      </c>
      <c r="E550" s="9" t="s">
        <v>815</v>
      </c>
      <c r="F550" s="18" t="n">
        <f aca="false">'13 PRODUCTIVITY LIBRARY'!E9/'13 PRODUCTIVITY LIBRARY'!D9</f>
        <v>0.01</v>
      </c>
      <c r="G550" s="13" t="n">
        <f aca="false">N(INDEX('06 LABOUR RATE LIBRARY'!$D$5:$D$100,MATCH("LAB-PLS",'06 LABOUR RATE LIBRARY'!$A$5:$A$100,0)))</f>
        <v>2150</v>
      </c>
      <c r="H550" s="21" t="n">
        <v>0</v>
      </c>
      <c r="I550" s="18" t="n">
        <f aca="false">F550*(1+H550)</f>
        <v>0.01</v>
      </c>
      <c r="J550" s="13" t="n">
        <f aca="false">I550*G550</f>
        <v>21.5</v>
      </c>
      <c r="K550" s="20" t="str">
        <f aca="false">IF(INDEX('06 LABOUR RATE LIBRARY'!$L$5:$L$100,MATCH("LAB-PLS",'06 LABOUR RATE LIBRARY'!$A$5:$A$100,0))=1,"",IF(INDEX('06 LABOUR RATE LIBRARY'!$L$5:$L$100,MATCH("LAB-PLS",'06 LABOUR RATE LIBRARY'!$A$5:$A$100,0))=2,"OLD RATE","NO RATE"))</f>
        <v/>
      </c>
    </row>
    <row r="551" customFormat="false" ht="15" hidden="false" customHeight="true" outlineLevel="0" collapsed="false">
      <c r="A551" s="9" t="s">
        <v>206</v>
      </c>
      <c r="B551" s="9" t="s">
        <v>812</v>
      </c>
      <c r="C551" s="9" t="s">
        <v>816</v>
      </c>
      <c r="D551" s="5" t="s">
        <v>894</v>
      </c>
      <c r="E551" s="9" t="s">
        <v>815</v>
      </c>
      <c r="F551" s="18" t="n">
        <f aca="false">'13 PRODUCTIVITY LIBRARY'!F9/'13 PRODUCTIVITY LIBRARY'!D9</f>
        <v>0.01</v>
      </c>
      <c r="G551" s="13" t="n">
        <f aca="false">N(INDEX('06 LABOUR RATE LIBRARY'!$D$5:$D$100,MATCH("LAB-HLP",'06 LABOUR RATE LIBRARY'!$A$5:$A$100,0)))</f>
        <v>1538</v>
      </c>
      <c r="H551" s="21" t="n">
        <v>0</v>
      </c>
      <c r="I551" s="18" t="n">
        <f aca="false">F551*(1+H551)</f>
        <v>0.01</v>
      </c>
      <c r="J551" s="13" t="n">
        <f aca="false">I551*G551</f>
        <v>15.38</v>
      </c>
      <c r="K55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552" customFormat="false" ht="15" hidden="false" customHeight="true" outlineLevel="0" collapsed="false">
      <c r="D552" s="22" t="s">
        <v>825</v>
      </c>
      <c r="J552" s="23" t="n">
        <f aca="false">SUMPRODUCT((B548:B551="Material")*F548:F551*G548:G551)</f>
        <v>20.54</v>
      </c>
    </row>
    <row r="553" customFormat="false" ht="15" hidden="false" customHeight="true" outlineLevel="0" collapsed="false">
      <c r="D553" s="22" t="s">
        <v>826</v>
      </c>
      <c r="J553" s="23" t="n">
        <f aca="false">SUMIF(B548:B551,"Material",J548:J551)-J552</f>
        <v>0.535600000000002</v>
      </c>
    </row>
    <row r="554" customFormat="false" ht="15" hidden="false" customHeight="true" outlineLevel="0" collapsed="false">
      <c r="D554" s="24" t="s">
        <v>827</v>
      </c>
      <c r="J554" s="14" t="n">
        <f aca="false">SUMIF(B548:B551,"Material",J548:J551)</f>
        <v>21.0756</v>
      </c>
    </row>
    <row r="555" customFormat="false" ht="15" hidden="false" customHeight="true" outlineLevel="0" collapsed="false">
      <c r="D555" s="24" t="s">
        <v>828</v>
      </c>
      <c r="J555" s="14" t="n">
        <f aca="false">SUMIF(B548:B551,"Labour",J548:J551)</f>
        <v>36.88</v>
      </c>
    </row>
    <row r="556" customFormat="false" ht="15" hidden="false" customHeight="true" outlineLevel="0" collapsed="false">
      <c r="D556" s="24" t="s">
        <v>829</v>
      </c>
      <c r="J556" s="14" t="n">
        <f aca="false">SUMIF(B548:B551,"Equipment",J548:J551)</f>
        <v>0</v>
      </c>
    </row>
    <row r="557" customFormat="false" ht="15" hidden="false" customHeight="true" outlineLevel="0" collapsed="false">
      <c r="D557" s="24" t="s">
        <v>830</v>
      </c>
      <c r="J557" s="14" t="n">
        <f aca="false">SUMIF(B548:B551,"Transport",J548:J551)</f>
        <v>0</v>
      </c>
    </row>
    <row r="558" customFormat="false" ht="15" hidden="false" customHeight="true" outlineLevel="0" collapsed="false">
      <c r="D558" s="24" t="s">
        <v>831</v>
      </c>
      <c r="J558" s="14" t="n">
        <f aca="false">J554+J555+J556+J557</f>
        <v>57.9556</v>
      </c>
    </row>
    <row r="559" customFormat="false" ht="15" hidden="false" customHeight="true" outlineLevel="0" collapsed="false">
      <c r="D559" s="22" t="s">
        <v>832</v>
      </c>
      <c r="J559" s="23" t="n">
        <f aca="false">J558*OH_Site</f>
        <v>1.738668</v>
      </c>
    </row>
    <row r="560" customFormat="false" ht="15" hidden="false" customHeight="true" outlineLevel="0" collapsed="false">
      <c r="D560" s="22" t="s">
        <v>833</v>
      </c>
      <c r="J560" s="23" t="n">
        <f aca="false">J558*OH_HO</f>
        <v>2.89778</v>
      </c>
    </row>
    <row r="561" customFormat="false" ht="15" hidden="false" customHeight="true" outlineLevel="0" collapsed="false">
      <c r="D561" s="22" t="s">
        <v>834</v>
      </c>
      <c r="J561" s="23" t="n">
        <f aca="false">J558*Profit</f>
        <v>5.79556</v>
      </c>
    </row>
    <row r="562" customFormat="false" ht="15" hidden="false" customHeight="true" outlineLevel="0" collapsed="false">
      <c r="D562" s="24" t="s">
        <v>835</v>
      </c>
      <c r="J562" s="14" t="n">
        <f aca="false">J558+J559+J560+J561</f>
        <v>68.387608</v>
      </c>
    </row>
    <row r="563" customFormat="false" ht="15" hidden="false" customHeight="true" outlineLevel="0" collapsed="false">
      <c r="D563" s="22" t="s">
        <v>836</v>
      </c>
      <c r="J563" s="23" t="n">
        <f aca="false">IF(Tax_On="Yes",J562*N(Tax_Rate),0)</f>
        <v>0</v>
      </c>
    </row>
    <row r="564" customFormat="false" ht="15" hidden="false" customHeight="true" outlineLevel="0" collapsed="false">
      <c r="D564" s="24" t="s">
        <v>895</v>
      </c>
      <c r="J564" s="14" t="n">
        <f aca="false">ROUND(J562+J563,0)</f>
        <v>68</v>
      </c>
    </row>
    <row r="565" customFormat="false" ht="15" hidden="false" customHeight="true" outlineLevel="0" collapsed="false">
      <c r="D565" s="25" t="s">
        <v>838</v>
      </c>
      <c r="J565" s="26" t="n">
        <f aca="false">COUNTIF(K548:K551,"NO RATE")+COUNTIF(K548:K551,"OLD RATE")</f>
        <v>0</v>
      </c>
    </row>
    <row r="567" customFormat="false" ht="39.75" hidden="false" customHeight="true" outlineLevel="0" collapsed="false">
      <c r="A567" s="4" t="s">
        <v>214</v>
      </c>
      <c r="B567" s="16" t="s">
        <v>216</v>
      </c>
      <c r="C567" s="16"/>
      <c r="D567" s="16"/>
      <c r="E567" s="16"/>
      <c r="F567" s="16"/>
      <c r="G567" s="16"/>
      <c r="H567" s="16"/>
      <c r="I567" s="16"/>
      <c r="J567" s="4" t="s">
        <v>890</v>
      </c>
      <c r="K567" s="17"/>
    </row>
    <row r="568" customFormat="false" ht="21.75" hidden="false" customHeight="true" outlineLevel="0" collapsed="false">
      <c r="A568" s="12" t="s">
        <v>75</v>
      </c>
      <c r="B568" s="12" t="s">
        <v>789</v>
      </c>
      <c r="C568" s="12" t="s">
        <v>790</v>
      </c>
      <c r="D568" s="12" t="s">
        <v>791</v>
      </c>
      <c r="E568" s="12" t="s">
        <v>81</v>
      </c>
      <c r="F568" s="12" t="s">
        <v>792</v>
      </c>
      <c r="G568" s="12" t="s">
        <v>793</v>
      </c>
      <c r="H568" s="12" t="s">
        <v>794</v>
      </c>
      <c r="I568" s="12" t="s">
        <v>795</v>
      </c>
      <c r="J568" s="12" t="s">
        <v>796</v>
      </c>
      <c r="K568" s="12" t="s">
        <v>797</v>
      </c>
    </row>
    <row r="569" customFormat="false" ht="15" hidden="false" customHeight="true" outlineLevel="0" collapsed="false">
      <c r="A569" s="9" t="s">
        <v>214</v>
      </c>
      <c r="B569" s="9" t="s">
        <v>798</v>
      </c>
      <c r="C569" s="9" t="s">
        <v>799</v>
      </c>
      <c r="D569" s="5" t="s">
        <v>850</v>
      </c>
      <c r="E569" s="9" t="s">
        <v>801</v>
      </c>
      <c r="F569" s="18" t="n">
        <f aca="false">0.0625*1.2*DryF_Mortar*1/7/Bag_cft</f>
        <v>0.0111428571428571</v>
      </c>
      <c r="G569" s="13" t="n">
        <f aca="false">N(INDEX('05 MATERIAL RATE LIBRARY'!$E$5:$E$400,MATCH("MAT-CEM-OPC",'05 MATERIAL RATE LIBRARY'!$A$5:$A$400,0)))</f>
        <v>1575</v>
      </c>
      <c r="H569" s="19" t="n">
        <f aca="false">W_Cem</f>
        <v>0.02</v>
      </c>
      <c r="I569" s="18" t="n">
        <f aca="false">F569*(1+H569)</f>
        <v>0.0113657142857143</v>
      </c>
      <c r="J569" s="13" t="n">
        <f aca="false">I569*G569</f>
        <v>17.901</v>
      </c>
      <c r="K569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570" customFormat="false" ht="15" hidden="false" customHeight="true" outlineLevel="0" collapsed="false">
      <c r="A570" s="9" t="s">
        <v>214</v>
      </c>
      <c r="B570" s="9" t="s">
        <v>798</v>
      </c>
      <c r="C570" s="9" t="s">
        <v>864</v>
      </c>
      <c r="D570" s="5" t="s">
        <v>891</v>
      </c>
      <c r="E570" s="9" t="s">
        <v>109</v>
      </c>
      <c r="F570" s="18" t="n">
        <f aca="false">0.0625*1.2*DryF_Mortar*6/7</f>
        <v>0.0835714285714286</v>
      </c>
      <c r="G570" s="13" t="n">
        <f aca="false">N(INDEX('05 MATERIAL RATE LIBRARY'!$E$5:$E$400,MATCH("MAT-SND-CHN",'05 MATERIAL RATE LIBRARY'!$A$5:$A$400,0)))</f>
        <v>80</v>
      </c>
      <c r="H570" s="19" t="n">
        <f aca="false">W_Agg</f>
        <v>0.05</v>
      </c>
      <c r="I570" s="18" t="n">
        <f aca="false">F570*(1+H570)</f>
        <v>0.08775</v>
      </c>
      <c r="J570" s="13" t="n">
        <f aca="false">I570*G570</f>
        <v>7.02</v>
      </c>
      <c r="K570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571" customFormat="false" ht="15" hidden="false" customHeight="true" outlineLevel="0" collapsed="false">
      <c r="A571" s="9" t="s">
        <v>214</v>
      </c>
      <c r="B571" s="9" t="s">
        <v>812</v>
      </c>
      <c r="C571" s="9" t="s">
        <v>892</v>
      </c>
      <c r="D571" s="5" t="s">
        <v>896</v>
      </c>
      <c r="E571" s="9" t="s">
        <v>815</v>
      </c>
      <c r="F571" s="18" t="n">
        <f aca="false">'13 PRODUCTIVITY LIBRARY'!E30/'13 PRODUCTIVITY LIBRARY'!D30</f>
        <v>0.0125</v>
      </c>
      <c r="G571" s="13" t="n">
        <f aca="false">N(INDEX('06 LABOUR RATE LIBRARY'!$D$5:$D$100,MATCH("LAB-PLS",'06 LABOUR RATE LIBRARY'!$A$5:$A$100,0)))</f>
        <v>2150</v>
      </c>
      <c r="H571" s="21" t="n">
        <v>0</v>
      </c>
      <c r="I571" s="18" t="n">
        <f aca="false">F571*(1+H571)</f>
        <v>0.0125</v>
      </c>
      <c r="J571" s="13" t="n">
        <f aca="false">I571*G571</f>
        <v>26.875</v>
      </c>
      <c r="K571" s="20" t="str">
        <f aca="false">IF(INDEX('06 LABOUR RATE LIBRARY'!$L$5:$L$100,MATCH("LAB-PLS",'06 LABOUR RATE LIBRARY'!$A$5:$A$100,0))=1,"",IF(INDEX('06 LABOUR RATE LIBRARY'!$L$5:$L$100,MATCH("LAB-PLS",'06 LABOUR RATE LIBRARY'!$A$5:$A$100,0))=2,"OLD RATE","NO RATE"))</f>
        <v/>
      </c>
    </row>
    <row r="572" customFormat="false" ht="15" hidden="false" customHeight="true" outlineLevel="0" collapsed="false">
      <c r="A572" s="9" t="s">
        <v>214</v>
      </c>
      <c r="B572" s="9" t="s">
        <v>812</v>
      </c>
      <c r="C572" s="9" t="s">
        <v>816</v>
      </c>
      <c r="D572" s="5" t="s">
        <v>897</v>
      </c>
      <c r="E572" s="9" t="s">
        <v>815</v>
      </c>
      <c r="F572" s="18" t="n">
        <f aca="false">'13 PRODUCTIVITY LIBRARY'!F30/'13 PRODUCTIVITY LIBRARY'!D30</f>
        <v>0.0125</v>
      </c>
      <c r="G572" s="13" t="n">
        <f aca="false">N(INDEX('06 LABOUR RATE LIBRARY'!$D$5:$D$100,MATCH("LAB-HLP",'06 LABOUR RATE LIBRARY'!$A$5:$A$100,0)))</f>
        <v>1538</v>
      </c>
      <c r="H572" s="21" t="n">
        <v>0</v>
      </c>
      <c r="I572" s="18" t="n">
        <f aca="false">F572*(1+H572)</f>
        <v>0.0125</v>
      </c>
      <c r="J572" s="13" t="n">
        <f aca="false">I572*G572</f>
        <v>19.225</v>
      </c>
      <c r="K57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573" customFormat="false" ht="15" hidden="false" customHeight="true" outlineLevel="0" collapsed="false">
      <c r="D573" s="22" t="s">
        <v>825</v>
      </c>
      <c r="J573" s="23" t="n">
        <f aca="false">SUMPRODUCT((B569:B572="Material")*F569:F572*G569:G572)</f>
        <v>24.2357142857143</v>
      </c>
    </row>
    <row r="574" customFormat="false" ht="15" hidden="false" customHeight="true" outlineLevel="0" collapsed="false">
      <c r="D574" s="22" t="s">
        <v>826</v>
      </c>
      <c r="J574" s="23" t="n">
        <f aca="false">SUMIF(B569:B572,"Material",J569:J572)-J573</f>
        <v>0.685285714285712</v>
      </c>
    </row>
    <row r="575" customFormat="false" ht="15" hidden="false" customHeight="true" outlineLevel="0" collapsed="false">
      <c r="D575" s="24" t="s">
        <v>827</v>
      </c>
      <c r="J575" s="14" t="n">
        <f aca="false">SUMIF(B569:B572,"Material",J569:J572)</f>
        <v>24.921</v>
      </c>
    </row>
    <row r="576" customFormat="false" ht="15" hidden="false" customHeight="true" outlineLevel="0" collapsed="false">
      <c r="D576" s="24" t="s">
        <v>828</v>
      </c>
      <c r="J576" s="14" t="n">
        <f aca="false">SUMIF(B569:B572,"Labour",J569:J572)</f>
        <v>46.1</v>
      </c>
    </row>
    <row r="577" customFormat="false" ht="15" hidden="false" customHeight="true" outlineLevel="0" collapsed="false">
      <c r="D577" s="24" t="s">
        <v>829</v>
      </c>
      <c r="J577" s="14" t="n">
        <f aca="false">SUMIF(B569:B572,"Equipment",J569:J572)</f>
        <v>0</v>
      </c>
    </row>
    <row r="578" customFormat="false" ht="15" hidden="false" customHeight="true" outlineLevel="0" collapsed="false">
      <c r="D578" s="24" t="s">
        <v>830</v>
      </c>
      <c r="J578" s="14" t="n">
        <f aca="false">SUMIF(B569:B572,"Transport",J569:J572)</f>
        <v>0</v>
      </c>
    </row>
    <row r="579" customFormat="false" ht="15" hidden="false" customHeight="true" outlineLevel="0" collapsed="false">
      <c r="D579" s="24" t="s">
        <v>831</v>
      </c>
      <c r="J579" s="14" t="n">
        <f aca="false">J575+J576+J577+J578</f>
        <v>71.021</v>
      </c>
    </row>
    <row r="580" customFormat="false" ht="15" hidden="false" customHeight="true" outlineLevel="0" collapsed="false">
      <c r="D580" s="22" t="s">
        <v>832</v>
      </c>
      <c r="J580" s="23" t="n">
        <f aca="false">J579*OH_Site</f>
        <v>2.13063</v>
      </c>
    </row>
    <row r="581" customFormat="false" ht="15" hidden="false" customHeight="true" outlineLevel="0" collapsed="false">
      <c r="D581" s="22" t="s">
        <v>833</v>
      </c>
      <c r="J581" s="23" t="n">
        <f aca="false">J579*OH_HO</f>
        <v>3.55105</v>
      </c>
    </row>
    <row r="582" customFormat="false" ht="15" hidden="false" customHeight="true" outlineLevel="0" collapsed="false">
      <c r="D582" s="22" t="s">
        <v>834</v>
      </c>
      <c r="J582" s="23" t="n">
        <f aca="false">J579*Profit</f>
        <v>7.1021</v>
      </c>
    </row>
    <row r="583" customFormat="false" ht="15" hidden="false" customHeight="true" outlineLevel="0" collapsed="false">
      <c r="D583" s="24" t="s">
        <v>835</v>
      </c>
      <c r="J583" s="14" t="n">
        <f aca="false">J579+J580+J581+J582</f>
        <v>83.80478</v>
      </c>
    </row>
    <row r="584" customFormat="false" ht="15" hidden="false" customHeight="true" outlineLevel="0" collapsed="false">
      <c r="D584" s="22" t="s">
        <v>836</v>
      </c>
      <c r="J584" s="23" t="n">
        <f aca="false">IF(Tax_On="Yes",J583*N(Tax_Rate),0)</f>
        <v>0</v>
      </c>
    </row>
    <row r="585" customFormat="false" ht="15" hidden="false" customHeight="true" outlineLevel="0" collapsed="false">
      <c r="D585" s="24" t="s">
        <v>895</v>
      </c>
      <c r="J585" s="14" t="n">
        <f aca="false">ROUND(J583+J584,0)</f>
        <v>84</v>
      </c>
    </row>
    <row r="586" customFormat="false" ht="15" hidden="false" customHeight="true" outlineLevel="0" collapsed="false">
      <c r="D586" s="25" t="s">
        <v>838</v>
      </c>
      <c r="J586" s="26" t="n">
        <f aca="false">COUNTIF(K569:K572,"NO RATE")+COUNTIF(K569:K572,"OLD RATE")</f>
        <v>0</v>
      </c>
    </row>
    <row r="588" customFormat="false" ht="39.75" hidden="false" customHeight="true" outlineLevel="0" collapsed="false">
      <c r="A588" s="4" t="s">
        <v>218</v>
      </c>
      <c r="B588" s="16" t="s">
        <v>221</v>
      </c>
      <c r="C588" s="16"/>
      <c r="D588" s="16"/>
      <c r="E588" s="16"/>
      <c r="F588" s="16"/>
      <c r="G588" s="16"/>
      <c r="H588" s="16"/>
      <c r="I588" s="16"/>
      <c r="J588" s="4" t="s">
        <v>890</v>
      </c>
      <c r="K588" s="17"/>
    </row>
    <row r="589" customFormat="false" ht="21.75" hidden="false" customHeight="true" outlineLevel="0" collapsed="false">
      <c r="A589" s="12" t="s">
        <v>75</v>
      </c>
      <c r="B589" s="12" t="s">
        <v>789</v>
      </c>
      <c r="C589" s="12" t="s">
        <v>790</v>
      </c>
      <c r="D589" s="12" t="s">
        <v>791</v>
      </c>
      <c r="E589" s="12" t="s">
        <v>81</v>
      </c>
      <c r="F589" s="12" t="s">
        <v>792</v>
      </c>
      <c r="G589" s="12" t="s">
        <v>793</v>
      </c>
      <c r="H589" s="12" t="s">
        <v>794</v>
      </c>
      <c r="I589" s="12" t="s">
        <v>795</v>
      </c>
      <c r="J589" s="12" t="s">
        <v>796</v>
      </c>
      <c r="K589" s="12" t="s">
        <v>797</v>
      </c>
    </row>
    <row r="590" customFormat="false" ht="15" hidden="false" customHeight="true" outlineLevel="0" collapsed="false">
      <c r="A590" s="9" t="s">
        <v>218</v>
      </c>
      <c r="B590" s="9" t="s">
        <v>798</v>
      </c>
      <c r="C590" s="9" t="s">
        <v>898</v>
      </c>
      <c r="D590" s="5" t="s">
        <v>899</v>
      </c>
      <c r="E590" s="9" t="s">
        <v>900</v>
      </c>
      <c r="F590" s="18" t="n">
        <f aca="false">1/32/Reuse_Ply</f>
        <v>0.00520833333333333</v>
      </c>
      <c r="G590" s="13" t="n">
        <f aca="false">N(INDEX('05 MATERIAL RATE LIBRARY'!$E$5:$E$400,MATCH("MAT-PLY-18",'05 MATERIAL RATE LIBRARY'!$A$5:$A$400,0)))</f>
        <v>5500</v>
      </c>
      <c r="H590" s="19" t="n">
        <f aca="false">W_Ply</f>
        <v>0.1</v>
      </c>
      <c r="I590" s="18" t="n">
        <f aca="false">F590*(1+H590)</f>
        <v>0.00572916666666667</v>
      </c>
      <c r="J590" s="13" t="n">
        <f aca="false">I590*G590</f>
        <v>31.5104166666667</v>
      </c>
      <c r="K590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591" customFormat="false" ht="15" hidden="false" customHeight="true" outlineLevel="0" collapsed="false">
      <c r="A591" s="9" t="s">
        <v>218</v>
      </c>
      <c r="B591" s="9" t="s">
        <v>798</v>
      </c>
      <c r="C591" s="9" t="s">
        <v>901</v>
      </c>
      <c r="D591" s="5" t="s">
        <v>902</v>
      </c>
      <c r="E591" s="9" t="s">
        <v>109</v>
      </c>
      <c r="F591" s="18" t="n">
        <f aca="false">0.03/Reuse_Tim</f>
        <v>0.003</v>
      </c>
      <c r="G591" s="13" t="n">
        <f aca="false">N(INDEX('05 MATERIAL RATE LIBRARY'!$E$5:$E$400,MATCH("MAT-TIM-CHR",'05 MATERIAL RATE LIBRARY'!$A$5:$A$400,0)))</f>
        <v>3680</v>
      </c>
      <c r="H591" s="21" t="n">
        <v>0</v>
      </c>
      <c r="I591" s="18" t="n">
        <f aca="false">F591*(1+H591)</f>
        <v>0.003</v>
      </c>
      <c r="J591" s="13" t="n">
        <f aca="false">I591*G591</f>
        <v>11.04</v>
      </c>
      <c r="K591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592" customFormat="false" ht="15" hidden="false" customHeight="true" outlineLevel="0" collapsed="false">
      <c r="A592" s="9" t="s">
        <v>218</v>
      </c>
      <c r="B592" s="9" t="s">
        <v>798</v>
      </c>
      <c r="C592" s="9" t="s">
        <v>903</v>
      </c>
      <c r="D592" s="5" t="s">
        <v>904</v>
      </c>
      <c r="E592" s="9" t="s">
        <v>198</v>
      </c>
      <c r="F592" s="18" t="n">
        <v>0.01</v>
      </c>
      <c r="G592" s="13" t="n">
        <f aca="false">N(INDEX('05 MATERIAL RATE LIBRARY'!$E$5:$E$400,MATCH("MAT-NAIL",'05 MATERIAL RATE LIBRARY'!$A$5:$A$400,0)))</f>
        <v>715</v>
      </c>
      <c r="H592" s="21" t="n">
        <v>0</v>
      </c>
      <c r="I592" s="18" t="n">
        <f aca="false">F592*(1+H592)</f>
        <v>0.01</v>
      </c>
      <c r="J592" s="13" t="n">
        <f aca="false">I592*G592</f>
        <v>7.15</v>
      </c>
      <c r="K592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593" customFormat="false" ht="15" hidden="false" customHeight="true" outlineLevel="0" collapsed="false">
      <c r="A593" s="9" t="s">
        <v>218</v>
      </c>
      <c r="B593" s="9" t="s">
        <v>798</v>
      </c>
      <c r="C593" s="9" t="s">
        <v>905</v>
      </c>
      <c r="D593" s="5" t="s">
        <v>906</v>
      </c>
      <c r="E593" s="9" t="s">
        <v>811</v>
      </c>
      <c r="F593" s="18" t="n">
        <v>0.01</v>
      </c>
      <c r="G593" s="13" t="n">
        <f aca="false">N(INDEX('05 MATERIAL RATE LIBRARY'!$E$5:$E$400,MATCH("MAT-SHOIL",'05 MATERIAL RATE LIBRARY'!$A$5:$A$400,0)))</f>
        <v>400</v>
      </c>
      <c r="H593" s="21" t="n">
        <v>0</v>
      </c>
      <c r="I593" s="18" t="n">
        <f aca="false">F593*(1+H593)</f>
        <v>0.01</v>
      </c>
      <c r="J593" s="13" t="n">
        <f aca="false">I593*G593</f>
        <v>4</v>
      </c>
      <c r="K593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594" customFormat="false" ht="15" hidden="false" customHeight="true" outlineLevel="0" collapsed="false">
      <c r="A594" s="9" t="s">
        <v>218</v>
      </c>
      <c r="B594" s="9" t="s">
        <v>812</v>
      </c>
      <c r="C594" s="9" t="s">
        <v>907</v>
      </c>
      <c r="D594" s="5" t="s">
        <v>908</v>
      </c>
      <c r="E594" s="9" t="s">
        <v>815</v>
      </c>
      <c r="F594" s="18" t="n">
        <f aca="false">'13 PRODUCTIVITY LIBRARY'!E10/'13 PRODUCTIVITY LIBRARY'!D10</f>
        <v>0.00666666666666667</v>
      </c>
      <c r="G594" s="13" t="n">
        <f aca="false">N(INDEX('06 LABOUR RATE LIBRARY'!$D$5:$D$100,MATCH("LAB-CRP",'06 LABOUR RATE LIBRARY'!$A$5:$A$100,0)))</f>
        <v>2400</v>
      </c>
      <c r="H594" s="21" t="n">
        <v>0</v>
      </c>
      <c r="I594" s="18" t="n">
        <f aca="false">F594*(1+H594)</f>
        <v>0.00666666666666667</v>
      </c>
      <c r="J594" s="13" t="n">
        <f aca="false">I594*G594</f>
        <v>16</v>
      </c>
      <c r="K594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595" customFormat="false" ht="15" hidden="false" customHeight="true" outlineLevel="0" collapsed="false">
      <c r="A595" s="9" t="s">
        <v>218</v>
      </c>
      <c r="B595" s="9" t="s">
        <v>812</v>
      </c>
      <c r="C595" s="9" t="s">
        <v>816</v>
      </c>
      <c r="D595" s="5" t="s">
        <v>909</v>
      </c>
      <c r="E595" s="9" t="s">
        <v>815</v>
      </c>
      <c r="F595" s="18" t="n">
        <f aca="false">'13 PRODUCTIVITY LIBRARY'!F10/'13 PRODUCTIVITY LIBRARY'!D10</f>
        <v>0.00666666666666667</v>
      </c>
      <c r="G595" s="13" t="n">
        <f aca="false">N(INDEX('06 LABOUR RATE LIBRARY'!$D$5:$D$100,MATCH("LAB-HLP",'06 LABOUR RATE LIBRARY'!$A$5:$A$100,0)))</f>
        <v>1538</v>
      </c>
      <c r="H595" s="21" t="n">
        <v>0</v>
      </c>
      <c r="I595" s="18" t="n">
        <f aca="false">F595*(1+H595)</f>
        <v>0.00666666666666667</v>
      </c>
      <c r="J595" s="13" t="n">
        <f aca="false">I595*G595</f>
        <v>10.2533333333333</v>
      </c>
      <c r="K59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596" customFormat="false" ht="15" hidden="false" customHeight="true" outlineLevel="0" collapsed="false">
      <c r="A596" s="9" t="s">
        <v>218</v>
      </c>
      <c r="B596" s="9" t="s">
        <v>818</v>
      </c>
      <c r="C596" s="9" t="s">
        <v>910</v>
      </c>
      <c r="D596" s="5" t="s">
        <v>911</v>
      </c>
      <c r="E596" s="9" t="s">
        <v>212</v>
      </c>
      <c r="F596" s="18" t="n">
        <v>1</v>
      </c>
      <c r="G596" s="13" t="n">
        <f aca="false">N(INDEX('07 EQUIPMENT RATE LIBRARY'!$D$5:$D$100,MATCH("EQ-PROP",'07 EQUIPMENT RATE LIBRARY'!$A$5:$A$100,0)))</f>
        <v>10</v>
      </c>
      <c r="H596" s="21" t="n">
        <v>0</v>
      </c>
      <c r="I596" s="18" t="n">
        <f aca="false">F596*(1+H596)</f>
        <v>1</v>
      </c>
      <c r="J596" s="13" t="n">
        <f aca="false">I596*G596</f>
        <v>10</v>
      </c>
      <c r="K596" s="20" t="str">
        <f aca="false">IF(INDEX('07 EQUIPMENT RATE LIBRARY'!$H$5:$H$100,MATCH("EQ-PROP",'07 EQUIPMENT RATE LIBRARY'!$A$5:$A$100,0))=1,"",IF(INDEX('07 EQUIPMENT RATE LIBRARY'!$H$5:$H$100,MATCH("EQ-PROP",'07 EQUIPMENT RATE LIBRARY'!$A$5:$A$100,0))=2,"OLD RATE","NO RATE"))</f>
        <v/>
      </c>
    </row>
    <row r="597" customFormat="false" ht="15" hidden="false" customHeight="true" outlineLevel="0" collapsed="false">
      <c r="D597" s="22" t="s">
        <v>825</v>
      </c>
      <c r="J597" s="23" t="n">
        <f aca="false">SUMPRODUCT((B590:B596="Material")*F590:F596*G590:G596)</f>
        <v>50.8358333333333</v>
      </c>
    </row>
    <row r="598" customFormat="false" ht="15" hidden="false" customHeight="true" outlineLevel="0" collapsed="false">
      <c r="D598" s="22" t="s">
        <v>826</v>
      </c>
      <c r="J598" s="23" t="n">
        <f aca="false">SUMIF(B590:B596,"Material",J590:J596)-J597</f>
        <v>2.86458333333334</v>
      </c>
    </row>
    <row r="599" customFormat="false" ht="15" hidden="false" customHeight="true" outlineLevel="0" collapsed="false">
      <c r="D599" s="24" t="s">
        <v>827</v>
      </c>
      <c r="J599" s="14" t="n">
        <f aca="false">SUMIF(B590:B596,"Material",J590:J596)</f>
        <v>53.7004166666667</v>
      </c>
    </row>
    <row r="600" customFormat="false" ht="15" hidden="false" customHeight="true" outlineLevel="0" collapsed="false">
      <c r="D600" s="24" t="s">
        <v>828</v>
      </c>
      <c r="J600" s="14" t="n">
        <f aca="false">SUMIF(B590:B596,"Labour",J590:J596)</f>
        <v>26.2533333333333</v>
      </c>
    </row>
    <row r="601" customFormat="false" ht="15" hidden="false" customHeight="true" outlineLevel="0" collapsed="false">
      <c r="D601" s="24" t="s">
        <v>829</v>
      </c>
      <c r="J601" s="14" t="n">
        <f aca="false">SUMIF(B590:B596,"Equipment",J590:J596)</f>
        <v>10</v>
      </c>
    </row>
    <row r="602" customFormat="false" ht="15" hidden="false" customHeight="true" outlineLevel="0" collapsed="false">
      <c r="D602" s="24" t="s">
        <v>830</v>
      </c>
      <c r="J602" s="14" t="n">
        <f aca="false">SUMIF(B590:B596,"Transport",J590:J596)</f>
        <v>0</v>
      </c>
    </row>
    <row r="603" customFormat="false" ht="15" hidden="false" customHeight="true" outlineLevel="0" collapsed="false">
      <c r="D603" s="24" t="s">
        <v>831</v>
      </c>
      <c r="J603" s="14" t="n">
        <f aca="false">J599+J600+J601+J602</f>
        <v>89.95375</v>
      </c>
    </row>
    <row r="604" customFormat="false" ht="15" hidden="false" customHeight="true" outlineLevel="0" collapsed="false">
      <c r="D604" s="22" t="s">
        <v>832</v>
      </c>
      <c r="J604" s="23" t="n">
        <f aca="false">J603*OH_Site</f>
        <v>2.6986125</v>
      </c>
    </row>
    <row r="605" customFormat="false" ht="15" hidden="false" customHeight="true" outlineLevel="0" collapsed="false">
      <c r="D605" s="22" t="s">
        <v>833</v>
      </c>
      <c r="J605" s="23" t="n">
        <f aca="false">J603*OH_HO</f>
        <v>4.4976875</v>
      </c>
    </row>
    <row r="606" customFormat="false" ht="15" hidden="false" customHeight="true" outlineLevel="0" collapsed="false">
      <c r="D606" s="22" t="s">
        <v>834</v>
      </c>
      <c r="J606" s="23" t="n">
        <f aca="false">J603*Profit</f>
        <v>8.995375</v>
      </c>
    </row>
    <row r="607" customFormat="false" ht="15" hidden="false" customHeight="true" outlineLevel="0" collapsed="false">
      <c r="D607" s="24" t="s">
        <v>835</v>
      </c>
      <c r="J607" s="14" t="n">
        <f aca="false">J603+J604+J605+J606</f>
        <v>106.145425</v>
      </c>
    </row>
    <row r="608" customFormat="false" ht="15" hidden="false" customHeight="true" outlineLevel="0" collapsed="false">
      <c r="D608" s="22" t="s">
        <v>836</v>
      </c>
      <c r="J608" s="23" t="n">
        <f aca="false">IF(Tax_On="Yes",J607*N(Tax_Rate),0)</f>
        <v>0</v>
      </c>
    </row>
    <row r="609" customFormat="false" ht="15" hidden="false" customHeight="true" outlineLevel="0" collapsed="false">
      <c r="D609" s="24" t="s">
        <v>895</v>
      </c>
      <c r="J609" s="14" t="n">
        <f aca="false">ROUND(J607+J608,0)</f>
        <v>106</v>
      </c>
    </row>
    <row r="610" customFormat="false" ht="15" hidden="false" customHeight="true" outlineLevel="0" collapsed="false">
      <c r="D610" s="25" t="s">
        <v>838</v>
      </c>
      <c r="J610" s="26" t="n">
        <f aca="false">COUNTIF(K590:K596,"NO RATE")+COUNTIF(K590:K596,"OLD RATE")</f>
        <v>0</v>
      </c>
    </row>
    <row r="612" customFormat="false" ht="39.75" hidden="false" customHeight="true" outlineLevel="0" collapsed="false">
      <c r="A612" s="4" t="s">
        <v>224</v>
      </c>
      <c r="B612" s="16" t="s">
        <v>226</v>
      </c>
      <c r="C612" s="16"/>
      <c r="D612" s="16"/>
      <c r="E612" s="16"/>
      <c r="F612" s="16"/>
      <c r="G612" s="16"/>
      <c r="H612" s="16"/>
      <c r="I612" s="16"/>
      <c r="J612" s="4" t="s">
        <v>890</v>
      </c>
      <c r="K612" s="17"/>
    </row>
    <row r="613" customFormat="false" ht="21.75" hidden="false" customHeight="true" outlineLevel="0" collapsed="false">
      <c r="A613" s="12" t="s">
        <v>75</v>
      </c>
      <c r="B613" s="12" t="s">
        <v>789</v>
      </c>
      <c r="C613" s="12" t="s">
        <v>790</v>
      </c>
      <c r="D613" s="12" t="s">
        <v>791</v>
      </c>
      <c r="E613" s="12" t="s">
        <v>81</v>
      </c>
      <c r="F613" s="12" t="s">
        <v>792</v>
      </c>
      <c r="G613" s="12" t="s">
        <v>793</v>
      </c>
      <c r="H613" s="12" t="s">
        <v>794</v>
      </c>
      <c r="I613" s="12" t="s">
        <v>795</v>
      </c>
      <c r="J613" s="12" t="s">
        <v>796</v>
      </c>
      <c r="K613" s="12" t="s">
        <v>797</v>
      </c>
    </row>
    <row r="614" customFormat="false" ht="15" hidden="false" customHeight="true" outlineLevel="0" collapsed="false">
      <c r="A614" s="9" t="s">
        <v>224</v>
      </c>
      <c r="B614" s="9" t="s">
        <v>798</v>
      </c>
      <c r="C614" s="9" t="s">
        <v>898</v>
      </c>
      <c r="D614" s="5" t="s">
        <v>899</v>
      </c>
      <c r="E614" s="9" t="s">
        <v>900</v>
      </c>
      <c r="F614" s="18" t="n">
        <f aca="false">1/32/Reuse_Ply</f>
        <v>0.00520833333333333</v>
      </c>
      <c r="G614" s="13" t="n">
        <f aca="false">N(INDEX('05 MATERIAL RATE LIBRARY'!$E$5:$E$400,MATCH("MAT-PLY-18",'05 MATERIAL RATE LIBRARY'!$A$5:$A$400,0)))</f>
        <v>5500</v>
      </c>
      <c r="H614" s="19" t="n">
        <f aca="false">W_Ply</f>
        <v>0.1</v>
      </c>
      <c r="I614" s="18" t="n">
        <f aca="false">F614*(1+H614)</f>
        <v>0.00572916666666667</v>
      </c>
      <c r="J614" s="13" t="n">
        <f aca="false">I614*G614</f>
        <v>31.5104166666667</v>
      </c>
      <c r="K614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615" customFormat="false" ht="15" hidden="false" customHeight="true" outlineLevel="0" collapsed="false">
      <c r="A615" s="9" t="s">
        <v>224</v>
      </c>
      <c r="B615" s="9" t="s">
        <v>798</v>
      </c>
      <c r="C615" s="9" t="s">
        <v>901</v>
      </c>
      <c r="D615" s="5" t="s">
        <v>912</v>
      </c>
      <c r="E615" s="9" t="s">
        <v>109</v>
      </c>
      <c r="F615" s="18" t="n">
        <f aca="false">0.04/Reuse_Tim</f>
        <v>0.004</v>
      </c>
      <c r="G615" s="13" t="n">
        <f aca="false">N(INDEX('05 MATERIAL RATE LIBRARY'!$E$5:$E$400,MATCH("MAT-TIM-CHR",'05 MATERIAL RATE LIBRARY'!$A$5:$A$400,0)))</f>
        <v>3680</v>
      </c>
      <c r="H615" s="21" t="n">
        <v>0</v>
      </c>
      <c r="I615" s="18" t="n">
        <f aca="false">F615*(1+H615)</f>
        <v>0.004</v>
      </c>
      <c r="J615" s="13" t="n">
        <f aca="false">I615*G615</f>
        <v>14.72</v>
      </c>
      <c r="K615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616" customFormat="false" ht="15" hidden="false" customHeight="true" outlineLevel="0" collapsed="false">
      <c r="A616" s="9" t="s">
        <v>224</v>
      </c>
      <c r="B616" s="9" t="s">
        <v>798</v>
      </c>
      <c r="C616" s="9" t="s">
        <v>903</v>
      </c>
      <c r="D616" s="5" t="s">
        <v>904</v>
      </c>
      <c r="E616" s="9" t="s">
        <v>198</v>
      </c>
      <c r="F616" s="18" t="n">
        <v>0.01</v>
      </c>
      <c r="G616" s="13" t="n">
        <f aca="false">N(INDEX('05 MATERIAL RATE LIBRARY'!$E$5:$E$400,MATCH("MAT-NAIL",'05 MATERIAL RATE LIBRARY'!$A$5:$A$400,0)))</f>
        <v>715</v>
      </c>
      <c r="H616" s="21" t="n">
        <v>0</v>
      </c>
      <c r="I616" s="18" t="n">
        <f aca="false">F616*(1+H616)</f>
        <v>0.01</v>
      </c>
      <c r="J616" s="13" t="n">
        <f aca="false">I616*G616</f>
        <v>7.15</v>
      </c>
      <c r="K616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617" customFormat="false" ht="15" hidden="false" customHeight="true" outlineLevel="0" collapsed="false">
      <c r="A617" s="9" t="s">
        <v>224</v>
      </c>
      <c r="B617" s="9" t="s">
        <v>798</v>
      </c>
      <c r="C617" s="9" t="s">
        <v>905</v>
      </c>
      <c r="D617" s="5" t="s">
        <v>906</v>
      </c>
      <c r="E617" s="9" t="s">
        <v>811</v>
      </c>
      <c r="F617" s="18" t="n">
        <v>0.01</v>
      </c>
      <c r="G617" s="13" t="n">
        <f aca="false">N(INDEX('05 MATERIAL RATE LIBRARY'!$E$5:$E$400,MATCH("MAT-SHOIL",'05 MATERIAL RATE LIBRARY'!$A$5:$A$400,0)))</f>
        <v>400</v>
      </c>
      <c r="H617" s="21" t="n">
        <v>0</v>
      </c>
      <c r="I617" s="18" t="n">
        <f aca="false">F617*(1+H617)</f>
        <v>0.01</v>
      </c>
      <c r="J617" s="13" t="n">
        <f aca="false">I617*G617</f>
        <v>4</v>
      </c>
      <c r="K617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618" customFormat="false" ht="15" hidden="false" customHeight="true" outlineLevel="0" collapsed="false">
      <c r="A618" s="9" t="s">
        <v>224</v>
      </c>
      <c r="B618" s="9" t="s">
        <v>812</v>
      </c>
      <c r="C618" s="9" t="s">
        <v>907</v>
      </c>
      <c r="D618" s="5" t="s">
        <v>913</v>
      </c>
      <c r="E618" s="9" t="s">
        <v>815</v>
      </c>
      <c r="F618" s="18" t="n">
        <f aca="false">'13 PRODUCTIVITY LIBRARY'!E11/'13 PRODUCTIVITY LIBRARY'!D11</f>
        <v>0.01</v>
      </c>
      <c r="G618" s="13" t="n">
        <f aca="false">N(INDEX('06 LABOUR RATE LIBRARY'!$D$5:$D$100,MATCH("LAB-CRP",'06 LABOUR RATE LIBRARY'!$A$5:$A$100,0)))</f>
        <v>2400</v>
      </c>
      <c r="H618" s="21" t="n">
        <v>0</v>
      </c>
      <c r="I618" s="18" t="n">
        <f aca="false">F618*(1+H618)</f>
        <v>0.01</v>
      </c>
      <c r="J618" s="13" t="n">
        <f aca="false">I618*G618</f>
        <v>24</v>
      </c>
      <c r="K618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619" customFormat="false" ht="15" hidden="false" customHeight="true" outlineLevel="0" collapsed="false">
      <c r="A619" s="9" t="s">
        <v>224</v>
      </c>
      <c r="B619" s="9" t="s">
        <v>812</v>
      </c>
      <c r="C619" s="9" t="s">
        <v>816</v>
      </c>
      <c r="D619" s="5" t="s">
        <v>914</v>
      </c>
      <c r="E619" s="9" t="s">
        <v>815</v>
      </c>
      <c r="F619" s="18" t="n">
        <f aca="false">'13 PRODUCTIVITY LIBRARY'!F11/'13 PRODUCTIVITY LIBRARY'!D11</f>
        <v>0.01</v>
      </c>
      <c r="G619" s="13" t="n">
        <f aca="false">N(INDEX('06 LABOUR RATE LIBRARY'!$D$5:$D$100,MATCH("LAB-HLP",'06 LABOUR RATE LIBRARY'!$A$5:$A$100,0)))</f>
        <v>1538</v>
      </c>
      <c r="H619" s="21" t="n">
        <v>0</v>
      </c>
      <c r="I619" s="18" t="n">
        <f aca="false">F619*(1+H619)</f>
        <v>0.01</v>
      </c>
      <c r="J619" s="13" t="n">
        <f aca="false">I619*G619</f>
        <v>15.38</v>
      </c>
      <c r="K61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620" customFormat="false" ht="15" hidden="false" customHeight="true" outlineLevel="0" collapsed="false">
      <c r="A620" s="9" t="s">
        <v>224</v>
      </c>
      <c r="B620" s="9" t="s">
        <v>818</v>
      </c>
      <c r="C620" s="9" t="s">
        <v>910</v>
      </c>
      <c r="D620" s="5" t="s">
        <v>911</v>
      </c>
      <c r="E620" s="9" t="s">
        <v>212</v>
      </c>
      <c r="F620" s="18" t="n">
        <v>1</v>
      </c>
      <c r="G620" s="13" t="n">
        <f aca="false">N(INDEX('07 EQUIPMENT RATE LIBRARY'!$D$5:$D$100,MATCH("EQ-PROP",'07 EQUIPMENT RATE LIBRARY'!$A$5:$A$100,0)))</f>
        <v>10</v>
      </c>
      <c r="H620" s="21" t="n">
        <v>0</v>
      </c>
      <c r="I620" s="18" t="n">
        <f aca="false">F620*(1+H620)</f>
        <v>1</v>
      </c>
      <c r="J620" s="13" t="n">
        <f aca="false">I620*G620</f>
        <v>10</v>
      </c>
      <c r="K620" s="20" t="str">
        <f aca="false">IF(INDEX('07 EQUIPMENT RATE LIBRARY'!$H$5:$H$100,MATCH("EQ-PROP",'07 EQUIPMENT RATE LIBRARY'!$A$5:$A$100,0))=1,"",IF(INDEX('07 EQUIPMENT RATE LIBRARY'!$H$5:$H$100,MATCH("EQ-PROP",'07 EQUIPMENT RATE LIBRARY'!$A$5:$A$100,0))=2,"OLD RATE","NO RATE"))</f>
        <v/>
      </c>
    </row>
    <row r="621" customFormat="false" ht="15" hidden="false" customHeight="true" outlineLevel="0" collapsed="false">
      <c r="D621" s="22" t="s">
        <v>825</v>
      </c>
      <c r="J621" s="23" t="n">
        <f aca="false">SUMPRODUCT((B614:B620="Material")*F614:F620*G614:G620)</f>
        <v>54.5158333333333</v>
      </c>
    </row>
    <row r="622" customFormat="false" ht="15" hidden="false" customHeight="true" outlineLevel="0" collapsed="false">
      <c r="D622" s="22" t="s">
        <v>826</v>
      </c>
      <c r="J622" s="23" t="n">
        <f aca="false">SUMIF(B614:B620,"Material",J614:J620)-J621</f>
        <v>2.86458333333334</v>
      </c>
    </row>
    <row r="623" customFormat="false" ht="15" hidden="false" customHeight="true" outlineLevel="0" collapsed="false">
      <c r="D623" s="24" t="s">
        <v>827</v>
      </c>
      <c r="J623" s="14" t="n">
        <f aca="false">SUMIF(B614:B620,"Material",J614:J620)</f>
        <v>57.3804166666667</v>
      </c>
    </row>
    <row r="624" customFormat="false" ht="15" hidden="false" customHeight="true" outlineLevel="0" collapsed="false">
      <c r="D624" s="24" t="s">
        <v>828</v>
      </c>
      <c r="J624" s="14" t="n">
        <f aca="false">SUMIF(B614:B620,"Labour",J614:J620)</f>
        <v>39.38</v>
      </c>
    </row>
    <row r="625" customFormat="false" ht="15" hidden="false" customHeight="true" outlineLevel="0" collapsed="false">
      <c r="D625" s="24" t="s">
        <v>829</v>
      </c>
      <c r="J625" s="14" t="n">
        <f aca="false">SUMIF(B614:B620,"Equipment",J614:J620)</f>
        <v>10</v>
      </c>
    </row>
    <row r="626" customFormat="false" ht="15" hidden="false" customHeight="true" outlineLevel="0" collapsed="false">
      <c r="D626" s="24" t="s">
        <v>830</v>
      </c>
      <c r="J626" s="14" t="n">
        <f aca="false">SUMIF(B614:B620,"Transport",J614:J620)</f>
        <v>0</v>
      </c>
    </row>
    <row r="627" customFormat="false" ht="15" hidden="false" customHeight="true" outlineLevel="0" collapsed="false">
      <c r="D627" s="24" t="s">
        <v>831</v>
      </c>
      <c r="J627" s="14" t="n">
        <f aca="false">J623+J624+J625+J626</f>
        <v>106.760416666667</v>
      </c>
    </row>
    <row r="628" customFormat="false" ht="15" hidden="false" customHeight="true" outlineLevel="0" collapsed="false">
      <c r="D628" s="22" t="s">
        <v>832</v>
      </c>
      <c r="J628" s="23" t="n">
        <f aca="false">J627*OH_Site</f>
        <v>3.2028125</v>
      </c>
    </row>
    <row r="629" customFormat="false" ht="15" hidden="false" customHeight="true" outlineLevel="0" collapsed="false">
      <c r="D629" s="22" t="s">
        <v>833</v>
      </c>
      <c r="J629" s="23" t="n">
        <f aca="false">J627*OH_HO</f>
        <v>5.33802083333333</v>
      </c>
    </row>
    <row r="630" customFormat="false" ht="15" hidden="false" customHeight="true" outlineLevel="0" collapsed="false">
      <c r="D630" s="22" t="s">
        <v>834</v>
      </c>
      <c r="J630" s="23" t="n">
        <f aca="false">J627*Profit</f>
        <v>10.6760416666667</v>
      </c>
    </row>
    <row r="631" customFormat="false" ht="15" hidden="false" customHeight="true" outlineLevel="0" collapsed="false">
      <c r="D631" s="24" t="s">
        <v>835</v>
      </c>
      <c r="J631" s="14" t="n">
        <f aca="false">J627+J628+J629+J630</f>
        <v>125.977291666667</v>
      </c>
    </row>
    <row r="632" customFormat="false" ht="15" hidden="false" customHeight="true" outlineLevel="0" collapsed="false">
      <c r="D632" s="22" t="s">
        <v>836</v>
      </c>
      <c r="J632" s="23" t="n">
        <f aca="false">IF(Tax_On="Yes",J631*N(Tax_Rate),0)</f>
        <v>0</v>
      </c>
    </row>
    <row r="633" customFormat="false" ht="15" hidden="false" customHeight="true" outlineLevel="0" collapsed="false">
      <c r="D633" s="24" t="s">
        <v>895</v>
      </c>
      <c r="J633" s="14" t="n">
        <f aca="false">ROUND(J631+J632,0)</f>
        <v>126</v>
      </c>
    </row>
    <row r="634" customFormat="false" ht="15" hidden="false" customHeight="true" outlineLevel="0" collapsed="false">
      <c r="D634" s="25" t="s">
        <v>838</v>
      </c>
      <c r="J634" s="26" t="n">
        <f aca="false">COUNTIF(K614:K620,"NO RATE")+COUNTIF(K614:K620,"OLD RATE")</f>
        <v>0</v>
      </c>
    </row>
    <row r="636" customFormat="false" ht="39.75" hidden="false" customHeight="true" outlineLevel="0" collapsed="false">
      <c r="A636" s="4" t="s">
        <v>227</v>
      </c>
      <c r="B636" s="16" t="s">
        <v>229</v>
      </c>
      <c r="C636" s="16"/>
      <c r="D636" s="16"/>
      <c r="E636" s="16"/>
      <c r="F636" s="16"/>
      <c r="G636" s="16"/>
      <c r="H636" s="16"/>
      <c r="I636" s="16"/>
      <c r="J636" s="4" t="s">
        <v>890</v>
      </c>
      <c r="K636" s="17"/>
    </row>
    <row r="637" customFormat="false" ht="21.75" hidden="false" customHeight="true" outlineLevel="0" collapsed="false">
      <c r="A637" s="12" t="s">
        <v>75</v>
      </c>
      <c r="B637" s="12" t="s">
        <v>789</v>
      </c>
      <c r="C637" s="12" t="s">
        <v>790</v>
      </c>
      <c r="D637" s="12" t="s">
        <v>791</v>
      </c>
      <c r="E637" s="12" t="s">
        <v>81</v>
      </c>
      <c r="F637" s="12" t="s">
        <v>792</v>
      </c>
      <c r="G637" s="12" t="s">
        <v>793</v>
      </c>
      <c r="H637" s="12" t="s">
        <v>794</v>
      </c>
      <c r="I637" s="12" t="s">
        <v>795</v>
      </c>
      <c r="J637" s="12" t="s">
        <v>796</v>
      </c>
      <c r="K637" s="12" t="s">
        <v>797</v>
      </c>
    </row>
    <row r="638" customFormat="false" ht="15" hidden="false" customHeight="true" outlineLevel="0" collapsed="false">
      <c r="A638" s="9" t="s">
        <v>227</v>
      </c>
      <c r="B638" s="9" t="s">
        <v>798</v>
      </c>
      <c r="C638" s="9" t="s">
        <v>898</v>
      </c>
      <c r="D638" s="5" t="s">
        <v>899</v>
      </c>
      <c r="E638" s="9" t="s">
        <v>900</v>
      </c>
      <c r="F638" s="18" t="n">
        <f aca="false">1/32/Reuse_Ply</f>
        <v>0.00520833333333333</v>
      </c>
      <c r="G638" s="13" t="n">
        <f aca="false">N(INDEX('05 MATERIAL RATE LIBRARY'!$E$5:$E$400,MATCH("MAT-PLY-18",'05 MATERIAL RATE LIBRARY'!$A$5:$A$400,0)))</f>
        <v>5500</v>
      </c>
      <c r="H638" s="19" t="n">
        <f aca="false">W_Ply</f>
        <v>0.1</v>
      </c>
      <c r="I638" s="18" t="n">
        <f aca="false">F638*(1+H638)</f>
        <v>0.00572916666666667</v>
      </c>
      <c r="J638" s="13" t="n">
        <f aca="false">I638*G638</f>
        <v>31.5104166666667</v>
      </c>
      <c r="K638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639" customFormat="false" ht="15" hidden="false" customHeight="true" outlineLevel="0" collapsed="false">
      <c r="A639" s="9" t="s">
        <v>227</v>
      </c>
      <c r="B639" s="9" t="s">
        <v>798</v>
      </c>
      <c r="C639" s="9" t="s">
        <v>901</v>
      </c>
      <c r="D639" s="5" t="s">
        <v>915</v>
      </c>
      <c r="E639" s="9" t="s">
        <v>109</v>
      </c>
      <c r="F639" s="18" t="n">
        <f aca="false">0.035/Reuse_Tim</f>
        <v>0.0035</v>
      </c>
      <c r="G639" s="13" t="n">
        <f aca="false">N(INDEX('05 MATERIAL RATE LIBRARY'!$E$5:$E$400,MATCH("MAT-TIM-CHR",'05 MATERIAL RATE LIBRARY'!$A$5:$A$400,0)))</f>
        <v>3680</v>
      </c>
      <c r="H639" s="21" t="n">
        <v>0</v>
      </c>
      <c r="I639" s="18" t="n">
        <f aca="false">F639*(1+H639)</f>
        <v>0.0035</v>
      </c>
      <c r="J639" s="13" t="n">
        <f aca="false">I639*G639</f>
        <v>12.88</v>
      </c>
      <c r="K639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640" customFormat="false" ht="15" hidden="false" customHeight="true" outlineLevel="0" collapsed="false">
      <c r="A640" s="9" t="s">
        <v>227</v>
      </c>
      <c r="B640" s="9" t="s">
        <v>798</v>
      </c>
      <c r="C640" s="9" t="s">
        <v>903</v>
      </c>
      <c r="D640" s="5" t="s">
        <v>904</v>
      </c>
      <c r="E640" s="9" t="s">
        <v>198</v>
      </c>
      <c r="F640" s="18" t="n">
        <v>0.01</v>
      </c>
      <c r="G640" s="13" t="n">
        <f aca="false">N(INDEX('05 MATERIAL RATE LIBRARY'!$E$5:$E$400,MATCH("MAT-NAIL",'05 MATERIAL RATE LIBRARY'!$A$5:$A$400,0)))</f>
        <v>715</v>
      </c>
      <c r="H640" s="21" t="n">
        <v>0</v>
      </c>
      <c r="I640" s="18" t="n">
        <f aca="false">F640*(1+H640)</f>
        <v>0.01</v>
      </c>
      <c r="J640" s="13" t="n">
        <f aca="false">I640*G640</f>
        <v>7.15</v>
      </c>
      <c r="K640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641" customFormat="false" ht="15" hidden="false" customHeight="true" outlineLevel="0" collapsed="false">
      <c r="A641" s="9" t="s">
        <v>227</v>
      </c>
      <c r="B641" s="9" t="s">
        <v>798</v>
      </c>
      <c r="C641" s="9" t="s">
        <v>905</v>
      </c>
      <c r="D641" s="5" t="s">
        <v>906</v>
      </c>
      <c r="E641" s="9" t="s">
        <v>811</v>
      </c>
      <c r="F641" s="18" t="n">
        <v>0.01</v>
      </c>
      <c r="G641" s="13" t="n">
        <f aca="false">N(INDEX('05 MATERIAL RATE LIBRARY'!$E$5:$E$400,MATCH("MAT-SHOIL",'05 MATERIAL RATE LIBRARY'!$A$5:$A$400,0)))</f>
        <v>400</v>
      </c>
      <c r="H641" s="21" t="n">
        <v>0</v>
      </c>
      <c r="I641" s="18" t="n">
        <f aca="false">F641*(1+H641)</f>
        <v>0.01</v>
      </c>
      <c r="J641" s="13" t="n">
        <f aca="false">I641*G641</f>
        <v>4</v>
      </c>
      <c r="K641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642" customFormat="false" ht="15" hidden="false" customHeight="true" outlineLevel="0" collapsed="false">
      <c r="A642" s="9" t="s">
        <v>227</v>
      </c>
      <c r="B642" s="9" t="s">
        <v>812</v>
      </c>
      <c r="C642" s="9" t="s">
        <v>907</v>
      </c>
      <c r="D642" s="5" t="s">
        <v>916</v>
      </c>
      <c r="E642" s="9" t="s">
        <v>815</v>
      </c>
      <c r="F642" s="18" t="n">
        <f aca="false">'13 PRODUCTIVITY LIBRARY'!E12/'13 PRODUCTIVITY LIBRARY'!D12</f>
        <v>0.00833333333333333</v>
      </c>
      <c r="G642" s="13" t="n">
        <f aca="false">N(INDEX('06 LABOUR RATE LIBRARY'!$D$5:$D$100,MATCH("LAB-CRP",'06 LABOUR RATE LIBRARY'!$A$5:$A$100,0)))</f>
        <v>2400</v>
      </c>
      <c r="H642" s="21" t="n">
        <v>0</v>
      </c>
      <c r="I642" s="18" t="n">
        <f aca="false">F642*(1+H642)</f>
        <v>0.00833333333333333</v>
      </c>
      <c r="J642" s="13" t="n">
        <f aca="false">I642*G642</f>
        <v>20</v>
      </c>
      <c r="K642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643" customFormat="false" ht="15" hidden="false" customHeight="true" outlineLevel="0" collapsed="false">
      <c r="A643" s="9" t="s">
        <v>227</v>
      </c>
      <c r="B643" s="9" t="s">
        <v>812</v>
      </c>
      <c r="C643" s="9" t="s">
        <v>816</v>
      </c>
      <c r="D643" s="5" t="s">
        <v>917</v>
      </c>
      <c r="E643" s="9" t="s">
        <v>815</v>
      </c>
      <c r="F643" s="18" t="n">
        <f aca="false">'13 PRODUCTIVITY LIBRARY'!F12/'13 PRODUCTIVITY LIBRARY'!D12</f>
        <v>0.00833333333333333</v>
      </c>
      <c r="G643" s="13" t="n">
        <f aca="false">N(INDEX('06 LABOUR RATE LIBRARY'!$D$5:$D$100,MATCH("LAB-HLP",'06 LABOUR RATE LIBRARY'!$A$5:$A$100,0)))</f>
        <v>1538</v>
      </c>
      <c r="H643" s="21" t="n">
        <v>0</v>
      </c>
      <c r="I643" s="18" t="n">
        <f aca="false">F643*(1+H643)</f>
        <v>0.00833333333333333</v>
      </c>
      <c r="J643" s="13" t="n">
        <f aca="false">I643*G643</f>
        <v>12.8166666666667</v>
      </c>
      <c r="K64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644" customFormat="false" ht="15" hidden="false" customHeight="true" outlineLevel="0" collapsed="false">
      <c r="D644" s="22" t="s">
        <v>825</v>
      </c>
      <c r="J644" s="23" t="n">
        <f aca="false">SUMPRODUCT((B638:B643="Material")*F638:F643*G638:G643)</f>
        <v>52.6758333333333</v>
      </c>
    </row>
    <row r="645" customFormat="false" ht="15" hidden="false" customHeight="true" outlineLevel="0" collapsed="false">
      <c r="D645" s="22" t="s">
        <v>826</v>
      </c>
      <c r="J645" s="23" t="n">
        <f aca="false">SUMIF(B638:B643,"Material",J638:J643)-J644</f>
        <v>2.86458333333334</v>
      </c>
    </row>
    <row r="646" customFormat="false" ht="15" hidden="false" customHeight="true" outlineLevel="0" collapsed="false">
      <c r="D646" s="24" t="s">
        <v>827</v>
      </c>
      <c r="J646" s="14" t="n">
        <f aca="false">SUMIF(B638:B643,"Material",J638:J643)</f>
        <v>55.5404166666667</v>
      </c>
    </row>
    <row r="647" customFormat="false" ht="15" hidden="false" customHeight="true" outlineLevel="0" collapsed="false">
      <c r="D647" s="24" t="s">
        <v>828</v>
      </c>
      <c r="J647" s="14" t="n">
        <f aca="false">SUMIF(B638:B643,"Labour",J638:J643)</f>
        <v>32.8166666666667</v>
      </c>
    </row>
    <row r="648" customFormat="false" ht="15" hidden="false" customHeight="true" outlineLevel="0" collapsed="false">
      <c r="D648" s="24" t="s">
        <v>829</v>
      </c>
      <c r="J648" s="14" t="n">
        <f aca="false">SUMIF(B638:B643,"Equipment",J638:J643)</f>
        <v>0</v>
      </c>
    </row>
    <row r="649" customFormat="false" ht="15" hidden="false" customHeight="true" outlineLevel="0" collapsed="false">
      <c r="D649" s="24" t="s">
        <v>830</v>
      </c>
      <c r="J649" s="14" t="n">
        <f aca="false">SUMIF(B638:B643,"Transport",J638:J643)</f>
        <v>0</v>
      </c>
    </row>
    <row r="650" customFormat="false" ht="15" hidden="false" customHeight="true" outlineLevel="0" collapsed="false">
      <c r="D650" s="24" t="s">
        <v>831</v>
      </c>
      <c r="J650" s="14" t="n">
        <f aca="false">J646+J647+J648+J649</f>
        <v>88.3570833333333</v>
      </c>
    </row>
    <row r="651" customFormat="false" ht="15" hidden="false" customHeight="true" outlineLevel="0" collapsed="false">
      <c r="D651" s="22" t="s">
        <v>832</v>
      </c>
      <c r="J651" s="23" t="n">
        <f aca="false">J650*OH_Site</f>
        <v>2.6507125</v>
      </c>
    </row>
    <row r="652" customFormat="false" ht="15" hidden="false" customHeight="true" outlineLevel="0" collapsed="false">
      <c r="D652" s="22" t="s">
        <v>833</v>
      </c>
      <c r="J652" s="23" t="n">
        <f aca="false">J650*OH_HO</f>
        <v>4.41785416666667</v>
      </c>
    </row>
    <row r="653" customFormat="false" ht="15" hidden="false" customHeight="true" outlineLevel="0" collapsed="false">
      <c r="D653" s="22" t="s">
        <v>834</v>
      </c>
      <c r="J653" s="23" t="n">
        <f aca="false">J650*Profit</f>
        <v>8.83570833333334</v>
      </c>
    </row>
    <row r="654" customFormat="false" ht="15" hidden="false" customHeight="true" outlineLevel="0" collapsed="false">
      <c r="D654" s="24" t="s">
        <v>835</v>
      </c>
      <c r="J654" s="14" t="n">
        <f aca="false">J650+J651+J652+J653</f>
        <v>104.261358333333</v>
      </c>
    </row>
    <row r="655" customFormat="false" ht="15" hidden="false" customHeight="true" outlineLevel="0" collapsed="false">
      <c r="D655" s="22" t="s">
        <v>836</v>
      </c>
      <c r="J655" s="23" t="n">
        <f aca="false">IF(Tax_On="Yes",J654*N(Tax_Rate),0)</f>
        <v>0</v>
      </c>
    </row>
    <row r="656" customFormat="false" ht="15" hidden="false" customHeight="true" outlineLevel="0" collapsed="false">
      <c r="D656" s="24" t="s">
        <v>895</v>
      </c>
      <c r="J656" s="14" t="n">
        <f aca="false">ROUND(J654+J655,0)</f>
        <v>104</v>
      </c>
    </row>
    <row r="657" customFormat="false" ht="15" hidden="false" customHeight="true" outlineLevel="0" collapsed="false">
      <c r="D657" s="25" t="s">
        <v>838</v>
      </c>
      <c r="J657" s="26" t="n">
        <f aca="false">COUNTIF(K638:K643,"NO RATE")+COUNTIF(K638:K643,"OLD RATE")</f>
        <v>0</v>
      </c>
    </row>
    <row r="659" customFormat="false" ht="39.75" hidden="false" customHeight="true" outlineLevel="0" collapsed="false">
      <c r="A659" s="4" t="s">
        <v>230</v>
      </c>
      <c r="B659" s="16" t="s">
        <v>232</v>
      </c>
      <c r="C659" s="16"/>
      <c r="D659" s="16"/>
      <c r="E659" s="16"/>
      <c r="F659" s="16"/>
      <c r="G659" s="16"/>
      <c r="H659" s="16"/>
      <c r="I659" s="16"/>
      <c r="J659" s="4" t="s">
        <v>890</v>
      </c>
      <c r="K659" s="17"/>
    </row>
    <row r="660" customFormat="false" ht="21.75" hidden="false" customHeight="true" outlineLevel="0" collapsed="false">
      <c r="A660" s="12" t="s">
        <v>75</v>
      </c>
      <c r="B660" s="12" t="s">
        <v>789</v>
      </c>
      <c r="C660" s="12" t="s">
        <v>790</v>
      </c>
      <c r="D660" s="12" t="s">
        <v>791</v>
      </c>
      <c r="E660" s="12" t="s">
        <v>81</v>
      </c>
      <c r="F660" s="12" t="s">
        <v>792</v>
      </c>
      <c r="G660" s="12" t="s">
        <v>793</v>
      </c>
      <c r="H660" s="12" t="s">
        <v>794</v>
      </c>
      <c r="I660" s="12" t="s">
        <v>795</v>
      </c>
      <c r="J660" s="12" t="s">
        <v>796</v>
      </c>
      <c r="K660" s="12" t="s">
        <v>797</v>
      </c>
    </row>
    <row r="661" customFormat="false" ht="15" hidden="false" customHeight="true" outlineLevel="0" collapsed="false">
      <c r="A661" s="9" t="s">
        <v>230</v>
      </c>
      <c r="B661" s="9" t="s">
        <v>798</v>
      </c>
      <c r="C661" s="9" t="s">
        <v>898</v>
      </c>
      <c r="D661" s="5" t="s">
        <v>899</v>
      </c>
      <c r="E661" s="9" t="s">
        <v>900</v>
      </c>
      <c r="F661" s="18" t="n">
        <f aca="false">1/32/Reuse_Ply</f>
        <v>0.00520833333333333</v>
      </c>
      <c r="G661" s="13" t="n">
        <f aca="false">N(INDEX('05 MATERIAL RATE LIBRARY'!$E$5:$E$400,MATCH("MAT-PLY-18",'05 MATERIAL RATE LIBRARY'!$A$5:$A$400,0)))</f>
        <v>5500</v>
      </c>
      <c r="H661" s="19" t="n">
        <f aca="false">W_Ply</f>
        <v>0.1</v>
      </c>
      <c r="I661" s="18" t="n">
        <f aca="false">F661*(1+H661)</f>
        <v>0.00572916666666667</v>
      </c>
      <c r="J661" s="13" t="n">
        <f aca="false">I661*G661</f>
        <v>31.5104166666667</v>
      </c>
      <c r="K661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662" customFormat="false" ht="15" hidden="false" customHeight="true" outlineLevel="0" collapsed="false">
      <c r="A662" s="9" t="s">
        <v>230</v>
      </c>
      <c r="B662" s="9" t="s">
        <v>798</v>
      </c>
      <c r="C662" s="9" t="s">
        <v>901</v>
      </c>
      <c r="D662" s="5" t="s">
        <v>912</v>
      </c>
      <c r="E662" s="9" t="s">
        <v>109</v>
      </c>
      <c r="F662" s="18" t="n">
        <f aca="false">0.04/Reuse_Tim</f>
        <v>0.004</v>
      </c>
      <c r="G662" s="13" t="n">
        <f aca="false">N(INDEX('05 MATERIAL RATE LIBRARY'!$E$5:$E$400,MATCH("MAT-TIM-CHR",'05 MATERIAL RATE LIBRARY'!$A$5:$A$400,0)))</f>
        <v>3680</v>
      </c>
      <c r="H662" s="21" t="n">
        <v>0</v>
      </c>
      <c r="I662" s="18" t="n">
        <f aca="false">F662*(1+H662)</f>
        <v>0.004</v>
      </c>
      <c r="J662" s="13" t="n">
        <f aca="false">I662*G662</f>
        <v>14.72</v>
      </c>
      <c r="K662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663" customFormat="false" ht="15" hidden="false" customHeight="true" outlineLevel="0" collapsed="false">
      <c r="A663" s="9" t="s">
        <v>230</v>
      </c>
      <c r="B663" s="9" t="s">
        <v>798</v>
      </c>
      <c r="C663" s="9" t="s">
        <v>903</v>
      </c>
      <c r="D663" s="5" t="s">
        <v>904</v>
      </c>
      <c r="E663" s="9" t="s">
        <v>198</v>
      </c>
      <c r="F663" s="18" t="n">
        <v>0.01</v>
      </c>
      <c r="G663" s="13" t="n">
        <f aca="false">N(INDEX('05 MATERIAL RATE LIBRARY'!$E$5:$E$400,MATCH("MAT-NAIL",'05 MATERIAL RATE LIBRARY'!$A$5:$A$400,0)))</f>
        <v>715</v>
      </c>
      <c r="H663" s="21" t="n">
        <v>0</v>
      </c>
      <c r="I663" s="18" t="n">
        <f aca="false">F663*(1+H663)</f>
        <v>0.01</v>
      </c>
      <c r="J663" s="13" t="n">
        <f aca="false">I663*G663</f>
        <v>7.15</v>
      </c>
      <c r="K663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664" customFormat="false" ht="15" hidden="false" customHeight="true" outlineLevel="0" collapsed="false">
      <c r="A664" s="9" t="s">
        <v>230</v>
      </c>
      <c r="B664" s="9" t="s">
        <v>798</v>
      </c>
      <c r="C664" s="9" t="s">
        <v>905</v>
      </c>
      <c r="D664" s="5" t="s">
        <v>906</v>
      </c>
      <c r="E664" s="9" t="s">
        <v>811</v>
      </c>
      <c r="F664" s="18" t="n">
        <v>0.01</v>
      </c>
      <c r="G664" s="13" t="n">
        <f aca="false">N(INDEX('05 MATERIAL RATE LIBRARY'!$E$5:$E$400,MATCH("MAT-SHOIL",'05 MATERIAL RATE LIBRARY'!$A$5:$A$400,0)))</f>
        <v>400</v>
      </c>
      <c r="H664" s="21" t="n">
        <v>0</v>
      </c>
      <c r="I664" s="18" t="n">
        <f aca="false">F664*(1+H664)</f>
        <v>0.01</v>
      </c>
      <c r="J664" s="13" t="n">
        <f aca="false">I664*G664</f>
        <v>4</v>
      </c>
      <c r="K664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665" customFormat="false" ht="15" hidden="false" customHeight="true" outlineLevel="0" collapsed="false">
      <c r="A665" s="9" t="s">
        <v>230</v>
      </c>
      <c r="B665" s="9" t="s">
        <v>812</v>
      </c>
      <c r="C665" s="9" t="s">
        <v>907</v>
      </c>
      <c r="D665" s="5" t="s">
        <v>918</v>
      </c>
      <c r="E665" s="9" t="s">
        <v>815</v>
      </c>
      <c r="F665" s="18" t="n">
        <f aca="false">'13 PRODUCTIVITY LIBRARY'!E13/'13 PRODUCTIVITY LIBRARY'!D13</f>
        <v>0.00769230769230769</v>
      </c>
      <c r="G665" s="13" t="n">
        <f aca="false">N(INDEX('06 LABOUR RATE LIBRARY'!$D$5:$D$100,MATCH("LAB-CRP",'06 LABOUR RATE LIBRARY'!$A$5:$A$100,0)))</f>
        <v>2400</v>
      </c>
      <c r="H665" s="21" t="n">
        <v>0</v>
      </c>
      <c r="I665" s="18" t="n">
        <f aca="false">F665*(1+H665)</f>
        <v>0.00769230769230769</v>
      </c>
      <c r="J665" s="13" t="n">
        <f aca="false">I665*G665</f>
        <v>18.4615384615385</v>
      </c>
      <c r="K665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666" customFormat="false" ht="15" hidden="false" customHeight="true" outlineLevel="0" collapsed="false">
      <c r="A666" s="9" t="s">
        <v>230</v>
      </c>
      <c r="B666" s="9" t="s">
        <v>812</v>
      </c>
      <c r="C666" s="9" t="s">
        <v>816</v>
      </c>
      <c r="D666" s="5" t="s">
        <v>919</v>
      </c>
      <c r="E666" s="9" t="s">
        <v>815</v>
      </c>
      <c r="F666" s="18" t="n">
        <f aca="false">'13 PRODUCTIVITY LIBRARY'!F13/'13 PRODUCTIVITY LIBRARY'!D13</f>
        <v>0.00769230769230769</v>
      </c>
      <c r="G666" s="13" t="n">
        <f aca="false">N(INDEX('06 LABOUR RATE LIBRARY'!$D$5:$D$100,MATCH("LAB-HLP",'06 LABOUR RATE LIBRARY'!$A$5:$A$100,0)))</f>
        <v>1538</v>
      </c>
      <c r="H666" s="21" t="n">
        <v>0</v>
      </c>
      <c r="I666" s="18" t="n">
        <f aca="false">F666*(1+H666)</f>
        <v>0.00769230769230769</v>
      </c>
      <c r="J666" s="13" t="n">
        <f aca="false">I666*G666</f>
        <v>11.8307692307692</v>
      </c>
      <c r="K66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667" customFormat="false" ht="15" hidden="false" customHeight="true" outlineLevel="0" collapsed="false">
      <c r="D667" s="22" t="s">
        <v>825</v>
      </c>
      <c r="J667" s="23" t="n">
        <f aca="false">SUMPRODUCT((B661:B666="Material")*F661:F666*G661:G666)</f>
        <v>54.5158333333333</v>
      </c>
    </row>
    <row r="668" customFormat="false" ht="15" hidden="false" customHeight="true" outlineLevel="0" collapsed="false">
      <c r="D668" s="22" t="s">
        <v>826</v>
      </c>
      <c r="J668" s="23" t="n">
        <f aca="false">SUMIF(B661:B666,"Material",J661:J666)-J667</f>
        <v>2.86458333333334</v>
      </c>
    </row>
    <row r="669" customFormat="false" ht="15" hidden="false" customHeight="true" outlineLevel="0" collapsed="false">
      <c r="D669" s="24" t="s">
        <v>827</v>
      </c>
      <c r="J669" s="14" t="n">
        <f aca="false">SUMIF(B661:B666,"Material",J661:J666)</f>
        <v>57.3804166666667</v>
      </c>
    </row>
    <row r="670" customFormat="false" ht="15" hidden="false" customHeight="true" outlineLevel="0" collapsed="false">
      <c r="D670" s="24" t="s">
        <v>828</v>
      </c>
      <c r="J670" s="14" t="n">
        <f aca="false">SUMIF(B661:B666,"Labour",J661:J666)</f>
        <v>30.2923076923077</v>
      </c>
    </row>
    <row r="671" customFormat="false" ht="15" hidden="false" customHeight="true" outlineLevel="0" collapsed="false">
      <c r="D671" s="24" t="s">
        <v>829</v>
      </c>
      <c r="J671" s="14" t="n">
        <f aca="false">SUMIF(B661:B666,"Equipment",J661:J666)</f>
        <v>0</v>
      </c>
    </row>
    <row r="672" customFormat="false" ht="15" hidden="false" customHeight="true" outlineLevel="0" collapsed="false">
      <c r="D672" s="24" t="s">
        <v>830</v>
      </c>
      <c r="J672" s="14" t="n">
        <f aca="false">SUMIF(B661:B666,"Transport",J661:J666)</f>
        <v>0</v>
      </c>
    </row>
    <row r="673" customFormat="false" ht="15" hidden="false" customHeight="true" outlineLevel="0" collapsed="false">
      <c r="D673" s="24" t="s">
        <v>831</v>
      </c>
      <c r="J673" s="14" t="n">
        <f aca="false">J669+J670+J671+J672</f>
        <v>87.6727243589744</v>
      </c>
    </row>
    <row r="674" customFormat="false" ht="15" hidden="false" customHeight="true" outlineLevel="0" collapsed="false">
      <c r="D674" s="22" t="s">
        <v>832</v>
      </c>
      <c r="J674" s="23" t="n">
        <f aca="false">J673*OH_Site</f>
        <v>2.63018173076923</v>
      </c>
    </row>
    <row r="675" customFormat="false" ht="15" hidden="false" customHeight="true" outlineLevel="0" collapsed="false">
      <c r="D675" s="22" t="s">
        <v>833</v>
      </c>
      <c r="J675" s="23" t="n">
        <f aca="false">J673*OH_HO</f>
        <v>4.38363621794872</v>
      </c>
    </row>
    <row r="676" customFormat="false" ht="15" hidden="false" customHeight="true" outlineLevel="0" collapsed="false">
      <c r="D676" s="22" t="s">
        <v>834</v>
      </c>
      <c r="J676" s="23" t="n">
        <f aca="false">J673*Profit</f>
        <v>8.76727243589744</v>
      </c>
    </row>
    <row r="677" customFormat="false" ht="15" hidden="false" customHeight="true" outlineLevel="0" collapsed="false">
      <c r="D677" s="24" t="s">
        <v>835</v>
      </c>
      <c r="J677" s="14" t="n">
        <f aca="false">J673+J674+J675+J676</f>
        <v>103.45381474359</v>
      </c>
    </row>
    <row r="678" customFormat="false" ht="15" hidden="false" customHeight="true" outlineLevel="0" collapsed="false">
      <c r="D678" s="22" t="s">
        <v>836</v>
      </c>
      <c r="J678" s="23" t="n">
        <f aca="false">IF(Tax_On="Yes",J677*N(Tax_Rate),0)</f>
        <v>0</v>
      </c>
    </row>
    <row r="679" customFormat="false" ht="15" hidden="false" customHeight="true" outlineLevel="0" collapsed="false">
      <c r="D679" s="24" t="s">
        <v>895</v>
      </c>
      <c r="J679" s="14" t="n">
        <f aca="false">ROUND(J677+J678,0)</f>
        <v>103</v>
      </c>
    </row>
    <row r="680" customFormat="false" ht="15" hidden="false" customHeight="true" outlineLevel="0" collapsed="false">
      <c r="D680" s="25" t="s">
        <v>838</v>
      </c>
      <c r="J680" s="26" t="n">
        <f aca="false">COUNTIF(K661:K666,"NO RATE")+COUNTIF(K661:K666,"OLD RATE")</f>
        <v>0</v>
      </c>
    </row>
    <row r="682" customFormat="false" ht="39.75" hidden="false" customHeight="true" outlineLevel="0" collapsed="false">
      <c r="A682" s="4" t="s">
        <v>233</v>
      </c>
      <c r="B682" s="16" t="s">
        <v>235</v>
      </c>
      <c r="C682" s="16"/>
      <c r="D682" s="16"/>
      <c r="E682" s="16"/>
      <c r="F682" s="16"/>
      <c r="G682" s="16"/>
      <c r="H682" s="16"/>
      <c r="I682" s="16"/>
      <c r="J682" s="4" t="s">
        <v>890</v>
      </c>
      <c r="K682" s="17"/>
    </row>
    <row r="683" customFormat="false" ht="21.75" hidden="false" customHeight="true" outlineLevel="0" collapsed="false">
      <c r="A683" s="12" t="s">
        <v>75</v>
      </c>
      <c r="B683" s="12" t="s">
        <v>789</v>
      </c>
      <c r="C683" s="12" t="s">
        <v>790</v>
      </c>
      <c r="D683" s="12" t="s">
        <v>791</v>
      </c>
      <c r="E683" s="12" t="s">
        <v>81</v>
      </c>
      <c r="F683" s="12" t="s">
        <v>792</v>
      </c>
      <c r="G683" s="12" t="s">
        <v>793</v>
      </c>
      <c r="H683" s="12" t="s">
        <v>794</v>
      </c>
      <c r="I683" s="12" t="s">
        <v>795</v>
      </c>
      <c r="J683" s="12" t="s">
        <v>796</v>
      </c>
      <c r="K683" s="12" t="s">
        <v>797</v>
      </c>
    </row>
    <row r="684" customFormat="false" ht="15" hidden="false" customHeight="true" outlineLevel="0" collapsed="false">
      <c r="A684" s="9" t="s">
        <v>233</v>
      </c>
      <c r="B684" s="9" t="s">
        <v>798</v>
      </c>
      <c r="C684" s="9" t="s">
        <v>920</v>
      </c>
      <c r="D684" s="5" t="s">
        <v>921</v>
      </c>
      <c r="E684" s="9" t="s">
        <v>368</v>
      </c>
      <c r="F684" s="18" t="n">
        <f aca="false">144/((16+0.375)*(8+0.375))</f>
        <v>1.05001709012191</v>
      </c>
      <c r="G684" s="13" t="n">
        <f aca="false">N(INDEX('05 MATERIAL RATE LIBRARY'!$E$5:$E$400,MATCH("MAT-BLK-8H",'05 MATERIAL RATE LIBRARY'!$A$5:$A$400,0)))</f>
        <v>210</v>
      </c>
      <c r="H684" s="19" t="n">
        <f aca="false">W_Blk</f>
        <v>0.05</v>
      </c>
      <c r="I684" s="18" t="n">
        <f aca="false">F684*(1+H684)</f>
        <v>1.10251794462801</v>
      </c>
      <c r="J684" s="13" t="n">
        <f aca="false">I684*G684</f>
        <v>231.528768371881</v>
      </c>
      <c r="K684" s="20" t="str">
        <f aca="false">IF(INDEX('05 MATERIAL RATE LIBRARY'!$M$5:$M$400,MATCH("MAT-BLK-8H",'05 MATERIAL RATE LIBRARY'!$A$5:$A$400,0))=1,"",IF(INDEX('05 MATERIAL RATE LIBRARY'!$M$5:$M$400,MATCH("MAT-BLK-8H",'05 MATERIAL RATE LIBRARY'!$A$5:$A$400,0))=2,"OLD RATE","NO RATE"))</f>
        <v/>
      </c>
    </row>
    <row r="685" customFormat="false" ht="15" hidden="false" customHeight="true" outlineLevel="0" collapsed="false">
      <c r="A685" s="9" t="s">
        <v>233</v>
      </c>
      <c r="B685" s="9" t="s">
        <v>798</v>
      </c>
      <c r="C685" s="9" t="s">
        <v>799</v>
      </c>
      <c r="D685" s="5" t="s">
        <v>922</v>
      </c>
      <c r="E685" s="9" t="s">
        <v>801</v>
      </c>
      <c r="F685" s="18" t="n">
        <f aca="false">((8/12)-(144/((16+0.375)*(8+0.375)))*(16*8*8/1728))*DryF_Mortar/7/Bag_cft</f>
        <v>0.00660166994905517</v>
      </c>
      <c r="G685" s="13" t="n">
        <f aca="false">N(INDEX('05 MATERIAL RATE LIBRARY'!$E$5:$E$400,MATCH("MAT-CEM-OPC",'05 MATERIAL RATE LIBRARY'!$A$5:$A$400,0)))</f>
        <v>1575</v>
      </c>
      <c r="H685" s="19" t="n">
        <f aca="false">W_Cem</f>
        <v>0.02</v>
      </c>
      <c r="I685" s="18" t="n">
        <f aca="false">F685*(1+H685)</f>
        <v>0.00673370334803627</v>
      </c>
      <c r="J685" s="13" t="n">
        <f aca="false">I685*G685</f>
        <v>10.6055827731571</v>
      </c>
      <c r="K685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686" customFormat="false" ht="15" hidden="false" customHeight="true" outlineLevel="0" collapsed="false">
      <c r="A686" s="9" t="s">
        <v>233</v>
      </c>
      <c r="B686" s="9" t="s">
        <v>798</v>
      </c>
      <c r="C686" s="9" t="s">
        <v>864</v>
      </c>
      <c r="D686" s="5" t="s">
        <v>923</v>
      </c>
      <c r="E686" s="9" t="s">
        <v>109</v>
      </c>
      <c r="F686" s="18" t="n">
        <f aca="false">((8/12)-(144/((16+0.375)*(8+0.375)))*(16*8*8/1728))*DryF_Mortar*6/7</f>
        <v>0.0495125246179137</v>
      </c>
      <c r="G686" s="13" t="n">
        <f aca="false">N(INDEX('05 MATERIAL RATE LIBRARY'!$E$5:$E$400,MATCH("MAT-SND-CHN",'05 MATERIAL RATE LIBRARY'!$A$5:$A$400,0)))</f>
        <v>80</v>
      </c>
      <c r="H686" s="19" t="n">
        <f aca="false">W_Agg</f>
        <v>0.05</v>
      </c>
      <c r="I686" s="18" t="n">
        <f aca="false">F686*(1+H686)</f>
        <v>0.0519881508488094</v>
      </c>
      <c r="J686" s="13" t="n">
        <f aca="false">I686*G686</f>
        <v>4.15905206790476</v>
      </c>
      <c r="K686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687" customFormat="false" ht="15" hidden="false" customHeight="true" outlineLevel="0" collapsed="false">
      <c r="A687" s="9" t="s">
        <v>233</v>
      </c>
      <c r="B687" s="9" t="s">
        <v>812</v>
      </c>
      <c r="C687" s="9" t="s">
        <v>813</v>
      </c>
      <c r="D687" s="5" t="s">
        <v>924</v>
      </c>
      <c r="E687" s="9" t="s">
        <v>815</v>
      </c>
      <c r="F687" s="18" t="n">
        <f aca="false">'13 PRODUCTIVITY LIBRARY'!E14/'13 PRODUCTIVITY LIBRARY'!D14</f>
        <v>0.01</v>
      </c>
      <c r="G687" s="13" t="n">
        <f aca="false">N(INDEX('06 LABOUR RATE LIBRARY'!$D$5:$D$100,MATCH("LAB-MSN",'06 LABOUR RATE LIBRARY'!$A$5:$A$100,0)))</f>
        <v>2200</v>
      </c>
      <c r="H687" s="21" t="n">
        <v>0</v>
      </c>
      <c r="I687" s="18" t="n">
        <f aca="false">F687*(1+H687)</f>
        <v>0.01</v>
      </c>
      <c r="J687" s="13" t="n">
        <f aca="false">I687*G687</f>
        <v>22</v>
      </c>
      <c r="K687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688" customFormat="false" ht="15" hidden="false" customHeight="true" outlineLevel="0" collapsed="false">
      <c r="A688" s="9" t="s">
        <v>233</v>
      </c>
      <c r="B688" s="9" t="s">
        <v>812</v>
      </c>
      <c r="C688" s="9" t="s">
        <v>816</v>
      </c>
      <c r="D688" s="5" t="s">
        <v>925</v>
      </c>
      <c r="E688" s="9" t="s">
        <v>815</v>
      </c>
      <c r="F688" s="18" t="n">
        <f aca="false">'13 PRODUCTIVITY LIBRARY'!F14/'13 PRODUCTIVITY LIBRARY'!D14</f>
        <v>0.01</v>
      </c>
      <c r="G688" s="13" t="n">
        <f aca="false">N(INDEX('06 LABOUR RATE LIBRARY'!$D$5:$D$100,MATCH("LAB-HLP",'06 LABOUR RATE LIBRARY'!$A$5:$A$100,0)))</f>
        <v>1538</v>
      </c>
      <c r="H688" s="21" t="n">
        <v>0</v>
      </c>
      <c r="I688" s="18" t="n">
        <f aca="false">F688*(1+H688)</f>
        <v>0.01</v>
      </c>
      <c r="J688" s="13" t="n">
        <f aca="false">I688*G688</f>
        <v>15.38</v>
      </c>
      <c r="K68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689" customFormat="false" ht="15" hidden="false" customHeight="true" outlineLevel="0" collapsed="false">
      <c r="D689" s="22" t="s">
        <v>825</v>
      </c>
      <c r="J689" s="23" t="n">
        <f aca="false">SUMPRODUCT((B684:B688="Material")*F684:F688*G684:G688)</f>
        <v>234.862221064796</v>
      </c>
    </row>
    <row r="690" customFormat="false" ht="15" hidden="false" customHeight="true" outlineLevel="0" collapsed="false">
      <c r="D690" s="22" t="s">
        <v>826</v>
      </c>
      <c r="J690" s="23" t="n">
        <f aca="false">SUMIF(B684:B688,"Material",J684:J688)-J689</f>
        <v>11.4311821481469</v>
      </c>
    </row>
    <row r="691" customFormat="false" ht="15" hidden="false" customHeight="true" outlineLevel="0" collapsed="false">
      <c r="D691" s="24" t="s">
        <v>827</v>
      </c>
      <c r="J691" s="14" t="n">
        <f aca="false">SUMIF(B684:B688,"Material",J684:J688)</f>
        <v>246.293403212943</v>
      </c>
    </row>
    <row r="692" customFormat="false" ht="15" hidden="false" customHeight="true" outlineLevel="0" collapsed="false">
      <c r="D692" s="24" t="s">
        <v>828</v>
      </c>
      <c r="J692" s="14" t="n">
        <f aca="false">SUMIF(B684:B688,"Labour",J684:J688)</f>
        <v>37.38</v>
      </c>
    </row>
    <row r="693" customFormat="false" ht="15" hidden="false" customHeight="true" outlineLevel="0" collapsed="false">
      <c r="D693" s="24" t="s">
        <v>829</v>
      </c>
      <c r="J693" s="14" t="n">
        <f aca="false">SUMIF(B684:B688,"Equipment",J684:J688)</f>
        <v>0</v>
      </c>
    </row>
    <row r="694" customFormat="false" ht="15" hidden="false" customHeight="true" outlineLevel="0" collapsed="false">
      <c r="D694" s="24" t="s">
        <v>830</v>
      </c>
      <c r="J694" s="14" t="n">
        <f aca="false">SUMIF(B684:B688,"Transport",J684:J688)</f>
        <v>0</v>
      </c>
    </row>
    <row r="695" customFormat="false" ht="15" hidden="false" customHeight="true" outlineLevel="0" collapsed="false">
      <c r="D695" s="24" t="s">
        <v>831</v>
      </c>
      <c r="J695" s="14" t="n">
        <f aca="false">J691+J692+J693+J694</f>
        <v>283.673403212943</v>
      </c>
    </row>
    <row r="696" customFormat="false" ht="15" hidden="false" customHeight="true" outlineLevel="0" collapsed="false">
      <c r="D696" s="22" t="s">
        <v>832</v>
      </c>
      <c r="J696" s="23" t="n">
        <f aca="false">J695*OH_Site</f>
        <v>8.51020209638829</v>
      </c>
    </row>
    <row r="697" customFormat="false" ht="15" hidden="false" customHeight="true" outlineLevel="0" collapsed="false">
      <c r="D697" s="22" t="s">
        <v>833</v>
      </c>
      <c r="J697" s="23" t="n">
        <f aca="false">J695*OH_HO</f>
        <v>14.1836701606471</v>
      </c>
    </row>
    <row r="698" customFormat="false" ht="15" hidden="false" customHeight="true" outlineLevel="0" collapsed="false">
      <c r="D698" s="22" t="s">
        <v>834</v>
      </c>
      <c r="J698" s="23" t="n">
        <f aca="false">J695*Profit</f>
        <v>28.3673403212943</v>
      </c>
    </row>
    <row r="699" customFormat="false" ht="15" hidden="false" customHeight="true" outlineLevel="0" collapsed="false">
      <c r="D699" s="24" t="s">
        <v>835</v>
      </c>
      <c r="J699" s="14" t="n">
        <f aca="false">J695+J696+J697+J698</f>
        <v>334.734615791273</v>
      </c>
    </row>
    <row r="700" customFormat="false" ht="15" hidden="false" customHeight="true" outlineLevel="0" collapsed="false">
      <c r="D700" s="22" t="s">
        <v>836</v>
      </c>
      <c r="J700" s="23" t="n">
        <f aca="false">IF(Tax_On="Yes",J699*N(Tax_Rate),0)</f>
        <v>0</v>
      </c>
    </row>
    <row r="701" customFormat="false" ht="15" hidden="false" customHeight="true" outlineLevel="0" collapsed="false">
      <c r="D701" s="24" t="s">
        <v>895</v>
      </c>
      <c r="J701" s="14" t="n">
        <f aca="false">ROUND(J699+J700,0)</f>
        <v>335</v>
      </c>
    </row>
    <row r="702" customFormat="false" ht="15" hidden="false" customHeight="true" outlineLevel="0" collapsed="false">
      <c r="D702" s="25" t="s">
        <v>838</v>
      </c>
      <c r="J702" s="26" t="n">
        <f aca="false">COUNTIF(K684:K688,"NO RATE")+COUNTIF(K684:K688,"OLD RATE")</f>
        <v>0</v>
      </c>
    </row>
    <row r="704" customFormat="false" ht="39.75" hidden="false" customHeight="true" outlineLevel="0" collapsed="false">
      <c r="A704" s="4" t="s">
        <v>238</v>
      </c>
      <c r="B704" s="16" t="s">
        <v>240</v>
      </c>
      <c r="C704" s="16"/>
      <c r="D704" s="16"/>
      <c r="E704" s="16"/>
      <c r="F704" s="16"/>
      <c r="G704" s="16"/>
      <c r="H704" s="16"/>
      <c r="I704" s="16"/>
      <c r="J704" s="4" t="s">
        <v>890</v>
      </c>
      <c r="K704" s="17"/>
    </row>
    <row r="705" customFormat="false" ht="21.75" hidden="false" customHeight="true" outlineLevel="0" collapsed="false">
      <c r="A705" s="12" t="s">
        <v>75</v>
      </c>
      <c r="B705" s="12" t="s">
        <v>789</v>
      </c>
      <c r="C705" s="12" t="s">
        <v>790</v>
      </c>
      <c r="D705" s="12" t="s">
        <v>791</v>
      </c>
      <c r="E705" s="12" t="s">
        <v>81</v>
      </c>
      <c r="F705" s="12" t="s">
        <v>792</v>
      </c>
      <c r="G705" s="12" t="s">
        <v>793</v>
      </c>
      <c r="H705" s="12" t="s">
        <v>794</v>
      </c>
      <c r="I705" s="12" t="s">
        <v>795</v>
      </c>
      <c r="J705" s="12" t="s">
        <v>796</v>
      </c>
      <c r="K705" s="12" t="s">
        <v>797</v>
      </c>
    </row>
    <row r="706" customFormat="false" ht="15" hidden="false" customHeight="true" outlineLevel="0" collapsed="false">
      <c r="A706" s="9" t="s">
        <v>238</v>
      </c>
      <c r="B706" s="9" t="s">
        <v>798</v>
      </c>
      <c r="C706" s="9" t="s">
        <v>926</v>
      </c>
      <c r="D706" s="5" t="s">
        <v>927</v>
      </c>
      <c r="E706" s="9" t="s">
        <v>368</v>
      </c>
      <c r="F706" s="18" t="n">
        <f aca="false">144/((16+0.375)*(8+0.375))</f>
        <v>1.05001709012191</v>
      </c>
      <c r="G706" s="13" t="n">
        <f aca="false">N(INDEX('05 MATERIAL RATE LIBRARY'!$E$5:$E$400,MATCH("MAT-BLK-6H",'05 MATERIAL RATE LIBRARY'!$A$5:$A$400,0)))</f>
        <v>165</v>
      </c>
      <c r="H706" s="19" t="n">
        <f aca="false">W_Blk</f>
        <v>0.05</v>
      </c>
      <c r="I706" s="18" t="n">
        <f aca="false">F706*(1+H706)</f>
        <v>1.10251794462801</v>
      </c>
      <c r="J706" s="13" t="n">
        <f aca="false">I706*G706</f>
        <v>181.915460863621</v>
      </c>
      <c r="K706" s="20" t="str">
        <f aca="false">IF(INDEX('05 MATERIAL RATE LIBRARY'!$M$5:$M$400,MATCH("MAT-BLK-6H",'05 MATERIAL RATE LIBRARY'!$A$5:$A$400,0))=1,"",IF(INDEX('05 MATERIAL RATE LIBRARY'!$M$5:$M$400,MATCH("MAT-BLK-6H",'05 MATERIAL RATE LIBRARY'!$A$5:$A$400,0))=2,"OLD RATE","NO RATE"))</f>
        <v/>
      </c>
    </row>
    <row r="707" customFormat="false" ht="15" hidden="false" customHeight="true" outlineLevel="0" collapsed="false">
      <c r="A707" s="9" t="s">
        <v>238</v>
      </c>
      <c r="B707" s="9" t="s">
        <v>798</v>
      </c>
      <c r="C707" s="9" t="s">
        <v>799</v>
      </c>
      <c r="D707" s="5" t="s">
        <v>922</v>
      </c>
      <c r="E707" s="9" t="s">
        <v>801</v>
      </c>
      <c r="F707" s="18" t="n">
        <f aca="false">((6/12)-(144/((16+0.375)*(8+0.375)))*(16*6*8/1728))*DryF_Mortar/7/Bag_cft</f>
        <v>0.00495125246179138</v>
      </c>
      <c r="G707" s="13" t="n">
        <f aca="false">N(INDEX('05 MATERIAL RATE LIBRARY'!$E$5:$E$400,MATCH("MAT-CEM-OPC",'05 MATERIAL RATE LIBRARY'!$A$5:$A$400,0)))</f>
        <v>1575</v>
      </c>
      <c r="H707" s="19" t="n">
        <f aca="false">W_Cem</f>
        <v>0.02</v>
      </c>
      <c r="I707" s="18" t="n">
        <f aca="false">F707*(1+H707)</f>
        <v>0.00505027751102721</v>
      </c>
      <c r="J707" s="13" t="n">
        <f aca="false">I707*G707</f>
        <v>7.95418707986785</v>
      </c>
      <c r="K707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08" customFormat="false" ht="15" hidden="false" customHeight="true" outlineLevel="0" collapsed="false">
      <c r="A708" s="9" t="s">
        <v>238</v>
      </c>
      <c r="B708" s="9" t="s">
        <v>798</v>
      </c>
      <c r="C708" s="9" t="s">
        <v>864</v>
      </c>
      <c r="D708" s="5" t="s">
        <v>923</v>
      </c>
      <c r="E708" s="9" t="s">
        <v>109</v>
      </c>
      <c r="F708" s="18" t="n">
        <f aca="false">((6/12)-(144/((16+0.375)*(8+0.375)))*(16*6*8/1728))*DryF_Mortar*6/7</f>
        <v>0.0371343934634353</v>
      </c>
      <c r="G708" s="13" t="n">
        <f aca="false">N(INDEX('05 MATERIAL RATE LIBRARY'!$E$5:$E$400,MATCH("MAT-SND-CHN",'05 MATERIAL RATE LIBRARY'!$A$5:$A$400,0)))</f>
        <v>80</v>
      </c>
      <c r="H708" s="19" t="n">
        <f aca="false">W_Agg</f>
        <v>0.05</v>
      </c>
      <c r="I708" s="18" t="n">
        <f aca="false">F708*(1+H708)</f>
        <v>0.0389911131366071</v>
      </c>
      <c r="J708" s="13" t="n">
        <f aca="false">I708*G708</f>
        <v>3.11928905092857</v>
      </c>
      <c r="K708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709" customFormat="false" ht="15" hidden="false" customHeight="true" outlineLevel="0" collapsed="false">
      <c r="A709" s="9" t="s">
        <v>238</v>
      </c>
      <c r="B709" s="9" t="s">
        <v>812</v>
      </c>
      <c r="C709" s="9" t="s">
        <v>813</v>
      </c>
      <c r="D709" s="5" t="s">
        <v>928</v>
      </c>
      <c r="E709" s="9" t="s">
        <v>815</v>
      </c>
      <c r="F709" s="18" t="n">
        <f aca="false">'13 PRODUCTIVITY LIBRARY'!E15/'13 PRODUCTIVITY LIBRARY'!D15</f>
        <v>0.00833333333333333</v>
      </c>
      <c r="G709" s="13" t="n">
        <f aca="false">N(INDEX('06 LABOUR RATE LIBRARY'!$D$5:$D$100,MATCH("LAB-MSN",'06 LABOUR RATE LIBRARY'!$A$5:$A$100,0)))</f>
        <v>2200</v>
      </c>
      <c r="H709" s="21" t="n">
        <v>0</v>
      </c>
      <c r="I709" s="18" t="n">
        <f aca="false">F709*(1+H709)</f>
        <v>0.00833333333333333</v>
      </c>
      <c r="J709" s="13" t="n">
        <f aca="false">I709*G709</f>
        <v>18.3333333333333</v>
      </c>
      <c r="K70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710" customFormat="false" ht="15" hidden="false" customHeight="true" outlineLevel="0" collapsed="false">
      <c r="A710" s="9" t="s">
        <v>238</v>
      </c>
      <c r="B710" s="9" t="s">
        <v>812</v>
      </c>
      <c r="C710" s="9" t="s">
        <v>816</v>
      </c>
      <c r="D710" s="5" t="s">
        <v>929</v>
      </c>
      <c r="E710" s="9" t="s">
        <v>815</v>
      </c>
      <c r="F710" s="18" t="n">
        <f aca="false">'13 PRODUCTIVITY LIBRARY'!F15/'13 PRODUCTIVITY LIBRARY'!D15</f>
        <v>0.00833333333333333</v>
      </c>
      <c r="G710" s="13" t="n">
        <f aca="false">N(INDEX('06 LABOUR RATE LIBRARY'!$D$5:$D$100,MATCH("LAB-HLP",'06 LABOUR RATE LIBRARY'!$A$5:$A$100,0)))</f>
        <v>1538</v>
      </c>
      <c r="H710" s="21" t="n">
        <v>0</v>
      </c>
      <c r="I710" s="18" t="n">
        <f aca="false">F710*(1+H710)</f>
        <v>0.00833333333333333</v>
      </c>
      <c r="J710" s="13" t="n">
        <f aca="false">I710*G710</f>
        <v>12.8166666666667</v>
      </c>
      <c r="K71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711" customFormat="false" ht="15" hidden="false" customHeight="true" outlineLevel="0" collapsed="false">
      <c r="D711" s="22" t="s">
        <v>825</v>
      </c>
      <c r="J711" s="23" t="n">
        <f aca="false">SUMPRODUCT((B706:B710="Material")*F706:F710*G706:G710)</f>
        <v>184.021793974511</v>
      </c>
    </row>
    <row r="712" customFormat="false" ht="15" hidden="false" customHeight="true" outlineLevel="0" collapsed="false">
      <c r="D712" s="22" t="s">
        <v>826</v>
      </c>
      <c r="J712" s="23" t="n">
        <f aca="false">SUMIF(B706:B710,"Material",J706:J710)-J711</f>
        <v>8.96714301990591</v>
      </c>
    </row>
    <row r="713" customFormat="false" ht="15" hidden="false" customHeight="true" outlineLevel="0" collapsed="false">
      <c r="D713" s="24" t="s">
        <v>827</v>
      </c>
      <c r="J713" s="14" t="n">
        <f aca="false">SUMIF(B706:B710,"Material",J706:J710)</f>
        <v>192.988936994417</v>
      </c>
    </row>
    <row r="714" customFormat="false" ht="15" hidden="false" customHeight="true" outlineLevel="0" collapsed="false">
      <c r="D714" s="24" t="s">
        <v>828</v>
      </c>
      <c r="J714" s="14" t="n">
        <f aca="false">SUMIF(B706:B710,"Labour",J706:J710)</f>
        <v>31.15</v>
      </c>
    </row>
    <row r="715" customFormat="false" ht="15" hidden="false" customHeight="true" outlineLevel="0" collapsed="false">
      <c r="D715" s="24" t="s">
        <v>829</v>
      </c>
      <c r="J715" s="14" t="n">
        <f aca="false">SUMIF(B706:B710,"Equipment",J706:J710)</f>
        <v>0</v>
      </c>
    </row>
    <row r="716" customFormat="false" ht="15" hidden="false" customHeight="true" outlineLevel="0" collapsed="false">
      <c r="D716" s="24" t="s">
        <v>830</v>
      </c>
      <c r="J716" s="14" t="n">
        <f aca="false">SUMIF(B706:B710,"Transport",J706:J710)</f>
        <v>0</v>
      </c>
    </row>
    <row r="717" customFormat="false" ht="15" hidden="false" customHeight="true" outlineLevel="0" collapsed="false">
      <c r="D717" s="24" t="s">
        <v>831</v>
      </c>
      <c r="J717" s="14" t="n">
        <f aca="false">J713+J714+J715+J716</f>
        <v>224.138936994417</v>
      </c>
    </row>
    <row r="718" customFormat="false" ht="15" hidden="false" customHeight="true" outlineLevel="0" collapsed="false">
      <c r="D718" s="22" t="s">
        <v>832</v>
      </c>
      <c r="J718" s="23" t="n">
        <f aca="false">J717*OH_Site</f>
        <v>6.72416810983252</v>
      </c>
    </row>
    <row r="719" customFormat="false" ht="15" hidden="false" customHeight="true" outlineLevel="0" collapsed="false">
      <c r="D719" s="22" t="s">
        <v>833</v>
      </c>
      <c r="J719" s="23" t="n">
        <f aca="false">J717*OH_HO</f>
        <v>11.2069468497209</v>
      </c>
    </row>
    <row r="720" customFormat="false" ht="15" hidden="false" customHeight="true" outlineLevel="0" collapsed="false">
      <c r="D720" s="22" t="s">
        <v>834</v>
      </c>
      <c r="J720" s="23" t="n">
        <f aca="false">J717*Profit</f>
        <v>22.4138936994417</v>
      </c>
    </row>
    <row r="721" customFormat="false" ht="15" hidden="false" customHeight="true" outlineLevel="0" collapsed="false">
      <c r="D721" s="24" t="s">
        <v>835</v>
      </c>
      <c r="J721" s="14" t="n">
        <f aca="false">J717+J718+J719+J720</f>
        <v>264.483945653412</v>
      </c>
    </row>
    <row r="722" customFormat="false" ht="15" hidden="false" customHeight="true" outlineLevel="0" collapsed="false">
      <c r="D722" s="22" t="s">
        <v>836</v>
      </c>
      <c r="J722" s="23" t="n">
        <f aca="false">IF(Tax_On="Yes",J721*N(Tax_Rate),0)</f>
        <v>0</v>
      </c>
    </row>
    <row r="723" customFormat="false" ht="15" hidden="false" customHeight="true" outlineLevel="0" collapsed="false">
      <c r="D723" s="24" t="s">
        <v>895</v>
      </c>
      <c r="J723" s="14" t="n">
        <f aca="false">ROUND(J721+J722,0)</f>
        <v>264</v>
      </c>
    </row>
    <row r="724" customFormat="false" ht="15" hidden="false" customHeight="true" outlineLevel="0" collapsed="false">
      <c r="D724" s="25" t="s">
        <v>838</v>
      </c>
      <c r="J724" s="26" t="n">
        <f aca="false">COUNTIF(K706:K710,"NO RATE")+COUNTIF(K706:K710,"OLD RATE")</f>
        <v>0</v>
      </c>
    </row>
    <row r="726" customFormat="false" ht="39.75" hidden="false" customHeight="true" outlineLevel="0" collapsed="false">
      <c r="A726" s="4" t="s">
        <v>242</v>
      </c>
      <c r="B726" s="16" t="s">
        <v>244</v>
      </c>
      <c r="C726" s="16"/>
      <c r="D726" s="16"/>
      <c r="E726" s="16"/>
      <c r="F726" s="16"/>
      <c r="G726" s="16"/>
      <c r="H726" s="16"/>
      <c r="I726" s="16"/>
      <c r="J726" s="4" t="s">
        <v>890</v>
      </c>
      <c r="K726" s="17"/>
    </row>
    <row r="727" customFormat="false" ht="21.75" hidden="false" customHeight="true" outlineLevel="0" collapsed="false">
      <c r="A727" s="12" t="s">
        <v>75</v>
      </c>
      <c r="B727" s="12" t="s">
        <v>789</v>
      </c>
      <c r="C727" s="12" t="s">
        <v>790</v>
      </c>
      <c r="D727" s="12" t="s">
        <v>791</v>
      </c>
      <c r="E727" s="12" t="s">
        <v>81</v>
      </c>
      <c r="F727" s="12" t="s">
        <v>792</v>
      </c>
      <c r="G727" s="12" t="s">
        <v>793</v>
      </c>
      <c r="H727" s="12" t="s">
        <v>794</v>
      </c>
      <c r="I727" s="12" t="s">
        <v>795</v>
      </c>
      <c r="J727" s="12" t="s">
        <v>796</v>
      </c>
      <c r="K727" s="12" t="s">
        <v>797</v>
      </c>
    </row>
    <row r="728" customFormat="false" ht="15" hidden="false" customHeight="true" outlineLevel="0" collapsed="false">
      <c r="A728" s="9" t="s">
        <v>242</v>
      </c>
      <c r="B728" s="9" t="s">
        <v>798</v>
      </c>
      <c r="C728" s="9" t="s">
        <v>930</v>
      </c>
      <c r="D728" s="5" t="s">
        <v>931</v>
      </c>
      <c r="E728" s="9" t="s">
        <v>368</v>
      </c>
      <c r="F728" s="18" t="n">
        <f aca="false">144/((12+0.375)*(8+0.375))</f>
        <v>1.38941655359566</v>
      </c>
      <c r="G728" s="13" t="n">
        <f aca="false">N(INDEX('05 MATERIAL RATE LIBRARY'!$E$5:$E$400,MATCH("MAT-BLK-4S",'05 MATERIAL RATE LIBRARY'!$A$5:$A$400,0)))</f>
        <v>140</v>
      </c>
      <c r="H728" s="19" t="n">
        <f aca="false">W_Blk</f>
        <v>0.05</v>
      </c>
      <c r="I728" s="18" t="n">
        <f aca="false">F728*(1+H728)</f>
        <v>1.45888738127544</v>
      </c>
      <c r="J728" s="13" t="n">
        <f aca="false">I728*G728</f>
        <v>204.244233378562</v>
      </c>
      <c r="K728" s="20" t="str">
        <f aca="false">IF(INDEX('05 MATERIAL RATE LIBRARY'!$M$5:$M$400,MATCH("MAT-BLK-4S",'05 MATERIAL RATE LIBRARY'!$A$5:$A$400,0))=1,"",IF(INDEX('05 MATERIAL RATE LIBRARY'!$M$5:$M$400,MATCH("MAT-BLK-4S",'05 MATERIAL RATE LIBRARY'!$A$5:$A$400,0))=2,"OLD RATE","NO RATE"))</f>
        <v/>
      </c>
    </row>
    <row r="729" customFormat="false" ht="15" hidden="false" customHeight="true" outlineLevel="0" collapsed="false">
      <c r="A729" s="9" t="s">
        <v>242</v>
      </c>
      <c r="B729" s="9" t="s">
        <v>798</v>
      </c>
      <c r="C729" s="9" t="s">
        <v>799</v>
      </c>
      <c r="D729" s="5" t="s">
        <v>922</v>
      </c>
      <c r="E729" s="9" t="s">
        <v>801</v>
      </c>
      <c r="F729" s="18" t="n">
        <f aca="false">((4/12)-(144/((12+0.375)*(8+0.375)))*(12*4*8/1728))*DryF_Mortar/7/Bag_cft</f>
        <v>0.00365100902414335</v>
      </c>
      <c r="G729" s="13" t="n">
        <f aca="false">N(INDEX('05 MATERIAL RATE LIBRARY'!$E$5:$E$400,MATCH("MAT-CEM-OPC",'05 MATERIAL RATE LIBRARY'!$A$5:$A$400,0)))</f>
        <v>1575</v>
      </c>
      <c r="H729" s="19" t="n">
        <f aca="false">W_Cem</f>
        <v>0.02</v>
      </c>
      <c r="I729" s="18" t="n">
        <f aca="false">F729*(1+H729)</f>
        <v>0.00372402920462622</v>
      </c>
      <c r="J729" s="13" t="n">
        <f aca="false">I729*G729</f>
        <v>5.8653459972863</v>
      </c>
      <c r="K729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30" customFormat="false" ht="15" hidden="false" customHeight="true" outlineLevel="0" collapsed="false">
      <c r="A730" s="9" t="s">
        <v>242</v>
      </c>
      <c r="B730" s="9" t="s">
        <v>798</v>
      </c>
      <c r="C730" s="9" t="s">
        <v>864</v>
      </c>
      <c r="D730" s="5" t="s">
        <v>923</v>
      </c>
      <c r="E730" s="9" t="s">
        <v>109</v>
      </c>
      <c r="F730" s="18" t="n">
        <f aca="false">((4/12)-(144/((12+0.375)*(8+0.375)))*(12*4*8/1728))*DryF_Mortar*6/7</f>
        <v>0.0273825676810751</v>
      </c>
      <c r="G730" s="13" t="n">
        <f aca="false">N(INDEX('05 MATERIAL RATE LIBRARY'!$E$5:$E$400,MATCH("MAT-SND-CHN",'05 MATERIAL RATE LIBRARY'!$A$5:$A$400,0)))</f>
        <v>80</v>
      </c>
      <c r="H730" s="19" t="n">
        <f aca="false">W_Agg</f>
        <v>0.05</v>
      </c>
      <c r="I730" s="18" t="n">
        <f aca="false">F730*(1+H730)</f>
        <v>0.0287516960651289</v>
      </c>
      <c r="J730" s="13" t="n">
        <f aca="false">I730*G730</f>
        <v>2.30013568521031</v>
      </c>
      <c r="K730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731" customFormat="false" ht="15" hidden="false" customHeight="true" outlineLevel="0" collapsed="false">
      <c r="A731" s="9" t="s">
        <v>242</v>
      </c>
      <c r="B731" s="9" t="s">
        <v>812</v>
      </c>
      <c r="C731" s="9" t="s">
        <v>813</v>
      </c>
      <c r="D731" s="5" t="s">
        <v>932</v>
      </c>
      <c r="E731" s="9" t="s">
        <v>815</v>
      </c>
      <c r="F731" s="18" t="n">
        <f aca="false">'13 PRODUCTIVITY LIBRARY'!E16/'13 PRODUCTIVITY LIBRARY'!D16</f>
        <v>0.00666666666666667</v>
      </c>
      <c r="G731" s="13" t="n">
        <f aca="false">N(INDEX('06 LABOUR RATE LIBRARY'!$D$5:$D$100,MATCH("LAB-MSN",'06 LABOUR RATE LIBRARY'!$A$5:$A$100,0)))</f>
        <v>2200</v>
      </c>
      <c r="H731" s="21" t="n">
        <v>0</v>
      </c>
      <c r="I731" s="18" t="n">
        <f aca="false">F731*(1+H731)</f>
        <v>0.00666666666666667</v>
      </c>
      <c r="J731" s="13" t="n">
        <f aca="false">I731*G731</f>
        <v>14.6666666666667</v>
      </c>
      <c r="K731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732" customFormat="false" ht="15" hidden="false" customHeight="true" outlineLevel="0" collapsed="false">
      <c r="A732" s="9" t="s">
        <v>242</v>
      </c>
      <c r="B732" s="9" t="s">
        <v>812</v>
      </c>
      <c r="C732" s="9" t="s">
        <v>816</v>
      </c>
      <c r="D732" s="5" t="s">
        <v>933</v>
      </c>
      <c r="E732" s="9" t="s">
        <v>815</v>
      </c>
      <c r="F732" s="18" t="n">
        <f aca="false">'13 PRODUCTIVITY LIBRARY'!F16/'13 PRODUCTIVITY LIBRARY'!D16</f>
        <v>0.00666666666666667</v>
      </c>
      <c r="G732" s="13" t="n">
        <f aca="false">N(INDEX('06 LABOUR RATE LIBRARY'!$D$5:$D$100,MATCH("LAB-HLP",'06 LABOUR RATE LIBRARY'!$A$5:$A$100,0)))</f>
        <v>1538</v>
      </c>
      <c r="H732" s="21" t="n">
        <v>0</v>
      </c>
      <c r="I732" s="18" t="n">
        <f aca="false">F732*(1+H732)</f>
        <v>0.00666666666666667</v>
      </c>
      <c r="J732" s="13" t="n">
        <f aca="false">I732*G732</f>
        <v>10.2533333333333</v>
      </c>
      <c r="K73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733" customFormat="false" ht="15" hidden="false" customHeight="true" outlineLevel="0" collapsed="false">
      <c r="D733" s="22" t="s">
        <v>825</v>
      </c>
      <c r="J733" s="23" t="n">
        <f aca="false">SUMPRODUCT((B728:B732="Material")*F728:F732*G728:G732)</f>
        <v>202.459262130904</v>
      </c>
    </row>
    <row r="734" customFormat="false" ht="15" hidden="false" customHeight="true" outlineLevel="0" collapsed="false">
      <c r="D734" s="22" t="s">
        <v>826</v>
      </c>
      <c r="J734" s="23" t="n">
        <f aca="false">SUMIF(B728:B732,"Material",J728:J732)-J733</f>
        <v>9.95045293015443</v>
      </c>
    </row>
    <row r="735" customFormat="false" ht="15" hidden="false" customHeight="true" outlineLevel="0" collapsed="false">
      <c r="D735" s="24" t="s">
        <v>827</v>
      </c>
      <c r="J735" s="14" t="n">
        <f aca="false">SUMIF(B728:B732,"Material",J728:J732)</f>
        <v>212.409715061058</v>
      </c>
    </row>
    <row r="736" customFormat="false" ht="15" hidden="false" customHeight="true" outlineLevel="0" collapsed="false">
      <c r="D736" s="24" t="s">
        <v>828</v>
      </c>
      <c r="J736" s="14" t="n">
        <f aca="false">SUMIF(B728:B732,"Labour",J728:J732)</f>
        <v>24.92</v>
      </c>
    </row>
    <row r="737" customFormat="false" ht="15" hidden="false" customHeight="true" outlineLevel="0" collapsed="false">
      <c r="D737" s="24" t="s">
        <v>829</v>
      </c>
      <c r="J737" s="14" t="n">
        <f aca="false">SUMIF(B728:B732,"Equipment",J728:J732)</f>
        <v>0</v>
      </c>
    </row>
    <row r="738" customFormat="false" ht="15" hidden="false" customHeight="true" outlineLevel="0" collapsed="false">
      <c r="D738" s="24" t="s">
        <v>830</v>
      </c>
      <c r="J738" s="14" t="n">
        <f aca="false">SUMIF(B728:B732,"Transport",J728:J732)</f>
        <v>0</v>
      </c>
    </row>
    <row r="739" customFormat="false" ht="15" hidden="false" customHeight="true" outlineLevel="0" collapsed="false">
      <c r="D739" s="24" t="s">
        <v>831</v>
      </c>
      <c r="J739" s="14" t="n">
        <f aca="false">J735+J736+J737+J738</f>
        <v>237.329715061058</v>
      </c>
    </row>
    <row r="740" customFormat="false" ht="15" hidden="false" customHeight="true" outlineLevel="0" collapsed="false">
      <c r="D740" s="22" t="s">
        <v>832</v>
      </c>
      <c r="J740" s="23" t="n">
        <f aca="false">J739*OH_Site</f>
        <v>7.11989145183175</v>
      </c>
    </row>
    <row r="741" customFormat="false" ht="15" hidden="false" customHeight="true" outlineLevel="0" collapsed="false">
      <c r="D741" s="22" t="s">
        <v>833</v>
      </c>
      <c r="J741" s="23" t="n">
        <f aca="false">J739*OH_HO</f>
        <v>11.8664857530529</v>
      </c>
    </row>
    <row r="742" customFormat="false" ht="15" hidden="false" customHeight="true" outlineLevel="0" collapsed="false">
      <c r="D742" s="22" t="s">
        <v>834</v>
      </c>
      <c r="J742" s="23" t="n">
        <f aca="false">J739*Profit</f>
        <v>23.7329715061058</v>
      </c>
    </row>
    <row r="743" customFormat="false" ht="15" hidden="false" customHeight="true" outlineLevel="0" collapsed="false">
      <c r="D743" s="24" t="s">
        <v>835</v>
      </c>
      <c r="J743" s="14" t="n">
        <f aca="false">J739+J740+J741+J742</f>
        <v>280.049063772049</v>
      </c>
    </row>
    <row r="744" customFormat="false" ht="15" hidden="false" customHeight="true" outlineLevel="0" collapsed="false">
      <c r="D744" s="22" t="s">
        <v>836</v>
      </c>
      <c r="J744" s="23" t="n">
        <f aca="false">IF(Tax_On="Yes",J743*N(Tax_Rate),0)</f>
        <v>0</v>
      </c>
    </row>
    <row r="745" customFormat="false" ht="15" hidden="false" customHeight="true" outlineLevel="0" collapsed="false">
      <c r="D745" s="24" t="s">
        <v>895</v>
      </c>
      <c r="J745" s="14" t="n">
        <f aca="false">ROUND(J743+J744,0)</f>
        <v>280</v>
      </c>
    </row>
    <row r="746" customFormat="false" ht="15" hidden="false" customHeight="true" outlineLevel="0" collapsed="false">
      <c r="D746" s="25" t="s">
        <v>838</v>
      </c>
      <c r="J746" s="26" t="n">
        <f aca="false">COUNTIF(K728:K732,"NO RATE")+COUNTIF(K728:K732,"OLD RATE")</f>
        <v>0</v>
      </c>
    </row>
    <row r="748" customFormat="false" ht="39.75" hidden="false" customHeight="true" outlineLevel="0" collapsed="false">
      <c r="A748" s="4" t="s">
        <v>246</v>
      </c>
      <c r="B748" s="16" t="s">
        <v>248</v>
      </c>
      <c r="C748" s="16"/>
      <c r="D748" s="16"/>
      <c r="E748" s="16"/>
      <c r="F748" s="16"/>
      <c r="G748" s="16"/>
      <c r="H748" s="16"/>
      <c r="I748" s="16"/>
      <c r="J748" s="4" t="s">
        <v>890</v>
      </c>
      <c r="K748" s="17"/>
    </row>
    <row r="749" customFormat="false" ht="21.75" hidden="false" customHeight="true" outlineLevel="0" collapsed="false">
      <c r="A749" s="12" t="s">
        <v>75</v>
      </c>
      <c r="B749" s="12" t="s">
        <v>789</v>
      </c>
      <c r="C749" s="12" t="s">
        <v>790</v>
      </c>
      <c r="D749" s="12" t="s">
        <v>791</v>
      </c>
      <c r="E749" s="12" t="s">
        <v>81</v>
      </c>
      <c r="F749" s="12" t="s">
        <v>792</v>
      </c>
      <c r="G749" s="12" t="s">
        <v>793</v>
      </c>
      <c r="H749" s="12" t="s">
        <v>794</v>
      </c>
      <c r="I749" s="12" t="s">
        <v>795</v>
      </c>
      <c r="J749" s="12" t="s">
        <v>796</v>
      </c>
      <c r="K749" s="12" t="s">
        <v>797</v>
      </c>
    </row>
    <row r="750" customFormat="false" ht="15" hidden="false" customHeight="true" outlineLevel="0" collapsed="false">
      <c r="A750" s="9" t="s">
        <v>246</v>
      </c>
      <c r="B750" s="9" t="s">
        <v>798</v>
      </c>
      <c r="C750" s="9" t="s">
        <v>884</v>
      </c>
      <c r="D750" s="5" t="s">
        <v>934</v>
      </c>
      <c r="E750" s="9" t="s">
        <v>368</v>
      </c>
      <c r="F750" s="18" t="n">
        <f aca="false">13.5*0.375</f>
        <v>5.0625</v>
      </c>
      <c r="G750" s="13" t="n">
        <f aca="false">N(INDEX('05 MATERIAL RATE LIBRARY'!$E$5:$E$400,MATCH("MAT-BRK-A",'05 MATERIAL RATE LIBRARY'!$A$5:$A$400,0)))</f>
        <v>17.5</v>
      </c>
      <c r="H750" s="19" t="n">
        <f aca="false">W_Brk</f>
        <v>0.05</v>
      </c>
      <c r="I750" s="18" t="n">
        <f aca="false">F750*(1+H750)</f>
        <v>5.315625</v>
      </c>
      <c r="J750" s="13" t="n">
        <f aca="false">I750*G750</f>
        <v>93.0234375</v>
      </c>
      <c r="K750" s="20" t="str">
        <f aca="false">IF(INDEX('05 MATERIAL RATE LIBRARY'!$M$5:$M$400,MATCH("MAT-BRK-A",'05 MATERIAL RATE LIBRARY'!$A$5:$A$400,0))=1,"",IF(INDEX('05 MATERIAL RATE LIBRARY'!$M$5:$M$400,MATCH("MAT-BRK-A",'05 MATERIAL RATE LIBRARY'!$A$5:$A$400,0))=2,"OLD RATE","NO RATE"))</f>
        <v/>
      </c>
    </row>
    <row r="751" customFormat="false" ht="15" hidden="false" customHeight="true" outlineLevel="0" collapsed="false">
      <c r="A751" s="9" t="s">
        <v>246</v>
      </c>
      <c r="B751" s="9" t="s">
        <v>798</v>
      </c>
      <c r="C751" s="9" t="s">
        <v>799</v>
      </c>
      <c r="D751" s="5" t="s">
        <v>935</v>
      </c>
      <c r="E751" s="9" t="s">
        <v>801</v>
      </c>
      <c r="F751" s="18" t="n">
        <f aca="false">0.375*0.25*DryF_Mortar/5/Bag_cft</f>
        <v>0.0195</v>
      </c>
      <c r="G751" s="13" t="n">
        <f aca="false">N(INDEX('05 MATERIAL RATE LIBRARY'!$E$5:$E$400,MATCH("MAT-CEM-OPC",'05 MATERIAL RATE LIBRARY'!$A$5:$A$400,0)))</f>
        <v>1575</v>
      </c>
      <c r="H751" s="19" t="n">
        <f aca="false">W_Cem</f>
        <v>0.02</v>
      </c>
      <c r="I751" s="18" t="n">
        <f aca="false">F751*(1+H751)</f>
        <v>0.01989</v>
      </c>
      <c r="J751" s="13" t="n">
        <f aca="false">I751*G751</f>
        <v>31.32675</v>
      </c>
      <c r="K751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52" customFormat="false" ht="15" hidden="false" customHeight="true" outlineLevel="0" collapsed="false">
      <c r="A752" s="9" t="s">
        <v>246</v>
      </c>
      <c r="B752" s="9" t="s">
        <v>798</v>
      </c>
      <c r="C752" s="9" t="s">
        <v>864</v>
      </c>
      <c r="D752" s="5" t="s">
        <v>936</v>
      </c>
      <c r="E752" s="9" t="s">
        <v>109</v>
      </c>
      <c r="F752" s="18" t="n">
        <f aca="false">0.375*0.25*DryF_Mortar*4/5</f>
        <v>0.0975</v>
      </c>
      <c r="G752" s="13" t="n">
        <f aca="false">N(INDEX('05 MATERIAL RATE LIBRARY'!$E$5:$E$400,MATCH("MAT-SND-CHN",'05 MATERIAL RATE LIBRARY'!$A$5:$A$400,0)))</f>
        <v>80</v>
      </c>
      <c r="H752" s="19" t="n">
        <f aca="false">W_Agg</f>
        <v>0.05</v>
      </c>
      <c r="I752" s="18" t="n">
        <f aca="false">F752*(1+H752)</f>
        <v>0.102375</v>
      </c>
      <c r="J752" s="13" t="n">
        <f aca="false">I752*G752</f>
        <v>8.19</v>
      </c>
      <c r="K752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753" customFormat="false" ht="15" hidden="false" customHeight="true" outlineLevel="0" collapsed="false">
      <c r="A753" s="9" t="s">
        <v>246</v>
      </c>
      <c r="B753" s="9" t="s">
        <v>812</v>
      </c>
      <c r="C753" s="9" t="s">
        <v>813</v>
      </c>
      <c r="D753" s="5" t="s">
        <v>937</v>
      </c>
      <c r="E753" s="9" t="s">
        <v>815</v>
      </c>
      <c r="F753" s="18" t="n">
        <f aca="false">'13 PRODUCTIVITY LIBRARY'!E17/'13 PRODUCTIVITY LIBRARY'!D17</f>
        <v>0.00833333333333333</v>
      </c>
      <c r="G753" s="13" t="n">
        <f aca="false">N(INDEX('06 LABOUR RATE LIBRARY'!$D$5:$D$100,MATCH("LAB-MSN",'06 LABOUR RATE LIBRARY'!$A$5:$A$100,0)))</f>
        <v>2200</v>
      </c>
      <c r="H753" s="21" t="n">
        <v>0</v>
      </c>
      <c r="I753" s="18" t="n">
        <f aca="false">F753*(1+H753)</f>
        <v>0.00833333333333333</v>
      </c>
      <c r="J753" s="13" t="n">
        <f aca="false">I753*G753</f>
        <v>18.3333333333333</v>
      </c>
      <c r="K753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754" customFormat="false" ht="15" hidden="false" customHeight="true" outlineLevel="0" collapsed="false">
      <c r="A754" s="9" t="s">
        <v>246</v>
      </c>
      <c r="B754" s="9" t="s">
        <v>812</v>
      </c>
      <c r="C754" s="9" t="s">
        <v>816</v>
      </c>
      <c r="D754" s="5" t="s">
        <v>938</v>
      </c>
      <c r="E754" s="9" t="s">
        <v>815</v>
      </c>
      <c r="F754" s="18" t="n">
        <f aca="false">'13 PRODUCTIVITY LIBRARY'!F17/'13 PRODUCTIVITY LIBRARY'!D17</f>
        <v>0.00833333333333333</v>
      </c>
      <c r="G754" s="13" t="n">
        <f aca="false">N(INDEX('06 LABOUR RATE LIBRARY'!$D$5:$D$100,MATCH("LAB-HLP",'06 LABOUR RATE LIBRARY'!$A$5:$A$100,0)))</f>
        <v>1538</v>
      </c>
      <c r="H754" s="21" t="n">
        <v>0</v>
      </c>
      <c r="I754" s="18" t="n">
        <f aca="false">F754*(1+H754)</f>
        <v>0.00833333333333333</v>
      </c>
      <c r="J754" s="13" t="n">
        <f aca="false">I754*G754</f>
        <v>12.8166666666667</v>
      </c>
      <c r="K75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755" customFormat="false" ht="15" hidden="false" customHeight="true" outlineLevel="0" collapsed="false">
      <c r="D755" s="22" t="s">
        <v>825</v>
      </c>
      <c r="J755" s="23" t="n">
        <f aca="false">SUMPRODUCT((B750:B754="Material")*F750:F754*G750:G754)</f>
        <v>127.10625</v>
      </c>
    </row>
    <row r="756" customFormat="false" ht="15" hidden="false" customHeight="true" outlineLevel="0" collapsed="false">
      <c r="D756" s="22" t="s">
        <v>826</v>
      </c>
      <c r="J756" s="23" t="n">
        <f aca="false">SUMIF(B750:B754,"Material",J750:J754)-J755</f>
        <v>5.4339375</v>
      </c>
    </row>
    <row r="757" customFormat="false" ht="15" hidden="false" customHeight="true" outlineLevel="0" collapsed="false">
      <c r="D757" s="24" t="s">
        <v>827</v>
      </c>
      <c r="J757" s="14" t="n">
        <f aca="false">SUMIF(B750:B754,"Material",J750:J754)</f>
        <v>132.5401875</v>
      </c>
    </row>
    <row r="758" customFormat="false" ht="15" hidden="false" customHeight="true" outlineLevel="0" collapsed="false">
      <c r="D758" s="24" t="s">
        <v>828</v>
      </c>
      <c r="J758" s="14" t="n">
        <f aca="false">SUMIF(B750:B754,"Labour",J750:J754)</f>
        <v>31.15</v>
      </c>
    </row>
    <row r="759" customFormat="false" ht="15" hidden="false" customHeight="true" outlineLevel="0" collapsed="false">
      <c r="D759" s="24" t="s">
        <v>829</v>
      </c>
      <c r="J759" s="14" t="n">
        <f aca="false">SUMIF(B750:B754,"Equipment",J750:J754)</f>
        <v>0</v>
      </c>
    </row>
    <row r="760" customFormat="false" ht="15" hidden="false" customHeight="true" outlineLevel="0" collapsed="false">
      <c r="D760" s="24" t="s">
        <v>830</v>
      </c>
      <c r="J760" s="14" t="n">
        <f aca="false">SUMIF(B750:B754,"Transport",J750:J754)</f>
        <v>0</v>
      </c>
    </row>
    <row r="761" customFormat="false" ht="15" hidden="false" customHeight="true" outlineLevel="0" collapsed="false">
      <c r="D761" s="24" t="s">
        <v>831</v>
      </c>
      <c r="J761" s="14" t="n">
        <f aca="false">J757+J758+J759+J760</f>
        <v>163.6901875</v>
      </c>
    </row>
    <row r="762" customFormat="false" ht="15" hidden="false" customHeight="true" outlineLevel="0" collapsed="false">
      <c r="D762" s="22" t="s">
        <v>832</v>
      </c>
      <c r="J762" s="23" t="n">
        <f aca="false">J761*OH_Site</f>
        <v>4.910705625</v>
      </c>
    </row>
    <row r="763" customFormat="false" ht="15" hidden="false" customHeight="true" outlineLevel="0" collapsed="false">
      <c r="D763" s="22" t="s">
        <v>833</v>
      </c>
      <c r="J763" s="23" t="n">
        <f aca="false">J761*OH_HO</f>
        <v>8.184509375</v>
      </c>
    </row>
    <row r="764" customFormat="false" ht="15" hidden="false" customHeight="true" outlineLevel="0" collapsed="false">
      <c r="D764" s="22" t="s">
        <v>834</v>
      </c>
      <c r="J764" s="23" t="n">
        <f aca="false">J761*Profit</f>
        <v>16.36901875</v>
      </c>
    </row>
    <row r="765" customFormat="false" ht="15" hidden="false" customHeight="true" outlineLevel="0" collapsed="false">
      <c r="D765" s="24" t="s">
        <v>835</v>
      </c>
      <c r="J765" s="14" t="n">
        <f aca="false">J761+J762+J763+J764</f>
        <v>193.15442125</v>
      </c>
    </row>
    <row r="766" customFormat="false" ht="15" hidden="false" customHeight="true" outlineLevel="0" collapsed="false">
      <c r="D766" s="22" t="s">
        <v>836</v>
      </c>
      <c r="J766" s="23" t="n">
        <f aca="false">IF(Tax_On="Yes",J765*N(Tax_Rate),0)</f>
        <v>0</v>
      </c>
    </row>
    <row r="767" customFormat="false" ht="15" hidden="false" customHeight="true" outlineLevel="0" collapsed="false">
      <c r="D767" s="24" t="s">
        <v>895</v>
      </c>
      <c r="J767" s="14" t="n">
        <f aca="false">ROUND(J765+J766,0)</f>
        <v>193</v>
      </c>
    </row>
    <row r="768" customFormat="false" ht="15" hidden="false" customHeight="true" outlineLevel="0" collapsed="false">
      <c r="D768" s="25" t="s">
        <v>838</v>
      </c>
      <c r="J768" s="26" t="n">
        <f aca="false">COUNTIF(K750:K754,"NO RATE")+COUNTIF(K750:K754,"OLD RATE")</f>
        <v>0</v>
      </c>
    </row>
    <row r="770" customFormat="false" ht="39.75" hidden="false" customHeight="true" outlineLevel="0" collapsed="false">
      <c r="A770" s="4" t="s">
        <v>250</v>
      </c>
      <c r="B770" s="16" t="s">
        <v>253</v>
      </c>
      <c r="C770" s="16"/>
      <c r="D770" s="16"/>
      <c r="E770" s="16"/>
      <c r="F770" s="16"/>
      <c r="G770" s="16"/>
      <c r="H770" s="16"/>
      <c r="I770" s="16"/>
      <c r="J770" s="4" t="s">
        <v>890</v>
      </c>
      <c r="K770" s="17"/>
    </row>
    <row r="771" customFormat="false" ht="21.75" hidden="false" customHeight="true" outlineLevel="0" collapsed="false">
      <c r="A771" s="12" t="s">
        <v>75</v>
      </c>
      <c r="B771" s="12" t="s">
        <v>789</v>
      </c>
      <c r="C771" s="12" t="s">
        <v>790</v>
      </c>
      <c r="D771" s="12" t="s">
        <v>791</v>
      </c>
      <c r="E771" s="12" t="s">
        <v>81</v>
      </c>
      <c r="F771" s="12" t="s">
        <v>792</v>
      </c>
      <c r="G771" s="12" t="s">
        <v>793</v>
      </c>
      <c r="H771" s="12" t="s">
        <v>794</v>
      </c>
      <c r="I771" s="12" t="s">
        <v>795</v>
      </c>
      <c r="J771" s="12" t="s">
        <v>796</v>
      </c>
      <c r="K771" s="12" t="s">
        <v>797</v>
      </c>
    </row>
    <row r="772" customFormat="false" ht="15" hidden="false" customHeight="true" outlineLevel="0" collapsed="false">
      <c r="A772" s="9" t="s">
        <v>250</v>
      </c>
      <c r="B772" s="9" t="s">
        <v>798</v>
      </c>
      <c r="C772" s="9" t="s">
        <v>799</v>
      </c>
      <c r="D772" s="5" t="s">
        <v>850</v>
      </c>
      <c r="E772" s="9" t="s">
        <v>801</v>
      </c>
      <c r="F772" s="18" t="n">
        <f aca="false">0.125*1.05*DryF_Mortar*1/5/Bag_cft</f>
        <v>0.0273</v>
      </c>
      <c r="G772" s="13" t="n">
        <f aca="false">N(INDEX('05 MATERIAL RATE LIBRARY'!$E$5:$E$400,MATCH("MAT-CEM-OPC",'05 MATERIAL RATE LIBRARY'!$A$5:$A$400,0)))</f>
        <v>1575</v>
      </c>
      <c r="H772" s="19" t="n">
        <f aca="false">W_Cem</f>
        <v>0.02</v>
      </c>
      <c r="I772" s="18" t="n">
        <f aca="false">F772*(1+H772)</f>
        <v>0.027846</v>
      </c>
      <c r="J772" s="13" t="n">
        <f aca="false">I772*G772</f>
        <v>43.85745</v>
      </c>
      <c r="K772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73" customFormat="false" ht="15" hidden="false" customHeight="true" outlineLevel="0" collapsed="false">
      <c r="A773" s="9" t="s">
        <v>250</v>
      </c>
      <c r="B773" s="9" t="s">
        <v>798</v>
      </c>
      <c r="C773" s="9" t="s">
        <v>864</v>
      </c>
      <c r="D773" s="5" t="s">
        <v>891</v>
      </c>
      <c r="E773" s="9" t="s">
        <v>109</v>
      </c>
      <c r="F773" s="18" t="n">
        <f aca="false">0.125*1.05*DryF_Mortar*4/5</f>
        <v>0.1365</v>
      </c>
      <c r="G773" s="13" t="n">
        <f aca="false">N(INDEX('05 MATERIAL RATE LIBRARY'!$E$5:$E$400,MATCH("MAT-SND-CHN",'05 MATERIAL RATE LIBRARY'!$A$5:$A$400,0)))</f>
        <v>80</v>
      </c>
      <c r="H773" s="19" t="n">
        <f aca="false">W_Agg</f>
        <v>0.05</v>
      </c>
      <c r="I773" s="18" t="n">
        <f aca="false">F773*(1+H773)</f>
        <v>0.143325</v>
      </c>
      <c r="J773" s="13" t="n">
        <f aca="false">I773*G773</f>
        <v>11.466</v>
      </c>
      <c r="K773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774" customFormat="false" ht="15" hidden="false" customHeight="true" outlineLevel="0" collapsed="false">
      <c r="A774" s="9" t="s">
        <v>250</v>
      </c>
      <c r="B774" s="9" t="s">
        <v>812</v>
      </c>
      <c r="C774" s="9" t="s">
        <v>813</v>
      </c>
      <c r="D774" s="5" t="s">
        <v>939</v>
      </c>
      <c r="E774" s="9" t="s">
        <v>815</v>
      </c>
      <c r="F774" s="18" t="n">
        <f aca="false">'13 PRODUCTIVITY LIBRARY'!E18/'13 PRODUCTIVITY LIBRARY'!D18</f>
        <v>0.0105263157894737</v>
      </c>
      <c r="G774" s="13" t="n">
        <f aca="false">N(INDEX('06 LABOUR RATE LIBRARY'!$D$5:$D$100,MATCH("LAB-MSN",'06 LABOUR RATE LIBRARY'!$A$5:$A$100,0)))</f>
        <v>2200</v>
      </c>
      <c r="H774" s="21" t="n">
        <v>0</v>
      </c>
      <c r="I774" s="18" t="n">
        <f aca="false">F774*(1+H774)</f>
        <v>0.0105263157894737</v>
      </c>
      <c r="J774" s="13" t="n">
        <f aca="false">I774*G774</f>
        <v>23.1578947368421</v>
      </c>
      <c r="K77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775" customFormat="false" ht="15" hidden="false" customHeight="true" outlineLevel="0" collapsed="false">
      <c r="A775" s="9" t="s">
        <v>250</v>
      </c>
      <c r="B775" s="9" t="s">
        <v>812</v>
      </c>
      <c r="C775" s="9" t="s">
        <v>816</v>
      </c>
      <c r="D775" s="5" t="s">
        <v>940</v>
      </c>
      <c r="E775" s="9" t="s">
        <v>815</v>
      </c>
      <c r="F775" s="18" t="n">
        <f aca="false">'13 PRODUCTIVITY LIBRARY'!F18/'13 PRODUCTIVITY LIBRARY'!D18</f>
        <v>0.0210526315789474</v>
      </c>
      <c r="G775" s="13" t="n">
        <f aca="false">N(INDEX('06 LABOUR RATE LIBRARY'!$D$5:$D$100,MATCH("LAB-HLP",'06 LABOUR RATE LIBRARY'!$A$5:$A$100,0)))</f>
        <v>1538</v>
      </c>
      <c r="H775" s="21" t="n">
        <v>0</v>
      </c>
      <c r="I775" s="18" t="n">
        <f aca="false">F775*(1+H775)</f>
        <v>0.0210526315789474</v>
      </c>
      <c r="J775" s="13" t="n">
        <f aca="false">I775*G775</f>
        <v>32.3789473684211</v>
      </c>
      <c r="K77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776" customFormat="false" ht="15" hidden="false" customHeight="true" outlineLevel="0" collapsed="false">
      <c r="D776" s="22" t="s">
        <v>825</v>
      </c>
      <c r="J776" s="23" t="n">
        <f aca="false">SUMPRODUCT((B772:B775="Material")*F772:F775*G772:G775)</f>
        <v>53.9175</v>
      </c>
    </row>
    <row r="777" customFormat="false" ht="15" hidden="false" customHeight="true" outlineLevel="0" collapsed="false">
      <c r="D777" s="22" t="s">
        <v>826</v>
      </c>
      <c r="J777" s="23" t="n">
        <f aca="false">SUMIF(B772:B775,"Material",J772:J775)-J776</f>
        <v>1.40595</v>
      </c>
    </row>
    <row r="778" customFormat="false" ht="15" hidden="false" customHeight="true" outlineLevel="0" collapsed="false">
      <c r="D778" s="24" t="s">
        <v>827</v>
      </c>
      <c r="J778" s="14" t="n">
        <f aca="false">SUMIF(B772:B775,"Material",J772:J775)</f>
        <v>55.32345</v>
      </c>
    </row>
    <row r="779" customFormat="false" ht="15" hidden="false" customHeight="true" outlineLevel="0" collapsed="false">
      <c r="D779" s="24" t="s">
        <v>828</v>
      </c>
      <c r="J779" s="14" t="n">
        <f aca="false">SUMIF(B772:B775,"Labour",J772:J775)</f>
        <v>55.5368421052632</v>
      </c>
    </row>
    <row r="780" customFormat="false" ht="15" hidden="false" customHeight="true" outlineLevel="0" collapsed="false">
      <c r="D780" s="24" t="s">
        <v>829</v>
      </c>
      <c r="J780" s="14" t="n">
        <f aca="false">SUMIF(B772:B775,"Equipment",J772:J775)</f>
        <v>0</v>
      </c>
    </row>
    <row r="781" customFormat="false" ht="15" hidden="false" customHeight="true" outlineLevel="0" collapsed="false">
      <c r="D781" s="24" t="s">
        <v>830</v>
      </c>
      <c r="J781" s="14" t="n">
        <f aca="false">SUMIF(B772:B775,"Transport",J772:J775)</f>
        <v>0</v>
      </c>
    </row>
    <row r="782" customFormat="false" ht="15" hidden="false" customHeight="true" outlineLevel="0" collapsed="false">
      <c r="D782" s="24" t="s">
        <v>831</v>
      </c>
      <c r="J782" s="14" t="n">
        <f aca="false">J778+J779+J780+J781</f>
        <v>110.860292105263</v>
      </c>
    </row>
    <row r="783" customFormat="false" ht="15" hidden="false" customHeight="true" outlineLevel="0" collapsed="false">
      <c r="D783" s="22" t="s">
        <v>832</v>
      </c>
      <c r="J783" s="23" t="n">
        <f aca="false">J782*OH_Site</f>
        <v>3.3258087631579</v>
      </c>
    </row>
    <row r="784" customFormat="false" ht="15" hidden="false" customHeight="true" outlineLevel="0" collapsed="false">
      <c r="D784" s="22" t="s">
        <v>833</v>
      </c>
      <c r="J784" s="23" t="n">
        <f aca="false">J782*OH_HO</f>
        <v>5.54301460526316</v>
      </c>
    </row>
    <row r="785" customFormat="false" ht="15" hidden="false" customHeight="true" outlineLevel="0" collapsed="false">
      <c r="D785" s="22" t="s">
        <v>834</v>
      </c>
      <c r="J785" s="23" t="n">
        <f aca="false">J782*Profit</f>
        <v>11.0860292105263</v>
      </c>
    </row>
    <row r="786" customFormat="false" ht="15" hidden="false" customHeight="true" outlineLevel="0" collapsed="false">
      <c r="D786" s="24" t="s">
        <v>835</v>
      </c>
      <c r="J786" s="14" t="n">
        <f aca="false">J782+J783+J784+J785</f>
        <v>130.815144684211</v>
      </c>
    </row>
    <row r="787" customFormat="false" ht="15" hidden="false" customHeight="true" outlineLevel="0" collapsed="false">
      <c r="D787" s="22" t="s">
        <v>836</v>
      </c>
      <c r="J787" s="23" t="n">
        <f aca="false">IF(Tax_On="Yes",J786*N(Tax_Rate),0)</f>
        <v>0</v>
      </c>
    </row>
    <row r="788" customFormat="false" ht="15" hidden="false" customHeight="true" outlineLevel="0" collapsed="false">
      <c r="D788" s="24" t="s">
        <v>895</v>
      </c>
      <c r="J788" s="14" t="n">
        <f aca="false">ROUND(J786+J787,0)</f>
        <v>131</v>
      </c>
    </row>
    <row r="789" customFormat="false" ht="15" hidden="false" customHeight="true" outlineLevel="0" collapsed="false">
      <c r="D789" s="25" t="s">
        <v>838</v>
      </c>
      <c r="J789" s="26" t="n">
        <f aca="false">COUNTIF(K772:K775,"NO RATE")+COUNTIF(K772:K775,"OLD RATE")</f>
        <v>0</v>
      </c>
    </row>
    <row r="791" customFormat="false" ht="39.75" hidden="false" customHeight="true" outlineLevel="0" collapsed="false">
      <c r="A791" s="4" t="s">
        <v>256</v>
      </c>
      <c r="B791" s="16" t="s">
        <v>258</v>
      </c>
      <c r="C791" s="16"/>
      <c r="D791" s="16"/>
      <c r="E791" s="16"/>
      <c r="F791" s="16"/>
      <c r="G791" s="16"/>
      <c r="H791" s="16"/>
      <c r="I791" s="16"/>
      <c r="J791" s="4" t="s">
        <v>890</v>
      </c>
      <c r="K791" s="17"/>
    </row>
    <row r="792" customFormat="false" ht="21.75" hidden="false" customHeight="true" outlineLevel="0" collapsed="false">
      <c r="A792" s="12" t="s">
        <v>75</v>
      </c>
      <c r="B792" s="12" t="s">
        <v>789</v>
      </c>
      <c r="C792" s="12" t="s">
        <v>790</v>
      </c>
      <c r="D792" s="12" t="s">
        <v>791</v>
      </c>
      <c r="E792" s="12" t="s">
        <v>81</v>
      </c>
      <c r="F792" s="12" t="s">
        <v>792</v>
      </c>
      <c r="G792" s="12" t="s">
        <v>793</v>
      </c>
      <c r="H792" s="12" t="s">
        <v>794</v>
      </c>
      <c r="I792" s="12" t="s">
        <v>795</v>
      </c>
      <c r="J792" s="12" t="s">
        <v>796</v>
      </c>
      <c r="K792" s="12" t="s">
        <v>797</v>
      </c>
    </row>
    <row r="793" customFormat="false" ht="15" hidden="false" customHeight="true" outlineLevel="0" collapsed="false">
      <c r="A793" s="9" t="s">
        <v>256</v>
      </c>
      <c r="B793" s="9" t="s">
        <v>798</v>
      </c>
      <c r="C793" s="9" t="s">
        <v>799</v>
      </c>
      <c r="D793" s="5" t="s">
        <v>850</v>
      </c>
      <c r="E793" s="9" t="s">
        <v>801</v>
      </c>
      <c r="F793" s="18" t="n">
        <f aca="false">0.166666666666667*1.05*DryF_Mortar*1/5/Bag_cft</f>
        <v>0.0364000000000001</v>
      </c>
      <c r="G793" s="13" t="n">
        <f aca="false">N(INDEX('05 MATERIAL RATE LIBRARY'!$E$5:$E$400,MATCH("MAT-CEM-OPC",'05 MATERIAL RATE LIBRARY'!$A$5:$A$400,0)))</f>
        <v>1575</v>
      </c>
      <c r="H793" s="19" t="n">
        <f aca="false">W_Cem</f>
        <v>0.02</v>
      </c>
      <c r="I793" s="18" t="n">
        <f aca="false">F793*(1+H793)</f>
        <v>0.0371280000000001</v>
      </c>
      <c r="J793" s="13" t="n">
        <f aca="false">I793*G793</f>
        <v>58.4766000000001</v>
      </c>
      <c r="K793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794" customFormat="false" ht="15" hidden="false" customHeight="true" outlineLevel="0" collapsed="false">
      <c r="A794" s="9" t="s">
        <v>256</v>
      </c>
      <c r="B794" s="9" t="s">
        <v>798</v>
      </c>
      <c r="C794" s="9" t="s">
        <v>864</v>
      </c>
      <c r="D794" s="5" t="s">
        <v>891</v>
      </c>
      <c r="E794" s="9" t="s">
        <v>109</v>
      </c>
      <c r="F794" s="18" t="n">
        <f aca="false">0.166666666666667*1.05*DryF_Mortar*4/5</f>
        <v>0.182</v>
      </c>
      <c r="G794" s="13" t="n">
        <f aca="false">N(INDEX('05 MATERIAL RATE LIBRARY'!$E$5:$E$400,MATCH("MAT-SND-CHN",'05 MATERIAL RATE LIBRARY'!$A$5:$A$400,0)))</f>
        <v>80</v>
      </c>
      <c r="H794" s="19" t="n">
        <f aca="false">W_Agg</f>
        <v>0.05</v>
      </c>
      <c r="I794" s="18" t="n">
        <f aca="false">F794*(1+H794)</f>
        <v>0.1911</v>
      </c>
      <c r="J794" s="13" t="n">
        <f aca="false">I794*G794</f>
        <v>15.288</v>
      </c>
      <c r="K794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795" customFormat="false" ht="15" hidden="false" customHeight="true" outlineLevel="0" collapsed="false">
      <c r="A795" s="9" t="s">
        <v>256</v>
      </c>
      <c r="B795" s="9" t="s">
        <v>812</v>
      </c>
      <c r="C795" s="9" t="s">
        <v>813</v>
      </c>
      <c r="D795" s="5" t="s">
        <v>941</v>
      </c>
      <c r="E795" s="9" t="s">
        <v>815</v>
      </c>
      <c r="F795" s="18" t="n">
        <f aca="false">'13 PRODUCTIVITY LIBRARY'!E33/'13 PRODUCTIVITY LIBRARY'!D33</f>
        <v>0.0125</v>
      </c>
      <c r="G795" s="13" t="n">
        <f aca="false">N(INDEX('06 LABOUR RATE LIBRARY'!$D$5:$D$100,MATCH("LAB-MSN",'06 LABOUR RATE LIBRARY'!$A$5:$A$100,0)))</f>
        <v>2200</v>
      </c>
      <c r="H795" s="21" t="n">
        <v>0</v>
      </c>
      <c r="I795" s="18" t="n">
        <f aca="false">F795*(1+H795)</f>
        <v>0.0125</v>
      </c>
      <c r="J795" s="13" t="n">
        <f aca="false">I795*G795</f>
        <v>27.5</v>
      </c>
      <c r="K795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796" customFormat="false" ht="15" hidden="false" customHeight="true" outlineLevel="0" collapsed="false">
      <c r="A796" s="9" t="s">
        <v>256</v>
      </c>
      <c r="B796" s="9" t="s">
        <v>812</v>
      </c>
      <c r="C796" s="9" t="s">
        <v>816</v>
      </c>
      <c r="D796" s="5" t="s">
        <v>942</v>
      </c>
      <c r="E796" s="9" t="s">
        <v>815</v>
      </c>
      <c r="F796" s="18" t="n">
        <f aca="false">'13 PRODUCTIVITY LIBRARY'!F33/'13 PRODUCTIVITY LIBRARY'!D33</f>
        <v>0.025</v>
      </c>
      <c r="G796" s="13" t="n">
        <f aca="false">N(INDEX('06 LABOUR RATE LIBRARY'!$D$5:$D$100,MATCH("LAB-HLP",'06 LABOUR RATE LIBRARY'!$A$5:$A$100,0)))</f>
        <v>1538</v>
      </c>
      <c r="H796" s="21" t="n">
        <v>0</v>
      </c>
      <c r="I796" s="18" t="n">
        <f aca="false">F796*(1+H796)</f>
        <v>0.025</v>
      </c>
      <c r="J796" s="13" t="n">
        <f aca="false">I796*G796</f>
        <v>38.45</v>
      </c>
      <c r="K79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797" customFormat="false" ht="15" hidden="false" customHeight="true" outlineLevel="0" collapsed="false">
      <c r="D797" s="22" t="s">
        <v>825</v>
      </c>
      <c r="J797" s="23" t="n">
        <f aca="false">SUMPRODUCT((B793:B796="Material")*F793:F796*G793:G796)</f>
        <v>71.8900000000001</v>
      </c>
    </row>
    <row r="798" customFormat="false" ht="15" hidden="false" customHeight="true" outlineLevel="0" collapsed="false">
      <c r="D798" s="22" t="s">
        <v>826</v>
      </c>
      <c r="J798" s="23" t="n">
        <f aca="false">SUMIF(B793:B796,"Material",J793:J796)-J797</f>
        <v>1.8746</v>
      </c>
    </row>
    <row r="799" customFormat="false" ht="15" hidden="false" customHeight="true" outlineLevel="0" collapsed="false">
      <c r="D799" s="24" t="s">
        <v>827</v>
      </c>
      <c r="J799" s="14" t="n">
        <f aca="false">SUMIF(B793:B796,"Material",J793:J796)</f>
        <v>73.7646000000001</v>
      </c>
    </row>
    <row r="800" customFormat="false" ht="15" hidden="false" customHeight="true" outlineLevel="0" collapsed="false">
      <c r="D800" s="24" t="s">
        <v>828</v>
      </c>
      <c r="J800" s="14" t="n">
        <f aca="false">SUMIF(B793:B796,"Labour",J793:J796)</f>
        <v>65.95</v>
      </c>
    </row>
    <row r="801" customFormat="false" ht="15" hidden="false" customHeight="true" outlineLevel="0" collapsed="false">
      <c r="D801" s="24" t="s">
        <v>829</v>
      </c>
      <c r="J801" s="14" t="n">
        <f aca="false">SUMIF(B793:B796,"Equipment",J793:J796)</f>
        <v>0</v>
      </c>
    </row>
    <row r="802" customFormat="false" ht="15" hidden="false" customHeight="true" outlineLevel="0" collapsed="false">
      <c r="D802" s="24" t="s">
        <v>830</v>
      </c>
      <c r="J802" s="14" t="n">
        <f aca="false">SUMIF(B793:B796,"Transport",J793:J796)</f>
        <v>0</v>
      </c>
    </row>
    <row r="803" customFormat="false" ht="15" hidden="false" customHeight="true" outlineLevel="0" collapsed="false">
      <c r="D803" s="24" t="s">
        <v>831</v>
      </c>
      <c r="J803" s="14" t="n">
        <f aca="false">J799+J800+J801+J802</f>
        <v>139.7146</v>
      </c>
    </row>
    <row r="804" customFormat="false" ht="15" hidden="false" customHeight="true" outlineLevel="0" collapsed="false">
      <c r="D804" s="22" t="s">
        <v>832</v>
      </c>
      <c r="J804" s="23" t="n">
        <f aca="false">J803*OH_Site</f>
        <v>4.191438</v>
      </c>
    </row>
    <row r="805" customFormat="false" ht="15" hidden="false" customHeight="true" outlineLevel="0" collapsed="false">
      <c r="D805" s="22" t="s">
        <v>833</v>
      </c>
      <c r="J805" s="23" t="n">
        <f aca="false">J803*OH_HO</f>
        <v>6.98573000000001</v>
      </c>
    </row>
    <row r="806" customFormat="false" ht="15" hidden="false" customHeight="true" outlineLevel="0" collapsed="false">
      <c r="D806" s="22" t="s">
        <v>834</v>
      </c>
      <c r="J806" s="23" t="n">
        <f aca="false">J803*Profit</f>
        <v>13.97146</v>
      </c>
    </row>
    <row r="807" customFormat="false" ht="15" hidden="false" customHeight="true" outlineLevel="0" collapsed="false">
      <c r="D807" s="24" t="s">
        <v>835</v>
      </c>
      <c r="J807" s="14" t="n">
        <f aca="false">J803+J804+J805+J806</f>
        <v>164.863228</v>
      </c>
    </row>
    <row r="808" customFormat="false" ht="15" hidden="false" customHeight="true" outlineLevel="0" collapsed="false">
      <c r="D808" s="22" t="s">
        <v>836</v>
      </c>
      <c r="J808" s="23" t="n">
        <f aca="false">IF(Tax_On="Yes",J807*N(Tax_Rate),0)</f>
        <v>0</v>
      </c>
    </row>
    <row r="809" customFormat="false" ht="15" hidden="false" customHeight="true" outlineLevel="0" collapsed="false">
      <c r="D809" s="24" t="s">
        <v>895</v>
      </c>
      <c r="J809" s="14" t="n">
        <f aca="false">ROUND(J807+J808,0)</f>
        <v>165</v>
      </c>
    </row>
    <row r="810" customFormat="false" ht="15" hidden="false" customHeight="true" outlineLevel="0" collapsed="false">
      <c r="D810" s="25" t="s">
        <v>838</v>
      </c>
      <c r="J810" s="26" t="n">
        <f aca="false">COUNTIF(K793:K796,"NO RATE")+COUNTIF(K793:K796,"OLD RATE")</f>
        <v>0</v>
      </c>
    </row>
    <row r="812" customFormat="false" ht="39.75" hidden="false" customHeight="true" outlineLevel="0" collapsed="false">
      <c r="A812" s="4" t="s">
        <v>260</v>
      </c>
      <c r="B812" s="16" t="s">
        <v>262</v>
      </c>
      <c r="C812" s="16"/>
      <c r="D812" s="16"/>
      <c r="E812" s="16"/>
      <c r="F812" s="16"/>
      <c r="G812" s="16"/>
      <c r="H812" s="16"/>
      <c r="I812" s="16"/>
      <c r="J812" s="4" t="s">
        <v>890</v>
      </c>
      <c r="K812" s="17"/>
    </row>
    <row r="813" customFormat="false" ht="21.75" hidden="false" customHeight="true" outlineLevel="0" collapsed="false">
      <c r="A813" s="12" t="s">
        <v>75</v>
      </c>
      <c r="B813" s="12" t="s">
        <v>789</v>
      </c>
      <c r="C813" s="12" t="s">
        <v>790</v>
      </c>
      <c r="D813" s="12" t="s">
        <v>791</v>
      </c>
      <c r="E813" s="12" t="s">
        <v>81</v>
      </c>
      <c r="F813" s="12" t="s">
        <v>792</v>
      </c>
      <c r="G813" s="12" t="s">
        <v>793</v>
      </c>
      <c r="H813" s="12" t="s">
        <v>794</v>
      </c>
      <c r="I813" s="12" t="s">
        <v>795</v>
      </c>
      <c r="J813" s="12" t="s">
        <v>796</v>
      </c>
      <c r="K813" s="12" t="s">
        <v>797</v>
      </c>
    </row>
    <row r="814" customFormat="false" ht="15" hidden="false" customHeight="true" outlineLevel="0" collapsed="false">
      <c r="A814" s="9" t="s">
        <v>260</v>
      </c>
      <c r="B814" s="9" t="s">
        <v>798</v>
      </c>
      <c r="C814" s="9" t="s">
        <v>799</v>
      </c>
      <c r="D814" s="5" t="s">
        <v>850</v>
      </c>
      <c r="E814" s="9" t="s">
        <v>801</v>
      </c>
      <c r="F814" s="18" t="n">
        <f aca="false">0.25*1.05*DryF_Mortar*1/4/Bag_cft</f>
        <v>0.06825</v>
      </c>
      <c r="G814" s="13" t="n">
        <f aca="false">N(INDEX('05 MATERIAL RATE LIBRARY'!$E$5:$E$400,MATCH("MAT-CEM-OPC",'05 MATERIAL RATE LIBRARY'!$A$5:$A$400,0)))</f>
        <v>1575</v>
      </c>
      <c r="H814" s="19" t="n">
        <f aca="false">W_Cem</f>
        <v>0.02</v>
      </c>
      <c r="I814" s="18" t="n">
        <f aca="false">F814*(1+H814)</f>
        <v>0.069615</v>
      </c>
      <c r="J814" s="13" t="n">
        <f aca="false">I814*G814</f>
        <v>109.643625</v>
      </c>
      <c r="K814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815" customFormat="false" ht="15" hidden="false" customHeight="true" outlineLevel="0" collapsed="false">
      <c r="A815" s="9" t="s">
        <v>260</v>
      </c>
      <c r="B815" s="9" t="s">
        <v>798</v>
      </c>
      <c r="C815" s="9" t="s">
        <v>864</v>
      </c>
      <c r="D815" s="5" t="s">
        <v>891</v>
      </c>
      <c r="E815" s="9" t="s">
        <v>109</v>
      </c>
      <c r="F815" s="18" t="n">
        <f aca="false">0.25*1.05*DryF_Mortar*3/4</f>
        <v>0.2559375</v>
      </c>
      <c r="G815" s="13" t="n">
        <f aca="false">N(INDEX('05 MATERIAL RATE LIBRARY'!$E$5:$E$400,MATCH("MAT-SND-CHN",'05 MATERIAL RATE LIBRARY'!$A$5:$A$400,0)))</f>
        <v>80</v>
      </c>
      <c r="H815" s="19" t="n">
        <f aca="false">W_Agg</f>
        <v>0.05</v>
      </c>
      <c r="I815" s="18" t="n">
        <f aca="false">F815*(1+H815)</f>
        <v>0.268734375</v>
      </c>
      <c r="J815" s="13" t="n">
        <f aca="false">I815*G815</f>
        <v>21.49875</v>
      </c>
      <c r="K815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816" customFormat="false" ht="15" hidden="false" customHeight="true" outlineLevel="0" collapsed="false">
      <c r="A816" s="9" t="s">
        <v>260</v>
      </c>
      <c r="B816" s="9" t="s">
        <v>812</v>
      </c>
      <c r="C816" s="9" t="s">
        <v>813</v>
      </c>
      <c r="D816" s="5" t="s">
        <v>943</v>
      </c>
      <c r="E816" s="9" t="s">
        <v>815</v>
      </c>
      <c r="F816" s="18" t="n">
        <f aca="false">'13 PRODUCTIVITY LIBRARY'!E34/'13 PRODUCTIVITY LIBRARY'!D34</f>
        <v>0.0153846153846154</v>
      </c>
      <c r="G816" s="13" t="n">
        <f aca="false">N(INDEX('06 LABOUR RATE LIBRARY'!$D$5:$D$100,MATCH("LAB-MSN",'06 LABOUR RATE LIBRARY'!$A$5:$A$100,0)))</f>
        <v>2200</v>
      </c>
      <c r="H816" s="21" t="n">
        <v>0</v>
      </c>
      <c r="I816" s="18" t="n">
        <f aca="false">F816*(1+H816)</f>
        <v>0.0153846153846154</v>
      </c>
      <c r="J816" s="13" t="n">
        <f aca="false">I816*G816</f>
        <v>33.8461538461539</v>
      </c>
      <c r="K816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817" customFormat="false" ht="15" hidden="false" customHeight="true" outlineLevel="0" collapsed="false">
      <c r="A817" s="9" t="s">
        <v>260</v>
      </c>
      <c r="B817" s="9" t="s">
        <v>812</v>
      </c>
      <c r="C817" s="9" t="s">
        <v>816</v>
      </c>
      <c r="D817" s="5" t="s">
        <v>944</v>
      </c>
      <c r="E817" s="9" t="s">
        <v>815</v>
      </c>
      <c r="F817" s="18" t="n">
        <f aca="false">'13 PRODUCTIVITY LIBRARY'!F34/'13 PRODUCTIVITY LIBRARY'!D34</f>
        <v>0.0307692307692308</v>
      </c>
      <c r="G817" s="13" t="n">
        <f aca="false">N(INDEX('06 LABOUR RATE LIBRARY'!$D$5:$D$100,MATCH("LAB-HLP",'06 LABOUR RATE LIBRARY'!$A$5:$A$100,0)))</f>
        <v>1538</v>
      </c>
      <c r="H817" s="21" t="n">
        <v>0</v>
      </c>
      <c r="I817" s="18" t="n">
        <f aca="false">F817*(1+H817)</f>
        <v>0.0307692307692308</v>
      </c>
      <c r="J817" s="13" t="n">
        <f aca="false">I817*G817</f>
        <v>47.3230769230769</v>
      </c>
      <c r="K81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818" customFormat="false" ht="15" hidden="false" customHeight="true" outlineLevel="0" collapsed="false">
      <c r="D818" s="22" t="s">
        <v>825</v>
      </c>
      <c r="J818" s="23" t="n">
        <f aca="false">SUMPRODUCT((B814:B817="Material")*F814:F817*G814:G817)</f>
        <v>127.96875</v>
      </c>
    </row>
    <row r="819" customFormat="false" ht="15" hidden="false" customHeight="true" outlineLevel="0" collapsed="false">
      <c r="D819" s="22" t="s">
        <v>826</v>
      </c>
      <c r="J819" s="23" t="n">
        <f aca="false">SUMIF(B814:B817,"Material",J814:J817)-J818</f>
        <v>3.17362500000002</v>
      </c>
    </row>
    <row r="820" customFormat="false" ht="15" hidden="false" customHeight="true" outlineLevel="0" collapsed="false">
      <c r="D820" s="24" t="s">
        <v>827</v>
      </c>
      <c r="J820" s="14" t="n">
        <f aca="false">SUMIF(B814:B817,"Material",J814:J817)</f>
        <v>131.142375</v>
      </c>
    </row>
    <row r="821" customFormat="false" ht="15" hidden="false" customHeight="true" outlineLevel="0" collapsed="false">
      <c r="D821" s="24" t="s">
        <v>828</v>
      </c>
      <c r="J821" s="14" t="n">
        <f aca="false">SUMIF(B814:B817,"Labour",J814:J817)</f>
        <v>81.1692307692308</v>
      </c>
    </row>
    <row r="822" customFormat="false" ht="15" hidden="false" customHeight="true" outlineLevel="0" collapsed="false">
      <c r="D822" s="24" t="s">
        <v>829</v>
      </c>
      <c r="J822" s="14" t="n">
        <f aca="false">SUMIF(B814:B817,"Equipment",J814:J817)</f>
        <v>0</v>
      </c>
    </row>
    <row r="823" customFormat="false" ht="15" hidden="false" customHeight="true" outlineLevel="0" collapsed="false">
      <c r="D823" s="24" t="s">
        <v>830</v>
      </c>
      <c r="J823" s="14" t="n">
        <f aca="false">SUMIF(B814:B817,"Transport",J814:J817)</f>
        <v>0</v>
      </c>
    </row>
    <row r="824" customFormat="false" ht="15" hidden="false" customHeight="true" outlineLevel="0" collapsed="false">
      <c r="D824" s="24" t="s">
        <v>831</v>
      </c>
      <c r="J824" s="14" t="n">
        <f aca="false">J820+J821+J822+J823</f>
        <v>212.311605769231</v>
      </c>
    </row>
    <row r="825" customFormat="false" ht="15" hidden="false" customHeight="true" outlineLevel="0" collapsed="false">
      <c r="D825" s="22" t="s">
        <v>832</v>
      </c>
      <c r="J825" s="23" t="n">
        <f aca="false">J824*OH_Site</f>
        <v>6.36934817307692</v>
      </c>
    </row>
    <row r="826" customFormat="false" ht="15" hidden="false" customHeight="true" outlineLevel="0" collapsed="false">
      <c r="D826" s="22" t="s">
        <v>833</v>
      </c>
      <c r="J826" s="23" t="n">
        <f aca="false">J824*OH_HO</f>
        <v>10.6155802884615</v>
      </c>
    </row>
    <row r="827" customFormat="false" ht="15" hidden="false" customHeight="true" outlineLevel="0" collapsed="false">
      <c r="D827" s="22" t="s">
        <v>834</v>
      </c>
      <c r="J827" s="23" t="n">
        <f aca="false">J824*Profit</f>
        <v>21.2311605769231</v>
      </c>
    </row>
    <row r="828" customFormat="false" ht="15" hidden="false" customHeight="true" outlineLevel="0" collapsed="false">
      <c r="D828" s="24" t="s">
        <v>835</v>
      </c>
      <c r="J828" s="14" t="n">
        <f aca="false">J824+J825+J826+J827</f>
        <v>250.527694807692</v>
      </c>
    </row>
    <row r="829" customFormat="false" ht="15" hidden="false" customHeight="true" outlineLevel="0" collapsed="false">
      <c r="D829" s="22" t="s">
        <v>836</v>
      </c>
      <c r="J829" s="23" t="n">
        <f aca="false">IF(Tax_On="Yes",J828*N(Tax_Rate),0)</f>
        <v>0</v>
      </c>
    </row>
    <row r="830" customFormat="false" ht="15" hidden="false" customHeight="true" outlineLevel="0" collapsed="false">
      <c r="D830" s="24" t="s">
        <v>895</v>
      </c>
      <c r="J830" s="14" t="n">
        <f aca="false">ROUND(J828+J829,0)</f>
        <v>251</v>
      </c>
    </row>
    <row r="831" customFormat="false" ht="15" hidden="false" customHeight="true" outlineLevel="0" collapsed="false">
      <c r="D831" s="25" t="s">
        <v>838</v>
      </c>
      <c r="J831" s="26" t="n">
        <f aca="false">COUNTIF(K814:K817,"NO RATE")+COUNTIF(K814:K817,"OLD RATE")</f>
        <v>0</v>
      </c>
    </row>
    <row r="833" customFormat="false" ht="39.75" hidden="false" customHeight="true" outlineLevel="0" collapsed="false">
      <c r="A833" s="4" t="s">
        <v>264</v>
      </c>
      <c r="B833" s="16" t="s">
        <v>267</v>
      </c>
      <c r="C833" s="16"/>
      <c r="D833" s="16"/>
      <c r="E833" s="16"/>
      <c r="F833" s="16"/>
      <c r="G833" s="16"/>
      <c r="H833" s="16"/>
      <c r="I833" s="16"/>
      <c r="J833" s="4" t="s">
        <v>890</v>
      </c>
      <c r="K833" s="17"/>
    </row>
    <row r="834" customFormat="false" ht="21.75" hidden="false" customHeight="true" outlineLevel="0" collapsed="false">
      <c r="A834" s="12" t="s">
        <v>75</v>
      </c>
      <c r="B834" s="12" t="s">
        <v>789</v>
      </c>
      <c r="C834" s="12" t="s">
        <v>790</v>
      </c>
      <c r="D834" s="12" t="s">
        <v>791</v>
      </c>
      <c r="E834" s="12" t="s">
        <v>81</v>
      </c>
      <c r="F834" s="12" t="s">
        <v>792</v>
      </c>
      <c r="G834" s="12" t="s">
        <v>793</v>
      </c>
      <c r="H834" s="12" t="s">
        <v>794</v>
      </c>
      <c r="I834" s="12" t="s">
        <v>795</v>
      </c>
      <c r="J834" s="12" t="s">
        <v>796</v>
      </c>
      <c r="K834" s="12" t="s">
        <v>797</v>
      </c>
    </row>
    <row r="835" customFormat="false" ht="15" hidden="false" customHeight="true" outlineLevel="0" collapsed="false">
      <c r="A835" s="9" t="s">
        <v>264</v>
      </c>
      <c r="B835" s="9" t="s">
        <v>798</v>
      </c>
      <c r="C835" s="9" t="s">
        <v>945</v>
      </c>
      <c r="D835" s="5" t="s">
        <v>946</v>
      </c>
      <c r="E835" s="9" t="s">
        <v>811</v>
      </c>
      <c r="F835" s="18" t="n">
        <v>0</v>
      </c>
      <c r="G835" s="13" t="n">
        <f aca="false">N(INDEX('05 MATERIAL RATE LIBRARY'!$E$5:$E$400,MATCH("MAT-BIT-PRM",'05 MATERIAL RATE LIBRARY'!$A$5:$A$400,0)))</f>
        <v>87.5</v>
      </c>
      <c r="H835" s="21" t="n">
        <v>0</v>
      </c>
      <c r="I835" s="18" t="n">
        <f aca="false">F835*(1+H835)</f>
        <v>0</v>
      </c>
      <c r="J835" s="13" t="n">
        <f aca="false">I835*G835</f>
        <v>0</v>
      </c>
      <c r="K835" s="20" t="str">
        <f aca="false">IF(INDEX('05 MATERIAL RATE LIBRARY'!$M$5:$M$400,MATCH("MAT-BIT-PRM",'05 MATERIAL RATE LIBRARY'!$A$5:$A$400,0))=1,"",IF(INDEX('05 MATERIAL RATE LIBRARY'!$M$5:$M$400,MATCH("MAT-BIT-PRM",'05 MATERIAL RATE LIBRARY'!$A$5:$A$400,0))=2,"OLD RATE","NO RATE"))</f>
        <v>OLD RATE</v>
      </c>
    </row>
    <row r="836" customFormat="false" ht="15" hidden="false" customHeight="true" outlineLevel="0" collapsed="false">
      <c r="A836" s="9" t="s">
        <v>264</v>
      </c>
      <c r="B836" s="9" t="s">
        <v>798</v>
      </c>
      <c r="C836" s="9" t="s">
        <v>947</v>
      </c>
      <c r="D836" s="5" t="s">
        <v>948</v>
      </c>
      <c r="E836" s="9" t="s">
        <v>212</v>
      </c>
      <c r="F836" s="18" t="n">
        <v>1</v>
      </c>
      <c r="G836" s="13" t="n">
        <f aca="false">N(INDEX('05 MATERIAL RATE LIBRARY'!$E$5:$E$400,MATCH("MAT-MEM-APP",'05 MATERIAL RATE LIBRARY'!$A$5:$A$400,0)))</f>
        <v>98</v>
      </c>
      <c r="H836" s="19" t="n">
        <f aca="false">W_Mem</f>
        <v>0.12</v>
      </c>
      <c r="I836" s="18" t="n">
        <f aca="false">F836*(1+H836)</f>
        <v>1.12</v>
      </c>
      <c r="J836" s="13" t="n">
        <f aca="false">I836*G836</f>
        <v>109.76</v>
      </c>
      <c r="K836" s="20" t="str">
        <f aca="false">IF(INDEX('05 MATERIAL RATE LIBRARY'!$M$5:$M$400,MATCH("MAT-MEM-APP",'05 MATERIAL RATE LIBRARY'!$A$5:$A$400,0))=1,"",IF(INDEX('05 MATERIAL RATE LIBRARY'!$M$5:$M$400,MATCH("MAT-MEM-APP",'05 MATERIAL RATE LIBRARY'!$A$5:$A$400,0))=2,"OLD RATE","NO RATE"))</f>
        <v/>
      </c>
    </row>
    <row r="837" customFormat="false" ht="15" hidden="false" customHeight="true" outlineLevel="0" collapsed="false">
      <c r="A837" s="9" t="s">
        <v>264</v>
      </c>
      <c r="B837" s="9" t="s">
        <v>798</v>
      </c>
      <c r="C837" s="9" t="s">
        <v>949</v>
      </c>
      <c r="D837" s="5" t="s">
        <v>950</v>
      </c>
      <c r="E837" s="9" t="s">
        <v>198</v>
      </c>
      <c r="F837" s="18" t="n">
        <v>0.01</v>
      </c>
      <c r="G837" s="13" t="n">
        <f aca="false">N(INDEX('05 MATERIAL RATE LIBRARY'!$E$5:$E$400,MATCH("MAT-LPG",'05 MATERIAL RATE LIBRARY'!$A$5:$A$400,0)))</f>
        <v>258.65</v>
      </c>
      <c r="H837" s="21" t="n">
        <v>0</v>
      </c>
      <c r="I837" s="18" t="n">
        <f aca="false">F837*(1+H837)</f>
        <v>0.01</v>
      </c>
      <c r="J837" s="13" t="n">
        <f aca="false">I837*G837</f>
        <v>2.5865</v>
      </c>
      <c r="K837" s="20" t="str">
        <f aca="false">IF(INDEX('05 MATERIAL RATE LIBRARY'!$M$5:$M$400,MATCH("MAT-LPG",'05 MATERIAL RATE LIBRARY'!$A$5:$A$400,0))=1,"",IF(INDEX('05 MATERIAL RATE LIBRARY'!$M$5:$M$400,MATCH("MAT-LPG",'05 MATERIAL RATE LIBRARY'!$A$5:$A$400,0))=2,"OLD RATE","NO RATE"))</f>
        <v/>
      </c>
    </row>
    <row r="838" customFormat="false" ht="15" hidden="false" customHeight="true" outlineLevel="0" collapsed="false">
      <c r="A838" s="9" t="s">
        <v>264</v>
      </c>
      <c r="B838" s="9" t="s">
        <v>818</v>
      </c>
      <c r="C838" s="9" t="s">
        <v>951</v>
      </c>
      <c r="D838" s="5" t="s">
        <v>952</v>
      </c>
      <c r="E838" s="9" t="s">
        <v>815</v>
      </c>
      <c r="F838" s="18" t="n">
        <f aca="false">1/'13 PRODUCTIVITY LIBRARY'!D19</f>
        <v>0.00555555555555556</v>
      </c>
      <c r="G838" s="13" t="n">
        <f aca="false">N(INDEX('07 EQUIPMENT RATE LIBRARY'!$D$5:$D$100,MATCH("EQ-TORCH",'07 EQUIPMENT RATE LIBRARY'!$A$5:$A$100,0)))</f>
        <v>800</v>
      </c>
      <c r="H838" s="21" t="n">
        <v>0</v>
      </c>
      <c r="I838" s="18" t="n">
        <f aca="false">F838*(1+H838)</f>
        <v>0.00555555555555556</v>
      </c>
      <c r="J838" s="13" t="n">
        <f aca="false">I838*G838</f>
        <v>4.44444444444445</v>
      </c>
      <c r="K838" s="20" t="str">
        <f aca="false">IF(INDEX('07 EQUIPMENT RATE LIBRARY'!$H$5:$H$100,MATCH("EQ-TORCH",'07 EQUIPMENT RATE LIBRARY'!$A$5:$A$100,0))=1,"",IF(INDEX('07 EQUIPMENT RATE LIBRARY'!$H$5:$H$100,MATCH("EQ-TORCH",'07 EQUIPMENT RATE LIBRARY'!$A$5:$A$100,0))=2,"OLD RATE","NO RATE"))</f>
        <v/>
      </c>
    </row>
    <row r="839" customFormat="false" ht="15" hidden="false" customHeight="true" outlineLevel="0" collapsed="false">
      <c r="A839" s="9" t="s">
        <v>264</v>
      </c>
      <c r="B839" s="9" t="s">
        <v>812</v>
      </c>
      <c r="C839" s="9" t="s">
        <v>953</v>
      </c>
      <c r="D839" s="5" t="s">
        <v>954</v>
      </c>
      <c r="E839" s="9" t="s">
        <v>815</v>
      </c>
      <c r="F839" s="18" t="n">
        <f aca="false">'13 PRODUCTIVITY LIBRARY'!E19/'13 PRODUCTIVITY LIBRARY'!D19</f>
        <v>0.00555555555555556</v>
      </c>
      <c r="G839" s="13" t="n">
        <f aca="false">N(INDEX('06 LABOUR RATE LIBRARY'!$D$5:$D$100,MATCH("LAB-WPA",'06 LABOUR RATE LIBRARY'!$A$5:$A$100,0)))</f>
        <v>2200</v>
      </c>
      <c r="H839" s="21" t="n">
        <v>0</v>
      </c>
      <c r="I839" s="18" t="n">
        <f aca="false">F839*(1+H839)</f>
        <v>0.00555555555555556</v>
      </c>
      <c r="J839" s="13" t="n">
        <f aca="false">I839*G839</f>
        <v>12.2222222222222</v>
      </c>
      <c r="K839" s="20" t="str">
        <f aca="false">IF(INDEX('06 LABOUR RATE LIBRARY'!$L$5:$L$100,MATCH("LAB-WPA",'06 LABOUR RATE LIBRARY'!$A$5:$A$100,0))=1,"",IF(INDEX('06 LABOUR RATE LIBRARY'!$L$5:$L$100,MATCH("LAB-WPA",'06 LABOUR RATE LIBRARY'!$A$5:$A$100,0))=2,"OLD RATE","NO RATE"))</f>
        <v/>
      </c>
    </row>
    <row r="840" customFormat="false" ht="15" hidden="false" customHeight="true" outlineLevel="0" collapsed="false">
      <c r="A840" s="9" t="s">
        <v>264</v>
      </c>
      <c r="B840" s="9" t="s">
        <v>812</v>
      </c>
      <c r="C840" s="9" t="s">
        <v>816</v>
      </c>
      <c r="D840" s="5" t="s">
        <v>955</v>
      </c>
      <c r="E840" s="9" t="s">
        <v>815</v>
      </c>
      <c r="F840" s="18" t="n">
        <f aca="false">'13 PRODUCTIVITY LIBRARY'!F19/'13 PRODUCTIVITY LIBRARY'!D19</f>
        <v>0.00555555555555556</v>
      </c>
      <c r="G840" s="13" t="n">
        <f aca="false">N(INDEX('06 LABOUR RATE LIBRARY'!$D$5:$D$100,MATCH("LAB-HLP",'06 LABOUR RATE LIBRARY'!$A$5:$A$100,0)))</f>
        <v>1538</v>
      </c>
      <c r="H840" s="21" t="n">
        <v>0</v>
      </c>
      <c r="I840" s="18" t="n">
        <f aca="false">F840*(1+H840)</f>
        <v>0.00555555555555556</v>
      </c>
      <c r="J840" s="13" t="n">
        <f aca="false">I840*G840</f>
        <v>8.54444444444444</v>
      </c>
      <c r="K84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841" customFormat="false" ht="15" hidden="false" customHeight="true" outlineLevel="0" collapsed="false">
      <c r="D841" s="22" t="s">
        <v>825</v>
      </c>
      <c r="J841" s="23" t="n">
        <f aca="false">SUMPRODUCT((B835:B840="Material")*F835:F840*G835:G840)</f>
        <v>100.5865</v>
      </c>
    </row>
    <row r="842" customFormat="false" ht="15" hidden="false" customHeight="true" outlineLevel="0" collapsed="false">
      <c r="D842" s="22" t="s">
        <v>826</v>
      </c>
      <c r="J842" s="23" t="n">
        <f aca="false">SUMIF(B835:B840,"Material",J835:J840)-J841</f>
        <v>11.76</v>
      </c>
    </row>
    <row r="843" customFormat="false" ht="15" hidden="false" customHeight="true" outlineLevel="0" collapsed="false">
      <c r="D843" s="24" t="s">
        <v>827</v>
      </c>
      <c r="J843" s="14" t="n">
        <f aca="false">SUMIF(B835:B840,"Material",J835:J840)</f>
        <v>112.3465</v>
      </c>
    </row>
    <row r="844" customFormat="false" ht="15" hidden="false" customHeight="true" outlineLevel="0" collapsed="false">
      <c r="D844" s="24" t="s">
        <v>828</v>
      </c>
      <c r="J844" s="14" t="n">
        <f aca="false">SUMIF(B835:B840,"Labour",J835:J840)</f>
        <v>20.7666666666667</v>
      </c>
    </row>
    <row r="845" customFormat="false" ht="15" hidden="false" customHeight="true" outlineLevel="0" collapsed="false">
      <c r="D845" s="24" t="s">
        <v>829</v>
      </c>
      <c r="J845" s="14" t="n">
        <f aca="false">SUMIF(B835:B840,"Equipment",J835:J840)</f>
        <v>4.44444444444445</v>
      </c>
    </row>
    <row r="846" customFormat="false" ht="15" hidden="false" customHeight="true" outlineLevel="0" collapsed="false">
      <c r="D846" s="24" t="s">
        <v>830</v>
      </c>
      <c r="J846" s="14" t="n">
        <f aca="false">SUMIF(B835:B840,"Transport",J835:J840)</f>
        <v>0</v>
      </c>
    </row>
    <row r="847" customFormat="false" ht="15" hidden="false" customHeight="true" outlineLevel="0" collapsed="false">
      <c r="D847" s="24" t="s">
        <v>831</v>
      </c>
      <c r="J847" s="14" t="n">
        <f aca="false">J843+J844+J845+J846</f>
        <v>137.557611111111</v>
      </c>
    </row>
    <row r="848" customFormat="false" ht="15" hidden="false" customHeight="true" outlineLevel="0" collapsed="false">
      <c r="D848" s="22" t="s">
        <v>832</v>
      </c>
      <c r="J848" s="23" t="n">
        <f aca="false">J847*OH_Site</f>
        <v>4.12672833333333</v>
      </c>
    </row>
    <row r="849" customFormat="false" ht="15" hidden="false" customHeight="true" outlineLevel="0" collapsed="false">
      <c r="D849" s="22" t="s">
        <v>833</v>
      </c>
      <c r="J849" s="23" t="n">
        <f aca="false">J847*OH_HO</f>
        <v>6.87788055555556</v>
      </c>
    </row>
    <row r="850" customFormat="false" ht="15" hidden="false" customHeight="true" outlineLevel="0" collapsed="false">
      <c r="D850" s="22" t="s">
        <v>834</v>
      </c>
      <c r="J850" s="23" t="n">
        <f aca="false">J847*Profit</f>
        <v>13.7557611111111</v>
      </c>
    </row>
    <row r="851" customFormat="false" ht="15" hidden="false" customHeight="true" outlineLevel="0" collapsed="false">
      <c r="D851" s="24" t="s">
        <v>835</v>
      </c>
      <c r="J851" s="14" t="n">
        <f aca="false">J847+J848+J849+J850</f>
        <v>162.317981111111</v>
      </c>
    </row>
    <row r="852" customFormat="false" ht="15" hidden="false" customHeight="true" outlineLevel="0" collapsed="false">
      <c r="D852" s="22" t="s">
        <v>836</v>
      </c>
      <c r="J852" s="23" t="n">
        <f aca="false">IF(Tax_On="Yes",J851*N(Tax_Rate),0)</f>
        <v>0</v>
      </c>
    </row>
    <row r="853" customFormat="false" ht="15" hidden="false" customHeight="true" outlineLevel="0" collapsed="false">
      <c r="D853" s="24" t="s">
        <v>895</v>
      </c>
      <c r="J853" s="14" t="n">
        <f aca="false">ROUND(J851+J852,0)</f>
        <v>162</v>
      </c>
    </row>
    <row r="854" customFormat="false" ht="15" hidden="false" customHeight="true" outlineLevel="0" collapsed="false">
      <c r="D854" s="25" t="s">
        <v>838</v>
      </c>
      <c r="J854" s="26" t="n">
        <f aca="false">COUNTIF(K835:K840,"NO RATE")+COUNTIF(K835:K840,"OLD RATE")</f>
        <v>1</v>
      </c>
    </row>
    <row r="856" customFormat="false" ht="39.75" hidden="false" customHeight="true" outlineLevel="0" collapsed="false">
      <c r="A856" s="4" t="s">
        <v>270</v>
      </c>
      <c r="B856" s="16" t="s">
        <v>272</v>
      </c>
      <c r="C856" s="16"/>
      <c r="D856" s="16"/>
      <c r="E856" s="16"/>
      <c r="F856" s="16"/>
      <c r="G856" s="16"/>
      <c r="H856" s="16"/>
      <c r="I856" s="16"/>
      <c r="J856" s="4" t="s">
        <v>890</v>
      </c>
      <c r="K856" s="17"/>
    </row>
    <row r="857" customFormat="false" ht="21.75" hidden="false" customHeight="true" outlineLevel="0" collapsed="false">
      <c r="A857" s="12" t="s">
        <v>75</v>
      </c>
      <c r="B857" s="12" t="s">
        <v>789</v>
      </c>
      <c r="C857" s="12" t="s">
        <v>790</v>
      </c>
      <c r="D857" s="12" t="s">
        <v>791</v>
      </c>
      <c r="E857" s="12" t="s">
        <v>81</v>
      </c>
      <c r="F857" s="12" t="s">
        <v>792</v>
      </c>
      <c r="G857" s="12" t="s">
        <v>793</v>
      </c>
      <c r="H857" s="12" t="s">
        <v>794</v>
      </c>
      <c r="I857" s="12" t="s">
        <v>795</v>
      </c>
      <c r="J857" s="12" t="s">
        <v>796</v>
      </c>
      <c r="K857" s="12" t="s">
        <v>797</v>
      </c>
    </row>
    <row r="858" customFormat="false" ht="15" hidden="false" customHeight="true" outlineLevel="0" collapsed="false">
      <c r="A858" s="9" t="s">
        <v>270</v>
      </c>
      <c r="B858" s="9" t="s">
        <v>798</v>
      </c>
      <c r="C858" s="9" t="s">
        <v>956</v>
      </c>
      <c r="D858" s="5" t="s">
        <v>957</v>
      </c>
      <c r="E858" s="9" t="s">
        <v>212</v>
      </c>
      <c r="F858" s="18" t="n">
        <v>1</v>
      </c>
      <c r="G858" s="13" t="n">
        <f aca="false">N(INDEX('05 MATERIAL RATE LIBRARY'!$E$5:$E$400,MATCH("MAT-CWP",'05 MATERIAL RATE LIBRARY'!$A$5:$A$400,0)))</f>
        <v>47</v>
      </c>
      <c r="H858" s="19" t="n">
        <f aca="false">W_Pnt</f>
        <v>0.05</v>
      </c>
      <c r="I858" s="18" t="n">
        <f aca="false">F858*(1+H858)</f>
        <v>1.05</v>
      </c>
      <c r="J858" s="13" t="n">
        <f aca="false">I858*G858</f>
        <v>49.35</v>
      </c>
      <c r="K858" s="20" t="str">
        <f aca="false">IF(INDEX('05 MATERIAL RATE LIBRARY'!$M$5:$M$400,MATCH("MAT-CWP",'05 MATERIAL RATE LIBRARY'!$A$5:$A$400,0))=1,"",IF(INDEX('05 MATERIAL RATE LIBRARY'!$M$5:$M$400,MATCH("MAT-CWP",'05 MATERIAL RATE LIBRARY'!$A$5:$A$400,0))=2,"OLD RATE","NO RATE"))</f>
        <v>OLD RATE</v>
      </c>
    </row>
    <row r="859" customFormat="false" ht="15" hidden="false" customHeight="true" outlineLevel="0" collapsed="false">
      <c r="A859" s="9" t="s">
        <v>270</v>
      </c>
      <c r="B859" s="9" t="s">
        <v>812</v>
      </c>
      <c r="C859" s="9" t="s">
        <v>953</v>
      </c>
      <c r="D859" s="5" t="s">
        <v>958</v>
      </c>
      <c r="E859" s="9" t="s">
        <v>815</v>
      </c>
      <c r="F859" s="18" t="n">
        <f aca="false">'13 PRODUCTIVITY LIBRARY'!E20/'13 PRODUCTIVITY LIBRARY'!D20</f>
        <v>0.00333333333333333</v>
      </c>
      <c r="G859" s="13" t="n">
        <f aca="false">N(INDEX('06 LABOUR RATE LIBRARY'!$D$5:$D$100,MATCH("LAB-WPA",'06 LABOUR RATE LIBRARY'!$A$5:$A$100,0)))</f>
        <v>2200</v>
      </c>
      <c r="H859" s="21" t="n">
        <v>0</v>
      </c>
      <c r="I859" s="18" t="n">
        <f aca="false">F859*(1+H859)</f>
        <v>0.00333333333333333</v>
      </c>
      <c r="J859" s="13" t="n">
        <f aca="false">I859*G859</f>
        <v>7.33333333333333</v>
      </c>
      <c r="K859" s="20" t="str">
        <f aca="false">IF(INDEX('06 LABOUR RATE LIBRARY'!$L$5:$L$100,MATCH("LAB-WPA",'06 LABOUR RATE LIBRARY'!$A$5:$A$100,0))=1,"",IF(INDEX('06 LABOUR RATE LIBRARY'!$L$5:$L$100,MATCH("LAB-WPA",'06 LABOUR RATE LIBRARY'!$A$5:$A$100,0))=2,"OLD RATE","NO RATE"))</f>
        <v/>
      </c>
    </row>
    <row r="860" customFormat="false" ht="15" hidden="false" customHeight="true" outlineLevel="0" collapsed="false">
      <c r="A860" s="9" t="s">
        <v>270</v>
      </c>
      <c r="B860" s="9" t="s">
        <v>812</v>
      </c>
      <c r="C860" s="9" t="s">
        <v>816</v>
      </c>
      <c r="D860" s="5" t="s">
        <v>959</v>
      </c>
      <c r="E860" s="9" t="s">
        <v>815</v>
      </c>
      <c r="F860" s="18" t="n">
        <f aca="false">'13 PRODUCTIVITY LIBRARY'!F20/'13 PRODUCTIVITY LIBRARY'!D20</f>
        <v>0.00333333333333333</v>
      </c>
      <c r="G860" s="13" t="n">
        <f aca="false">N(INDEX('06 LABOUR RATE LIBRARY'!$D$5:$D$100,MATCH("LAB-HLP",'06 LABOUR RATE LIBRARY'!$A$5:$A$100,0)))</f>
        <v>1538</v>
      </c>
      <c r="H860" s="21" t="n">
        <v>0</v>
      </c>
      <c r="I860" s="18" t="n">
        <f aca="false">F860*(1+H860)</f>
        <v>0.00333333333333333</v>
      </c>
      <c r="J860" s="13" t="n">
        <f aca="false">I860*G860</f>
        <v>5.12666666666667</v>
      </c>
      <c r="K86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861" customFormat="false" ht="15" hidden="false" customHeight="true" outlineLevel="0" collapsed="false">
      <c r="D861" s="22" t="s">
        <v>825</v>
      </c>
      <c r="J861" s="23" t="n">
        <f aca="false">SUMPRODUCT((B858:B860="Material")*F858:F860*G858:G860)</f>
        <v>47</v>
      </c>
    </row>
    <row r="862" customFormat="false" ht="15" hidden="false" customHeight="true" outlineLevel="0" collapsed="false">
      <c r="D862" s="22" t="s">
        <v>826</v>
      </c>
      <c r="J862" s="23" t="n">
        <f aca="false">SUMIF(B858:B860,"Material",J858:J860)-J861</f>
        <v>2.35</v>
      </c>
    </row>
    <row r="863" customFormat="false" ht="15" hidden="false" customHeight="true" outlineLevel="0" collapsed="false">
      <c r="D863" s="24" t="s">
        <v>827</v>
      </c>
      <c r="J863" s="14" t="n">
        <f aca="false">SUMIF(B858:B860,"Material",J858:J860)</f>
        <v>49.35</v>
      </c>
    </row>
    <row r="864" customFormat="false" ht="15" hidden="false" customHeight="true" outlineLevel="0" collapsed="false">
      <c r="D864" s="24" t="s">
        <v>828</v>
      </c>
      <c r="J864" s="14" t="n">
        <f aca="false">SUMIF(B858:B860,"Labour",J858:J860)</f>
        <v>12.46</v>
      </c>
    </row>
    <row r="865" customFormat="false" ht="15" hidden="false" customHeight="true" outlineLevel="0" collapsed="false">
      <c r="D865" s="24" t="s">
        <v>829</v>
      </c>
      <c r="J865" s="14" t="n">
        <f aca="false">SUMIF(B858:B860,"Equipment",J858:J860)</f>
        <v>0</v>
      </c>
    </row>
    <row r="866" customFormat="false" ht="15" hidden="false" customHeight="true" outlineLevel="0" collapsed="false">
      <c r="D866" s="24" t="s">
        <v>830</v>
      </c>
      <c r="J866" s="14" t="n">
        <f aca="false">SUMIF(B858:B860,"Transport",J858:J860)</f>
        <v>0</v>
      </c>
    </row>
    <row r="867" customFormat="false" ht="15" hidden="false" customHeight="true" outlineLevel="0" collapsed="false">
      <c r="D867" s="24" t="s">
        <v>831</v>
      </c>
      <c r="J867" s="14" t="n">
        <f aca="false">J863+J864+J865+J866</f>
        <v>61.81</v>
      </c>
    </row>
    <row r="868" customFormat="false" ht="15" hidden="false" customHeight="true" outlineLevel="0" collapsed="false">
      <c r="D868" s="22" t="s">
        <v>832</v>
      </c>
      <c r="J868" s="23" t="n">
        <f aca="false">J867*OH_Site</f>
        <v>1.8543</v>
      </c>
    </row>
    <row r="869" customFormat="false" ht="15" hidden="false" customHeight="true" outlineLevel="0" collapsed="false">
      <c r="D869" s="22" t="s">
        <v>833</v>
      </c>
      <c r="J869" s="23" t="n">
        <f aca="false">J867*OH_HO</f>
        <v>3.0905</v>
      </c>
    </row>
    <row r="870" customFormat="false" ht="15" hidden="false" customHeight="true" outlineLevel="0" collapsed="false">
      <c r="D870" s="22" t="s">
        <v>834</v>
      </c>
      <c r="J870" s="23" t="n">
        <f aca="false">J867*Profit</f>
        <v>6.181</v>
      </c>
    </row>
    <row r="871" customFormat="false" ht="15" hidden="false" customHeight="true" outlineLevel="0" collapsed="false">
      <c r="D871" s="24" t="s">
        <v>835</v>
      </c>
      <c r="J871" s="14" t="n">
        <f aca="false">J867+J868+J869+J870</f>
        <v>72.9358</v>
      </c>
    </row>
    <row r="872" customFormat="false" ht="15" hidden="false" customHeight="true" outlineLevel="0" collapsed="false">
      <c r="D872" s="22" t="s">
        <v>836</v>
      </c>
      <c r="J872" s="23" t="n">
        <f aca="false">IF(Tax_On="Yes",J871*N(Tax_Rate),0)</f>
        <v>0</v>
      </c>
    </row>
    <row r="873" customFormat="false" ht="15" hidden="false" customHeight="true" outlineLevel="0" collapsed="false">
      <c r="D873" s="24" t="s">
        <v>895</v>
      </c>
      <c r="J873" s="14" t="n">
        <f aca="false">ROUND(J871+J872,0)</f>
        <v>73</v>
      </c>
    </row>
    <row r="874" customFormat="false" ht="15" hidden="false" customHeight="true" outlineLevel="0" collapsed="false">
      <c r="D874" s="25" t="s">
        <v>838</v>
      </c>
      <c r="J874" s="26" t="n">
        <f aca="false">COUNTIF(K858:K860,"NO RATE")+COUNTIF(K858:K860,"OLD RATE")</f>
        <v>1</v>
      </c>
    </row>
    <row r="876" customFormat="false" ht="39.75" hidden="false" customHeight="true" outlineLevel="0" collapsed="false">
      <c r="A876" s="4" t="s">
        <v>274</v>
      </c>
      <c r="B876" s="16" t="s">
        <v>276</v>
      </c>
      <c r="C876" s="16"/>
      <c r="D876" s="16"/>
      <c r="E876" s="16"/>
      <c r="F876" s="16"/>
      <c r="G876" s="16"/>
      <c r="H876" s="16"/>
      <c r="I876" s="16"/>
      <c r="J876" s="4" t="s">
        <v>890</v>
      </c>
      <c r="K876" s="17"/>
    </row>
    <row r="877" customFormat="false" ht="21.75" hidden="false" customHeight="true" outlineLevel="0" collapsed="false">
      <c r="A877" s="12" t="s">
        <v>75</v>
      </c>
      <c r="B877" s="12" t="s">
        <v>789</v>
      </c>
      <c r="C877" s="12" t="s">
        <v>790</v>
      </c>
      <c r="D877" s="12" t="s">
        <v>791</v>
      </c>
      <c r="E877" s="12" t="s">
        <v>81</v>
      </c>
      <c r="F877" s="12" t="s">
        <v>792</v>
      </c>
      <c r="G877" s="12" t="s">
        <v>793</v>
      </c>
      <c r="H877" s="12" t="s">
        <v>794</v>
      </c>
      <c r="I877" s="12" t="s">
        <v>795</v>
      </c>
      <c r="J877" s="12" t="s">
        <v>796</v>
      </c>
      <c r="K877" s="12" t="s">
        <v>797</v>
      </c>
    </row>
    <row r="878" customFormat="false" ht="15" hidden="false" customHeight="true" outlineLevel="0" collapsed="false">
      <c r="A878" s="9" t="s">
        <v>274</v>
      </c>
      <c r="B878" s="9" t="s">
        <v>798</v>
      </c>
      <c r="C878" s="9" t="s">
        <v>799</v>
      </c>
      <c r="D878" s="5" t="s">
        <v>960</v>
      </c>
      <c r="E878" s="9" t="s">
        <v>801</v>
      </c>
      <c r="F878" s="18" t="n">
        <f aca="false">0.125*DryF_Conc/7/Bag_cft</f>
        <v>0.022</v>
      </c>
      <c r="G878" s="13" t="n">
        <f aca="false">N(INDEX('05 MATERIAL RATE LIBRARY'!$E$5:$E$400,MATCH("MAT-CEM-OPC",'05 MATERIAL RATE LIBRARY'!$A$5:$A$400,0)))</f>
        <v>1575</v>
      </c>
      <c r="H878" s="19" t="n">
        <f aca="false">W_Cem</f>
        <v>0.02</v>
      </c>
      <c r="I878" s="18" t="n">
        <f aca="false">F878*(1+H878)</f>
        <v>0.02244</v>
      </c>
      <c r="J878" s="13" t="n">
        <f aca="false">I878*G878</f>
        <v>35.343</v>
      </c>
      <c r="K878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879" customFormat="false" ht="15" hidden="false" customHeight="true" outlineLevel="0" collapsed="false">
      <c r="A879" s="9" t="s">
        <v>274</v>
      </c>
      <c r="B879" s="9" t="s">
        <v>798</v>
      </c>
      <c r="C879" s="9" t="s">
        <v>864</v>
      </c>
      <c r="D879" s="5" t="s">
        <v>961</v>
      </c>
      <c r="E879" s="9" t="s">
        <v>109</v>
      </c>
      <c r="F879" s="18" t="n">
        <f aca="false">0.125*DryF_Conc*2/7</f>
        <v>0.055</v>
      </c>
      <c r="G879" s="13" t="n">
        <f aca="false">N(INDEX('05 MATERIAL RATE LIBRARY'!$E$5:$E$400,MATCH("MAT-SND-CHN",'05 MATERIAL RATE LIBRARY'!$A$5:$A$400,0)))</f>
        <v>80</v>
      </c>
      <c r="H879" s="19" t="n">
        <f aca="false">W_Agg</f>
        <v>0.05</v>
      </c>
      <c r="I879" s="18" t="n">
        <f aca="false">F879*(1+H879)</f>
        <v>0.05775</v>
      </c>
      <c r="J879" s="13" t="n">
        <f aca="false">I879*G879</f>
        <v>4.62</v>
      </c>
      <c r="K879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880" customFormat="false" ht="15" hidden="false" customHeight="true" outlineLevel="0" collapsed="false">
      <c r="A880" s="9" t="s">
        <v>274</v>
      </c>
      <c r="B880" s="9" t="s">
        <v>798</v>
      </c>
      <c r="C880" s="9" t="s">
        <v>839</v>
      </c>
      <c r="D880" s="5" t="s">
        <v>962</v>
      </c>
      <c r="E880" s="9" t="s">
        <v>109</v>
      </c>
      <c r="F880" s="18" t="n">
        <f aca="false">0.125*DryF_Conc*4/7</f>
        <v>0.11</v>
      </c>
      <c r="G880" s="13" t="n">
        <f aca="false">N(INDEX('05 MATERIAL RATE LIBRARY'!$E$5:$E$400,MATCH("MAT-CRS-MGL",'05 MATERIAL RATE LIBRARY'!$A$5:$A$400,0)))</f>
        <v>180</v>
      </c>
      <c r="H880" s="19" t="n">
        <f aca="false">W_Agg</f>
        <v>0.05</v>
      </c>
      <c r="I880" s="18" t="n">
        <f aca="false">F880*(1+H880)</f>
        <v>0.1155</v>
      </c>
      <c r="J880" s="13" t="n">
        <f aca="false">I880*G880</f>
        <v>20.79</v>
      </c>
      <c r="K880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881" customFormat="false" ht="15" hidden="false" customHeight="true" outlineLevel="0" collapsed="false">
      <c r="A881" s="9" t="s">
        <v>274</v>
      </c>
      <c r="B881" s="9" t="s">
        <v>798</v>
      </c>
      <c r="C881" s="9" t="s">
        <v>963</v>
      </c>
      <c r="D881" s="5" t="s">
        <v>964</v>
      </c>
      <c r="E881" s="9" t="s">
        <v>198</v>
      </c>
      <c r="F881" s="18" t="n">
        <v>0.1</v>
      </c>
      <c r="G881" s="13" t="n">
        <f aca="false">N(INDEX('05 MATERIAL RATE LIBRARY'!$E$5:$E$400,MATCH("MAT-BIT-HOT",'05 MATERIAL RATE LIBRARY'!$A$5:$A$400,0)))</f>
        <v>197.5</v>
      </c>
      <c r="H881" s="21" t="n">
        <v>0</v>
      </c>
      <c r="I881" s="18" t="n">
        <f aca="false">F881*(1+H881)</f>
        <v>0.1</v>
      </c>
      <c r="J881" s="13" t="n">
        <f aca="false">I881*G881</f>
        <v>19.75</v>
      </c>
      <c r="K881" s="20" t="str">
        <f aca="false">IF(INDEX('05 MATERIAL RATE LIBRARY'!$M$5:$M$400,MATCH("MAT-BIT-HOT",'05 MATERIAL RATE LIBRARY'!$A$5:$A$400,0))=1,"",IF(INDEX('05 MATERIAL RATE LIBRARY'!$M$5:$M$400,MATCH("MAT-BIT-HOT",'05 MATERIAL RATE LIBRARY'!$A$5:$A$400,0))=2,"OLD RATE","NO RATE"))</f>
        <v/>
      </c>
    </row>
    <row r="882" customFormat="false" ht="15" hidden="false" customHeight="true" outlineLevel="0" collapsed="false">
      <c r="A882" s="9" t="s">
        <v>274</v>
      </c>
      <c r="B882" s="9" t="s">
        <v>812</v>
      </c>
      <c r="C882" s="9" t="s">
        <v>813</v>
      </c>
      <c r="D882" s="5" t="s">
        <v>965</v>
      </c>
      <c r="E882" s="9" t="s">
        <v>815</v>
      </c>
      <c r="F882" s="18" t="n">
        <f aca="false">'13 PRODUCTIVITY LIBRARY'!E21/'13 PRODUCTIVITY LIBRARY'!D21</f>
        <v>0.008</v>
      </c>
      <c r="G882" s="13" t="n">
        <f aca="false">N(INDEX('06 LABOUR RATE LIBRARY'!$D$5:$D$100,MATCH("LAB-MSN",'06 LABOUR RATE LIBRARY'!$A$5:$A$100,0)))</f>
        <v>2200</v>
      </c>
      <c r="H882" s="21" t="n">
        <v>0</v>
      </c>
      <c r="I882" s="18" t="n">
        <f aca="false">F882*(1+H882)</f>
        <v>0.008</v>
      </c>
      <c r="J882" s="13" t="n">
        <f aca="false">I882*G882</f>
        <v>17.6</v>
      </c>
      <c r="K882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883" customFormat="false" ht="15" hidden="false" customHeight="true" outlineLevel="0" collapsed="false">
      <c r="A883" s="9" t="s">
        <v>274</v>
      </c>
      <c r="B883" s="9" t="s">
        <v>812</v>
      </c>
      <c r="C883" s="9" t="s">
        <v>816</v>
      </c>
      <c r="D883" s="5" t="s">
        <v>966</v>
      </c>
      <c r="E883" s="9" t="s">
        <v>815</v>
      </c>
      <c r="F883" s="18" t="n">
        <f aca="false">'13 PRODUCTIVITY LIBRARY'!F21/'13 PRODUCTIVITY LIBRARY'!D21</f>
        <v>0.016</v>
      </c>
      <c r="G883" s="13" t="n">
        <f aca="false">N(INDEX('06 LABOUR RATE LIBRARY'!$D$5:$D$100,MATCH("LAB-HLP",'06 LABOUR RATE LIBRARY'!$A$5:$A$100,0)))</f>
        <v>1538</v>
      </c>
      <c r="H883" s="21" t="n">
        <v>0</v>
      </c>
      <c r="I883" s="18" t="n">
        <f aca="false">F883*(1+H883)</f>
        <v>0.016</v>
      </c>
      <c r="J883" s="13" t="n">
        <f aca="false">I883*G883</f>
        <v>24.608</v>
      </c>
      <c r="K88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884" customFormat="false" ht="15" hidden="false" customHeight="true" outlineLevel="0" collapsed="false">
      <c r="D884" s="22" t="s">
        <v>825</v>
      </c>
      <c r="J884" s="23" t="n">
        <f aca="false">SUMPRODUCT((B878:B883="Material")*F878:F883*G878:G883)</f>
        <v>78.6</v>
      </c>
    </row>
    <row r="885" customFormat="false" ht="15" hidden="false" customHeight="true" outlineLevel="0" collapsed="false">
      <c r="D885" s="22" t="s">
        <v>826</v>
      </c>
      <c r="J885" s="23" t="n">
        <f aca="false">SUMIF(B878:B883,"Material",J878:J883)-J884</f>
        <v>1.90300000000001</v>
      </c>
    </row>
    <row r="886" customFormat="false" ht="15" hidden="false" customHeight="true" outlineLevel="0" collapsed="false">
      <c r="D886" s="24" t="s">
        <v>827</v>
      </c>
      <c r="J886" s="14" t="n">
        <f aca="false">SUMIF(B878:B883,"Material",J878:J883)</f>
        <v>80.503</v>
      </c>
    </row>
    <row r="887" customFormat="false" ht="15" hidden="false" customHeight="true" outlineLevel="0" collapsed="false">
      <c r="D887" s="24" t="s">
        <v>828</v>
      </c>
      <c r="J887" s="14" t="n">
        <f aca="false">SUMIF(B878:B883,"Labour",J878:J883)</f>
        <v>42.208</v>
      </c>
    </row>
    <row r="888" customFormat="false" ht="15" hidden="false" customHeight="true" outlineLevel="0" collapsed="false">
      <c r="D888" s="24" t="s">
        <v>829</v>
      </c>
      <c r="J888" s="14" t="n">
        <f aca="false">SUMIF(B878:B883,"Equipment",J878:J883)</f>
        <v>0</v>
      </c>
    </row>
    <row r="889" customFormat="false" ht="15" hidden="false" customHeight="true" outlineLevel="0" collapsed="false">
      <c r="D889" s="24" t="s">
        <v>830</v>
      </c>
      <c r="J889" s="14" t="n">
        <f aca="false">SUMIF(B878:B883,"Transport",J878:J883)</f>
        <v>0</v>
      </c>
    </row>
    <row r="890" customFormat="false" ht="15" hidden="false" customHeight="true" outlineLevel="0" collapsed="false">
      <c r="D890" s="24" t="s">
        <v>831</v>
      </c>
      <c r="J890" s="14" t="n">
        <f aca="false">J886+J887+J888+J889</f>
        <v>122.711</v>
      </c>
    </row>
    <row r="891" customFormat="false" ht="15" hidden="false" customHeight="true" outlineLevel="0" collapsed="false">
      <c r="D891" s="22" t="s">
        <v>832</v>
      </c>
      <c r="J891" s="23" t="n">
        <f aca="false">J890*OH_Site</f>
        <v>3.68133</v>
      </c>
    </row>
    <row r="892" customFormat="false" ht="15" hidden="false" customHeight="true" outlineLevel="0" collapsed="false">
      <c r="D892" s="22" t="s">
        <v>833</v>
      </c>
      <c r="J892" s="23" t="n">
        <f aca="false">J890*OH_HO</f>
        <v>6.13555</v>
      </c>
    </row>
    <row r="893" customFormat="false" ht="15" hidden="false" customHeight="true" outlineLevel="0" collapsed="false">
      <c r="D893" s="22" t="s">
        <v>834</v>
      </c>
      <c r="J893" s="23" t="n">
        <f aca="false">J890*Profit</f>
        <v>12.2711</v>
      </c>
    </row>
    <row r="894" customFormat="false" ht="15" hidden="false" customHeight="true" outlineLevel="0" collapsed="false">
      <c r="D894" s="24" t="s">
        <v>835</v>
      </c>
      <c r="J894" s="14" t="n">
        <f aca="false">J890+J891+J892+J893</f>
        <v>144.79898</v>
      </c>
    </row>
    <row r="895" customFormat="false" ht="15" hidden="false" customHeight="true" outlineLevel="0" collapsed="false">
      <c r="D895" s="22" t="s">
        <v>836</v>
      </c>
      <c r="J895" s="23" t="n">
        <f aca="false">IF(Tax_On="Yes",J894*N(Tax_Rate),0)</f>
        <v>0</v>
      </c>
    </row>
    <row r="896" customFormat="false" ht="15" hidden="false" customHeight="true" outlineLevel="0" collapsed="false">
      <c r="D896" s="24" t="s">
        <v>895</v>
      </c>
      <c r="J896" s="14" t="n">
        <f aca="false">ROUND(J894+J895,0)</f>
        <v>145</v>
      </c>
    </row>
    <row r="897" customFormat="false" ht="15" hidden="false" customHeight="true" outlineLevel="0" collapsed="false">
      <c r="D897" s="25" t="s">
        <v>838</v>
      </c>
      <c r="J897" s="26" t="n">
        <f aca="false">COUNTIF(K878:K883,"NO RATE")+COUNTIF(K878:K883,"OLD RATE")</f>
        <v>0</v>
      </c>
    </row>
    <row r="899" customFormat="false" ht="39.75" hidden="false" customHeight="true" outlineLevel="0" collapsed="false">
      <c r="A899" s="4" t="s">
        <v>278</v>
      </c>
      <c r="B899" s="16" t="s">
        <v>281</v>
      </c>
      <c r="C899" s="16"/>
      <c r="D899" s="16"/>
      <c r="E899" s="16"/>
      <c r="F899" s="16"/>
      <c r="G899" s="16"/>
      <c r="H899" s="16"/>
      <c r="I899" s="16"/>
      <c r="J899" s="4" t="s">
        <v>890</v>
      </c>
      <c r="K899" s="17"/>
    </row>
    <row r="900" customFormat="false" ht="21.75" hidden="false" customHeight="true" outlineLevel="0" collapsed="false">
      <c r="A900" s="12" t="s">
        <v>75</v>
      </c>
      <c r="B900" s="12" t="s">
        <v>789</v>
      </c>
      <c r="C900" s="12" t="s">
        <v>790</v>
      </c>
      <c r="D900" s="12" t="s">
        <v>791</v>
      </c>
      <c r="E900" s="12" t="s">
        <v>81</v>
      </c>
      <c r="F900" s="12" t="s">
        <v>792</v>
      </c>
      <c r="G900" s="12" t="s">
        <v>793</v>
      </c>
      <c r="H900" s="12" t="s">
        <v>794</v>
      </c>
      <c r="I900" s="12" t="s">
        <v>795</v>
      </c>
      <c r="J900" s="12" t="s">
        <v>796</v>
      </c>
      <c r="K900" s="12" t="s">
        <v>797</v>
      </c>
    </row>
    <row r="901" customFormat="false" ht="15" hidden="false" customHeight="true" outlineLevel="0" collapsed="false">
      <c r="A901" s="9" t="s">
        <v>278</v>
      </c>
      <c r="B901" s="9" t="s">
        <v>798</v>
      </c>
      <c r="C901" s="9" t="s">
        <v>967</v>
      </c>
      <c r="D901" s="5" t="s">
        <v>968</v>
      </c>
      <c r="E901" s="9" t="s">
        <v>212</v>
      </c>
      <c r="F901" s="18" t="n">
        <v>1</v>
      </c>
      <c r="G901" s="13" t="n">
        <f aca="false">N(INDEX('05 MATERIAL RATE LIBRARY'!$E$5:$E$400,MATCH("MAT-TIL-POR",'05 MATERIAL RATE LIBRARY'!$A$5:$A$400,0)))</f>
        <v>209</v>
      </c>
      <c r="H901" s="19" t="n">
        <f aca="false">W_Tile</f>
        <v>0.07</v>
      </c>
      <c r="I901" s="18" t="n">
        <f aca="false">F901*(1+H901)</f>
        <v>1.07</v>
      </c>
      <c r="J901" s="13" t="n">
        <f aca="false">I901*G901</f>
        <v>223.63</v>
      </c>
      <c r="K901" s="20" t="str">
        <f aca="false">IF(INDEX('05 MATERIAL RATE LIBRARY'!$M$5:$M$400,MATCH("MAT-TIL-POR",'05 MATERIAL RATE LIBRARY'!$A$5:$A$400,0))=1,"",IF(INDEX('05 MATERIAL RATE LIBRARY'!$M$5:$M$400,MATCH("MAT-TIL-POR",'05 MATERIAL RATE LIBRARY'!$A$5:$A$400,0))=2,"OLD RATE","NO RATE"))</f>
        <v/>
      </c>
    </row>
    <row r="902" customFormat="false" ht="15" hidden="false" customHeight="true" outlineLevel="0" collapsed="false">
      <c r="A902" s="9" t="s">
        <v>278</v>
      </c>
      <c r="B902" s="9" t="s">
        <v>798</v>
      </c>
      <c r="C902" s="9" t="s">
        <v>969</v>
      </c>
      <c r="D902" s="5" t="s">
        <v>970</v>
      </c>
      <c r="E902" s="9" t="s">
        <v>801</v>
      </c>
      <c r="F902" s="18" t="n">
        <f aca="false">1/60</f>
        <v>0.0166666666666667</v>
      </c>
      <c r="G902" s="13" t="n">
        <f aca="false">N(INDEX('05 MATERIAL RATE LIBRARY'!$E$5:$E$400,MATCH("MAT-TADH",'05 MATERIAL RATE LIBRARY'!$A$5:$A$400,0)))</f>
        <v>650</v>
      </c>
      <c r="H902" s="19" t="n">
        <f aca="false">W_Pnt</f>
        <v>0.05</v>
      </c>
      <c r="I902" s="18" t="n">
        <f aca="false">F902*(1+H902)</f>
        <v>0.0175</v>
      </c>
      <c r="J902" s="13" t="n">
        <f aca="false">I902*G902</f>
        <v>11.375</v>
      </c>
      <c r="K902" s="20" t="str">
        <f aca="false">IF(INDEX('05 MATERIAL RATE LIBRARY'!$M$5:$M$400,MATCH("MAT-TADH",'05 MATERIAL RATE LIBRARY'!$A$5:$A$400,0))=1,"",IF(INDEX('05 MATERIAL RATE LIBRARY'!$M$5:$M$400,MATCH("MAT-TADH",'05 MATERIAL RATE LIBRARY'!$A$5:$A$400,0))=2,"OLD RATE","NO RATE"))</f>
        <v/>
      </c>
    </row>
    <row r="903" customFormat="false" ht="15" hidden="false" customHeight="true" outlineLevel="0" collapsed="false">
      <c r="A903" s="9" t="s">
        <v>278</v>
      </c>
      <c r="B903" s="9" t="s">
        <v>798</v>
      </c>
      <c r="C903" s="9" t="s">
        <v>971</v>
      </c>
      <c r="D903" s="5" t="s">
        <v>972</v>
      </c>
      <c r="E903" s="9" t="s">
        <v>198</v>
      </c>
      <c r="F903" s="18" t="n">
        <v>0.02</v>
      </c>
      <c r="G903" s="13" t="n">
        <f aca="false">N(INDEX('05 MATERIAL RATE LIBRARY'!$E$5:$E$400,MATCH("MAT-GRT",'05 MATERIAL RATE LIBRARY'!$A$5:$A$400,0)))</f>
        <v>300</v>
      </c>
      <c r="H903" s="21" t="n">
        <v>0</v>
      </c>
      <c r="I903" s="18" t="n">
        <f aca="false">F903*(1+H903)</f>
        <v>0.02</v>
      </c>
      <c r="J903" s="13" t="n">
        <f aca="false">I903*G903</f>
        <v>6</v>
      </c>
      <c r="K903" s="20" t="str">
        <f aca="false">IF(INDEX('05 MATERIAL RATE LIBRARY'!$M$5:$M$400,MATCH("MAT-GRT",'05 MATERIAL RATE LIBRARY'!$A$5:$A$400,0))=1,"",IF(INDEX('05 MATERIAL RATE LIBRARY'!$M$5:$M$400,MATCH("MAT-GRT",'05 MATERIAL RATE LIBRARY'!$A$5:$A$400,0))=2,"OLD RATE","NO RATE"))</f>
        <v/>
      </c>
    </row>
    <row r="904" customFormat="false" ht="15" hidden="false" customHeight="true" outlineLevel="0" collapsed="false">
      <c r="A904" s="9" t="s">
        <v>278</v>
      </c>
      <c r="B904" s="9" t="s">
        <v>812</v>
      </c>
      <c r="C904" s="9" t="s">
        <v>973</v>
      </c>
      <c r="D904" s="5" t="s">
        <v>974</v>
      </c>
      <c r="E904" s="9" t="s">
        <v>815</v>
      </c>
      <c r="F904" s="18" t="n">
        <f aca="false">'13 PRODUCTIVITY LIBRARY'!E22/'13 PRODUCTIVITY LIBRARY'!D22</f>
        <v>0.00833333333333333</v>
      </c>
      <c r="G904" s="13" t="n">
        <f aca="false">N(INDEX('06 LABOUR RATE LIBRARY'!$D$5:$D$100,MATCH("LAB-TIL",'06 LABOUR RATE LIBRARY'!$A$5:$A$100,0)))</f>
        <v>2500</v>
      </c>
      <c r="H904" s="21" t="n">
        <v>0</v>
      </c>
      <c r="I904" s="18" t="n">
        <f aca="false">F904*(1+H904)</f>
        <v>0.00833333333333333</v>
      </c>
      <c r="J904" s="13" t="n">
        <f aca="false">I904*G904</f>
        <v>20.8333333333333</v>
      </c>
      <c r="K904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905" customFormat="false" ht="15" hidden="false" customHeight="true" outlineLevel="0" collapsed="false">
      <c r="A905" s="9" t="s">
        <v>278</v>
      </c>
      <c r="B905" s="9" t="s">
        <v>812</v>
      </c>
      <c r="C905" s="9" t="s">
        <v>816</v>
      </c>
      <c r="D905" s="5" t="s">
        <v>975</v>
      </c>
      <c r="E905" s="9" t="s">
        <v>815</v>
      </c>
      <c r="F905" s="18" t="n">
        <f aca="false">'13 PRODUCTIVITY LIBRARY'!F22/'13 PRODUCTIVITY LIBRARY'!D22</f>
        <v>0.00833333333333333</v>
      </c>
      <c r="G905" s="13" t="n">
        <f aca="false">N(INDEX('06 LABOUR RATE LIBRARY'!$D$5:$D$100,MATCH("LAB-HLP",'06 LABOUR RATE LIBRARY'!$A$5:$A$100,0)))</f>
        <v>1538</v>
      </c>
      <c r="H905" s="21" t="n">
        <v>0</v>
      </c>
      <c r="I905" s="18" t="n">
        <f aca="false">F905*(1+H905)</f>
        <v>0.00833333333333333</v>
      </c>
      <c r="J905" s="13" t="n">
        <f aca="false">I905*G905</f>
        <v>12.8166666666667</v>
      </c>
      <c r="K90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06" customFormat="false" ht="15" hidden="false" customHeight="true" outlineLevel="0" collapsed="false">
      <c r="D906" s="22" t="s">
        <v>825</v>
      </c>
      <c r="J906" s="23" t="n">
        <f aca="false">SUMPRODUCT((B901:B905="Material")*F901:F905*G901:G905)</f>
        <v>225.833333333333</v>
      </c>
    </row>
    <row r="907" customFormat="false" ht="15" hidden="false" customHeight="true" outlineLevel="0" collapsed="false">
      <c r="D907" s="22" t="s">
        <v>826</v>
      </c>
      <c r="J907" s="23" t="n">
        <f aca="false">SUMIF(B901:B905,"Material",J901:J905)-J906</f>
        <v>15.1716666666667</v>
      </c>
    </row>
    <row r="908" customFormat="false" ht="15" hidden="false" customHeight="true" outlineLevel="0" collapsed="false">
      <c r="D908" s="24" t="s">
        <v>827</v>
      </c>
      <c r="J908" s="14" t="n">
        <f aca="false">SUMIF(B901:B905,"Material",J901:J905)</f>
        <v>241.005</v>
      </c>
    </row>
    <row r="909" customFormat="false" ht="15" hidden="false" customHeight="true" outlineLevel="0" collapsed="false">
      <c r="D909" s="24" t="s">
        <v>828</v>
      </c>
      <c r="J909" s="14" t="n">
        <f aca="false">SUMIF(B901:B905,"Labour",J901:J905)</f>
        <v>33.65</v>
      </c>
    </row>
    <row r="910" customFormat="false" ht="15" hidden="false" customHeight="true" outlineLevel="0" collapsed="false">
      <c r="D910" s="24" t="s">
        <v>829</v>
      </c>
      <c r="J910" s="14" t="n">
        <f aca="false">SUMIF(B901:B905,"Equipment",J901:J905)</f>
        <v>0</v>
      </c>
    </row>
    <row r="911" customFormat="false" ht="15" hidden="false" customHeight="true" outlineLevel="0" collapsed="false">
      <c r="D911" s="24" t="s">
        <v>830</v>
      </c>
      <c r="J911" s="14" t="n">
        <f aca="false">SUMIF(B901:B905,"Transport",J901:J905)</f>
        <v>0</v>
      </c>
    </row>
    <row r="912" customFormat="false" ht="15" hidden="false" customHeight="true" outlineLevel="0" collapsed="false">
      <c r="D912" s="24" t="s">
        <v>831</v>
      </c>
      <c r="J912" s="14" t="n">
        <f aca="false">J908+J909+J910+J911</f>
        <v>274.655</v>
      </c>
    </row>
    <row r="913" customFormat="false" ht="15" hidden="false" customHeight="true" outlineLevel="0" collapsed="false">
      <c r="D913" s="22" t="s">
        <v>832</v>
      </c>
      <c r="J913" s="23" t="n">
        <f aca="false">J912*OH_Site</f>
        <v>8.23965</v>
      </c>
    </row>
    <row r="914" customFormat="false" ht="15" hidden="false" customHeight="true" outlineLevel="0" collapsed="false">
      <c r="D914" s="22" t="s">
        <v>833</v>
      </c>
      <c r="J914" s="23" t="n">
        <f aca="false">J912*OH_HO</f>
        <v>13.73275</v>
      </c>
    </row>
    <row r="915" customFormat="false" ht="15" hidden="false" customHeight="true" outlineLevel="0" collapsed="false">
      <c r="D915" s="22" t="s">
        <v>834</v>
      </c>
      <c r="J915" s="23" t="n">
        <f aca="false">J912*Profit</f>
        <v>27.4655</v>
      </c>
    </row>
    <row r="916" customFormat="false" ht="15" hidden="false" customHeight="true" outlineLevel="0" collapsed="false">
      <c r="D916" s="24" t="s">
        <v>835</v>
      </c>
      <c r="J916" s="14" t="n">
        <f aca="false">J912+J913+J914+J915</f>
        <v>324.0929</v>
      </c>
    </row>
    <row r="917" customFormat="false" ht="15" hidden="false" customHeight="true" outlineLevel="0" collapsed="false">
      <c r="D917" s="22" t="s">
        <v>836</v>
      </c>
      <c r="J917" s="23" t="n">
        <f aca="false">IF(Tax_On="Yes",J916*N(Tax_Rate),0)</f>
        <v>0</v>
      </c>
    </row>
    <row r="918" customFormat="false" ht="15" hidden="false" customHeight="true" outlineLevel="0" collapsed="false">
      <c r="D918" s="24" t="s">
        <v>895</v>
      </c>
      <c r="J918" s="14" t="n">
        <f aca="false">ROUND(J916+J917,0)</f>
        <v>324</v>
      </c>
    </row>
    <row r="919" customFormat="false" ht="15" hidden="false" customHeight="true" outlineLevel="0" collapsed="false">
      <c r="D919" s="25" t="s">
        <v>838</v>
      </c>
      <c r="J919" s="26" t="n">
        <f aca="false">COUNTIF(K901:K905,"NO RATE")+COUNTIF(K901:K905,"OLD RATE")</f>
        <v>0</v>
      </c>
    </row>
    <row r="921" customFormat="false" ht="39.75" hidden="false" customHeight="true" outlineLevel="0" collapsed="false">
      <c r="A921" s="4" t="s">
        <v>284</v>
      </c>
      <c r="B921" s="16" t="s">
        <v>286</v>
      </c>
      <c r="C921" s="16"/>
      <c r="D921" s="16"/>
      <c r="E921" s="16"/>
      <c r="F921" s="16"/>
      <c r="G921" s="16"/>
      <c r="H921" s="16"/>
      <c r="I921" s="16"/>
      <c r="J921" s="4" t="s">
        <v>890</v>
      </c>
      <c r="K921" s="17"/>
    </row>
    <row r="922" customFormat="false" ht="21.75" hidden="false" customHeight="true" outlineLevel="0" collapsed="false">
      <c r="A922" s="12" t="s">
        <v>75</v>
      </c>
      <c r="B922" s="12" t="s">
        <v>789</v>
      </c>
      <c r="C922" s="12" t="s">
        <v>790</v>
      </c>
      <c r="D922" s="12" t="s">
        <v>791</v>
      </c>
      <c r="E922" s="12" t="s">
        <v>81</v>
      </c>
      <c r="F922" s="12" t="s">
        <v>792</v>
      </c>
      <c r="G922" s="12" t="s">
        <v>793</v>
      </c>
      <c r="H922" s="12" t="s">
        <v>794</v>
      </c>
      <c r="I922" s="12" t="s">
        <v>795</v>
      </c>
      <c r="J922" s="12" t="s">
        <v>796</v>
      </c>
      <c r="K922" s="12" t="s">
        <v>797</v>
      </c>
    </row>
    <row r="923" customFormat="false" ht="15" hidden="false" customHeight="true" outlineLevel="0" collapsed="false">
      <c r="A923" s="9" t="s">
        <v>284</v>
      </c>
      <c r="B923" s="9" t="s">
        <v>798</v>
      </c>
      <c r="C923" s="9" t="s">
        <v>976</v>
      </c>
      <c r="D923" s="5" t="s">
        <v>968</v>
      </c>
      <c r="E923" s="9" t="s">
        <v>212</v>
      </c>
      <c r="F923" s="18" t="n">
        <v>1</v>
      </c>
      <c r="G923" s="13" t="n">
        <f aca="false">N(INDEX('05 MATERIAL RATE LIBRARY'!$E$5:$E$400,MATCH("MAT-TIL-CER",'05 MATERIAL RATE LIBRARY'!$A$5:$A$400,0)))</f>
        <v>125</v>
      </c>
      <c r="H923" s="19" t="n">
        <f aca="false">W_Tile</f>
        <v>0.07</v>
      </c>
      <c r="I923" s="18" t="n">
        <f aca="false">F923*(1+H923)</f>
        <v>1.07</v>
      </c>
      <c r="J923" s="13" t="n">
        <f aca="false">I923*G923</f>
        <v>133.75</v>
      </c>
      <c r="K923" s="20" t="str">
        <f aca="false">IF(INDEX('05 MATERIAL RATE LIBRARY'!$M$5:$M$400,MATCH("MAT-TIL-CER",'05 MATERIAL RATE LIBRARY'!$A$5:$A$400,0))=1,"",IF(INDEX('05 MATERIAL RATE LIBRARY'!$M$5:$M$400,MATCH("MAT-TIL-CER",'05 MATERIAL RATE LIBRARY'!$A$5:$A$400,0))=2,"OLD RATE","NO RATE"))</f>
        <v/>
      </c>
    </row>
    <row r="924" customFormat="false" ht="15" hidden="false" customHeight="true" outlineLevel="0" collapsed="false">
      <c r="A924" s="9" t="s">
        <v>284</v>
      </c>
      <c r="B924" s="9" t="s">
        <v>798</v>
      </c>
      <c r="C924" s="9" t="s">
        <v>969</v>
      </c>
      <c r="D924" s="5" t="s">
        <v>970</v>
      </c>
      <c r="E924" s="9" t="s">
        <v>801</v>
      </c>
      <c r="F924" s="18" t="n">
        <f aca="false">1/60</f>
        <v>0.0166666666666667</v>
      </c>
      <c r="G924" s="13" t="n">
        <f aca="false">N(INDEX('05 MATERIAL RATE LIBRARY'!$E$5:$E$400,MATCH("MAT-TADH",'05 MATERIAL RATE LIBRARY'!$A$5:$A$400,0)))</f>
        <v>650</v>
      </c>
      <c r="H924" s="19" t="n">
        <f aca="false">W_Pnt</f>
        <v>0.05</v>
      </c>
      <c r="I924" s="18" t="n">
        <f aca="false">F924*(1+H924)</f>
        <v>0.0175</v>
      </c>
      <c r="J924" s="13" t="n">
        <f aca="false">I924*G924</f>
        <v>11.375</v>
      </c>
      <c r="K924" s="20" t="str">
        <f aca="false">IF(INDEX('05 MATERIAL RATE LIBRARY'!$M$5:$M$400,MATCH("MAT-TADH",'05 MATERIAL RATE LIBRARY'!$A$5:$A$400,0))=1,"",IF(INDEX('05 MATERIAL RATE LIBRARY'!$M$5:$M$400,MATCH("MAT-TADH",'05 MATERIAL RATE LIBRARY'!$A$5:$A$400,0))=2,"OLD RATE","NO RATE"))</f>
        <v/>
      </c>
    </row>
    <row r="925" customFormat="false" ht="15" hidden="false" customHeight="true" outlineLevel="0" collapsed="false">
      <c r="A925" s="9" t="s">
        <v>284</v>
      </c>
      <c r="B925" s="9" t="s">
        <v>798</v>
      </c>
      <c r="C925" s="9" t="s">
        <v>971</v>
      </c>
      <c r="D925" s="5" t="s">
        <v>972</v>
      </c>
      <c r="E925" s="9" t="s">
        <v>198</v>
      </c>
      <c r="F925" s="18" t="n">
        <v>0.02</v>
      </c>
      <c r="G925" s="13" t="n">
        <f aca="false">N(INDEX('05 MATERIAL RATE LIBRARY'!$E$5:$E$400,MATCH("MAT-GRT",'05 MATERIAL RATE LIBRARY'!$A$5:$A$400,0)))</f>
        <v>300</v>
      </c>
      <c r="H925" s="21" t="n">
        <v>0</v>
      </c>
      <c r="I925" s="18" t="n">
        <f aca="false">F925*(1+H925)</f>
        <v>0.02</v>
      </c>
      <c r="J925" s="13" t="n">
        <f aca="false">I925*G925</f>
        <v>6</v>
      </c>
      <c r="K925" s="20" t="str">
        <f aca="false">IF(INDEX('05 MATERIAL RATE LIBRARY'!$M$5:$M$400,MATCH("MAT-GRT",'05 MATERIAL RATE LIBRARY'!$A$5:$A$400,0))=1,"",IF(INDEX('05 MATERIAL RATE LIBRARY'!$M$5:$M$400,MATCH("MAT-GRT",'05 MATERIAL RATE LIBRARY'!$A$5:$A$400,0))=2,"OLD RATE","NO RATE"))</f>
        <v/>
      </c>
    </row>
    <row r="926" customFormat="false" ht="15" hidden="false" customHeight="true" outlineLevel="0" collapsed="false">
      <c r="A926" s="9" t="s">
        <v>284</v>
      </c>
      <c r="B926" s="9" t="s">
        <v>812</v>
      </c>
      <c r="C926" s="9" t="s">
        <v>973</v>
      </c>
      <c r="D926" s="5" t="s">
        <v>974</v>
      </c>
      <c r="E926" s="9" t="s">
        <v>815</v>
      </c>
      <c r="F926" s="18" t="n">
        <f aca="false">'13 PRODUCTIVITY LIBRARY'!E22/'13 PRODUCTIVITY LIBRARY'!D22</f>
        <v>0.00833333333333333</v>
      </c>
      <c r="G926" s="13" t="n">
        <f aca="false">N(INDEX('06 LABOUR RATE LIBRARY'!$D$5:$D$100,MATCH("LAB-TIL",'06 LABOUR RATE LIBRARY'!$A$5:$A$100,0)))</f>
        <v>2500</v>
      </c>
      <c r="H926" s="21" t="n">
        <v>0</v>
      </c>
      <c r="I926" s="18" t="n">
        <f aca="false">F926*(1+H926)</f>
        <v>0.00833333333333333</v>
      </c>
      <c r="J926" s="13" t="n">
        <f aca="false">I926*G926</f>
        <v>20.8333333333333</v>
      </c>
      <c r="K926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927" customFormat="false" ht="15" hidden="false" customHeight="true" outlineLevel="0" collapsed="false">
      <c r="A927" s="9" t="s">
        <v>284</v>
      </c>
      <c r="B927" s="9" t="s">
        <v>812</v>
      </c>
      <c r="C927" s="9" t="s">
        <v>816</v>
      </c>
      <c r="D927" s="5" t="s">
        <v>975</v>
      </c>
      <c r="E927" s="9" t="s">
        <v>815</v>
      </c>
      <c r="F927" s="18" t="n">
        <f aca="false">'13 PRODUCTIVITY LIBRARY'!F22/'13 PRODUCTIVITY LIBRARY'!D22</f>
        <v>0.00833333333333333</v>
      </c>
      <c r="G927" s="13" t="n">
        <f aca="false">N(INDEX('06 LABOUR RATE LIBRARY'!$D$5:$D$100,MATCH("LAB-HLP",'06 LABOUR RATE LIBRARY'!$A$5:$A$100,0)))</f>
        <v>1538</v>
      </c>
      <c r="H927" s="21" t="n">
        <v>0</v>
      </c>
      <c r="I927" s="18" t="n">
        <f aca="false">F927*(1+H927)</f>
        <v>0.00833333333333333</v>
      </c>
      <c r="J927" s="13" t="n">
        <f aca="false">I927*G927</f>
        <v>12.8166666666667</v>
      </c>
      <c r="K92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28" customFormat="false" ht="15" hidden="false" customHeight="true" outlineLevel="0" collapsed="false">
      <c r="D928" s="22" t="s">
        <v>825</v>
      </c>
      <c r="J928" s="23" t="n">
        <f aca="false">SUMPRODUCT((B923:B927="Material")*F923:F927*G923:G927)</f>
        <v>141.833333333333</v>
      </c>
    </row>
    <row r="929" customFormat="false" ht="15" hidden="false" customHeight="true" outlineLevel="0" collapsed="false">
      <c r="D929" s="22" t="s">
        <v>826</v>
      </c>
      <c r="J929" s="23" t="n">
        <f aca="false">SUMIF(B923:B927,"Material",J923:J927)-J928</f>
        <v>9.29166666666666</v>
      </c>
    </row>
    <row r="930" customFormat="false" ht="15" hidden="false" customHeight="true" outlineLevel="0" collapsed="false">
      <c r="D930" s="24" t="s">
        <v>827</v>
      </c>
      <c r="J930" s="14" t="n">
        <f aca="false">SUMIF(B923:B927,"Material",J923:J927)</f>
        <v>151.125</v>
      </c>
    </row>
    <row r="931" customFormat="false" ht="15" hidden="false" customHeight="true" outlineLevel="0" collapsed="false">
      <c r="D931" s="24" t="s">
        <v>828</v>
      </c>
      <c r="J931" s="14" t="n">
        <f aca="false">SUMIF(B923:B927,"Labour",J923:J927)</f>
        <v>33.65</v>
      </c>
    </row>
    <row r="932" customFormat="false" ht="15" hidden="false" customHeight="true" outlineLevel="0" collapsed="false">
      <c r="D932" s="24" t="s">
        <v>829</v>
      </c>
      <c r="J932" s="14" t="n">
        <f aca="false">SUMIF(B923:B927,"Equipment",J923:J927)</f>
        <v>0</v>
      </c>
    </row>
    <row r="933" customFormat="false" ht="15" hidden="false" customHeight="true" outlineLevel="0" collapsed="false">
      <c r="D933" s="24" t="s">
        <v>830</v>
      </c>
      <c r="J933" s="14" t="n">
        <f aca="false">SUMIF(B923:B927,"Transport",J923:J927)</f>
        <v>0</v>
      </c>
    </row>
    <row r="934" customFormat="false" ht="15" hidden="false" customHeight="true" outlineLevel="0" collapsed="false">
      <c r="D934" s="24" t="s">
        <v>831</v>
      </c>
      <c r="J934" s="14" t="n">
        <f aca="false">J930+J931+J932+J933</f>
        <v>184.775</v>
      </c>
    </row>
    <row r="935" customFormat="false" ht="15" hidden="false" customHeight="true" outlineLevel="0" collapsed="false">
      <c r="D935" s="22" t="s">
        <v>832</v>
      </c>
      <c r="J935" s="23" t="n">
        <f aca="false">J934*OH_Site</f>
        <v>5.54325</v>
      </c>
    </row>
    <row r="936" customFormat="false" ht="15" hidden="false" customHeight="true" outlineLevel="0" collapsed="false">
      <c r="D936" s="22" t="s">
        <v>833</v>
      </c>
      <c r="J936" s="23" t="n">
        <f aca="false">J934*OH_HO</f>
        <v>9.23875</v>
      </c>
    </row>
    <row r="937" customFormat="false" ht="15" hidden="false" customHeight="true" outlineLevel="0" collapsed="false">
      <c r="D937" s="22" t="s">
        <v>834</v>
      </c>
      <c r="J937" s="23" t="n">
        <f aca="false">J934*Profit</f>
        <v>18.4775</v>
      </c>
    </row>
    <row r="938" customFormat="false" ht="15" hidden="false" customHeight="true" outlineLevel="0" collapsed="false">
      <c r="D938" s="24" t="s">
        <v>835</v>
      </c>
      <c r="J938" s="14" t="n">
        <f aca="false">J934+J935+J936+J937</f>
        <v>218.0345</v>
      </c>
    </row>
    <row r="939" customFormat="false" ht="15" hidden="false" customHeight="true" outlineLevel="0" collapsed="false">
      <c r="D939" s="22" t="s">
        <v>836</v>
      </c>
      <c r="J939" s="23" t="n">
        <f aca="false">IF(Tax_On="Yes",J938*N(Tax_Rate),0)</f>
        <v>0</v>
      </c>
    </row>
    <row r="940" customFormat="false" ht="15" hidden="false" customHeight="true" outlineLevel="0" collapsed="false">
      <c r="D940" s="24" t="s">
        <v>895</v>
      </c>
      <c r="J940" s="14" t="n">
        <f aca="false">ROUND(J938+J939,0)</f>
        <v>218</v>
      </c>
    </row>
    <row r="941" customFormat="false" ht="15" hidden="false" customHeight="true" outlineLevel="0" collapsed="false">
      <c r="D941" s="25" t="s">
        <v>838</v>
      </c>
      <c r="J941" s="26" t="n">
        <f aca="false">COUNTIF(K923:K927,"NO RATE")+COUNTIF(K923:K927,"OLD RATE")</f>
        <v>0</v>
      </c>
    </row>
    <row r="943" customFormat="false" ht="39.75" hidden="false" customHeight="true" outlineLevel="0" collapsed="false">
      <c r="A943" s="4" t="s">
        <v>287</v>
      </c>
      <c r="B943" s="16" t="s">
        <v>290</v>
      </c>
      <c r="C943" s="16"/>
      <c r="D943" s="16"/>
      <c r="E943" s="16"/>
      <c r="F943" s="16"/>
      <c r="G943" s="16"/>
      <c r="H943" s="16"/>
      <c r="I943" s="16"/>
      <c r="J943" s="4" t="s">
        <v>890</v>
      </c>
      <c r="K943" s="17"/>
    </row>
    <row r="944" customFormat="false" ht="21.75" hidden="false" customHeight="true" outlineLevel="0" collapsed="false">
      <c r="A944" s="12" t="s">
        <v>75</v>
      </c>
      <c r="B944" s="12" t="s">
        <v>789</v>
      </c>
      <c r="C944" s="12" t="s">
        <v>790</v>
      </c>
      <c r="D944" s="12" t="s">
        <v>791</v>
      </c>
      <c r="E944" s="12" t="s">
        <v>81</v>
      </c>
      <c r="F944" s="12" t="s">
        <v>792</v>
      </c>
      <c r="G944" s="12" t="s">
        <v>793</v>
      </c>
      <c r="H944" s="12" t="s">
        <v>794</v>
      </c>
      <c r="I944" s="12" t="s">
        <v>795</v>
      </c>
      <c r="J944" s="12" t="s">
        <v>796</v>
      </c>
      <c r="K944" s="12" t="s">
        <v>797</v>
      </c>
    </row>
    <row r="945" customFormat="false" ht="15" hidden="false" customHeight="true" outlineLevel="0" collapsed="false">
      <c r="A945" s="9" t="s">
        <v>287</v>
      </c>
      <c r="B945" s="9" t="s">
        <v>798</v>
      </c>
      <c r="C945" s="9" t="s">
        <v>976</v>
      </c>
      <c r="D945" s="5" t="s">
        <v>968</v>
      </c>
      <c r="E945" s="9" t="s">
        <v>212</v>
      </c>
      <c r="F945" s="18" t="n">
        <v>1</v>
      </c>
      <c r="G945" s="13" t="n">
        <f aca="false">N(INDEX('05 MATERIAL RATE LIBRARY'!$E$5:$E$400,MATCH("MAT-TIL-CER",'05 MATERIAL RATE LIBRARY'!$A$5:$A$400,0)))</f>
        <v>125</v>
      </c>
      <c r="H945" s="19" t="n">
        <f aca="false">W_Tile</f>
        <v>0.07</v>
      </c>
      <c r="I945" s="18" t="n">
        <f aca="false">F945*(1+H945)</f>
        <v>1.07</v>
      </c>
      <c r="J945" s="13" t="n">
        <f aca="false">I945*G945</f>
        <v>133.75</v>
      </c>
      <c r="K945" s="20" t="str">
        <f aca="false">IF(INDEX('05 MATERIAL RATE LIBRARY'!$M$5:$M$400,MATCH("MAT-TIL-CER",'05 MATERIAL RATE LIBRARY'!$A$5:$A$400,0))=1,"",IF(INDEX('05 MATERIAL RATE LIBRARY'!$M$5:$M$400,MATCH("MAT-TIL-CER",'05 MATERIAL RATE LIBRARY'!$A$5:$A$400,0))=2,"OLD RATE","NO RATE"))</f>
        <v/>
      </c>
    </row>
    <row r="946" customFormat="false" ht="15" hidden="false" customHeight="true" outlineLevel="0" collapsed="false">
      <c r="A946" s="9" t="s">
        <v>287</v>
      </c>
      <c r="B946" s="9" t="s">
        <v>798</v>
      </c>
      <c r="C946" s="9" t="s">
        <v>969</v>
      </c>
      <c r="D946" s="5" t="s">
        <v>977</v>
      </c>
      <c r="E946" s="9" t="s">
        <v>801</v>
      </c>
      <c r="F946" s="18" t="n">
        <f aca="false">1/90</f>
        <v>0.0111111111111111</v>
      </c>
      <c r="G946" s="13" t="n">
        <f aca="false">N(INDEX('05 MATERIAL RATE LIBRARY'!$E$5:$E$400,MATCH("MAT-TADH",'05 MATERIAL RATE LIBRARY'!$A$5:$A$400,0)))</f>
        <v>650</v>
      </c>
      <c r="H946" s="19" t="n">
        <f aca="false">W_Pnt</f>
        <v>0.05</v>
      </c>
      <c r="I946" s="18" t="n">
        <f aca="false">F946*(1+H946)</f>
        <v>0.0116666666666667</v>
      </c>
      <c r="J946" s="13" t="n">
        <f aca="false">I946*G946</f>
        <v>7.58333333333333</v>
      </c>
      <c r="K946" s="20" t="str">
        <f aca="false">IF(INDEX('05 MATERIAL RATE LIBRARY'!$M$5:$M$400,MATCH("MAT-TADH",'05 MATERIAL RATE LIBRARY'!$A$5:$A$400,0))=1,"",IF(INDEX('05 MATERIAL RATE LIBRARY'!$M$5:$M$400,MATCH("MAT-TADH",'05 MATERIAL RATE LIBRARY'!$A$5:$A$400,0))=2,"OLD RATE","NO RATE"))</f>
        <v/>
      </c>
    </row>
    <row r="947" customFormat="false" ht="15" hidden="false" customHeight="true" outlineLevel="0" collapsed="false">
      <c r="A947" s="9" t="s">
        <v>287</v>
      </c>
      <c r="B947" s="9" t="s">
        <v>798</v>
      </c>
      <c r="C947" s="9" t="s">
        <v>971</v>
      </c>
      <c r="D947" s="5" t="s">
        <v>972</v>
      </c>
      <c r="E947" s="9" t="s">
        <v>198</v>
      </c>
      <c r="F947" s="18" t="n">
        <v>0.02</v>
      </c>
      <c r="G947" s="13" t="n">
        <f aca="false">N(INDEX('05 MATERIAL RATE LIBRARY'!$E$5:$E$400,MATCH("MAT-GRT",'05 MATERIAL RATE LIBRARY'!$A$5:$A$400,0)))</f>
        <v>300</v>
      </c>
      <c r="H947" s="21" t="n">
        <v>0</v>
      </c>
      <c r="I947" s="18" t="n">
        <f aca="false">F947*(1+H947)</f>
        <v>0.02</v>
      </c>
      <c r="J947" s="13" t="n">
        <f aca="false">I947*G947</f>
        <v>6</v>
      </c>
      <c r="K947" s="20" t="str">
        <f aca="false">IF(INDEX('05 MATERIAL RATE LIBRARY'!$M$5:$M$400,MATCH("MAT-GRT",'05 MATERIAL RATE LIBRARY'!$A$5:$A$400,0))=1,"",IF(INDEX('05 MATERIAL RATE LIBRARY'!$M$5:$M$400,MATCH("MAT-GRT",'05 MATERIAL RATE LIBRARY'!$A$5:$A$400,0))=2,"OLD RATE","NO RATE"))</f>
        <v/>
      </c>
    </row>
    <row r="948" customFormat="false" ht="15" hidden="false" customHeight="true" outlineLevel="0" collapsed="false">
      <c r="A948" s="9" t="s">
        <v>287</v>
      </c>
      <c r="B948" s="9" t="s">
        <v>812</v>
      </c>
      <c r="C948" s="9" t="s">
        <v>973</v>
      </c>
      <c r="D948" s="5" t="s">
        <v>978</v>
      </c>
      <c r="E948" s="9" t="s">
        <v>815</v>
      </c>
      <c r="F948" s="18" t="n">
        <f aca="false">'13 PRODUCTIVITY LIBRARY'!E23/'13 PRODUCTIVITY LIBRARY'!D23</f>
        <v>0.01</v>
      </c>
      <c r="G948" s="13" t="n">
        <f aca="false">N(INDEX('06 LABOUR RATE LIBRARY'!$D$5:$D$100,MATCH("LAB-TIL",'06 LABOUR RATE LIBRARY'!$A$5:$A$100,0)))</f>
        <v>2500</v>
      </c>
      <c r="H948" s="21" t="n">
        <v>0</v>
      </c>
      <c r="I948" s="18" t="n">
        <f aca="false">F948*(1+H948)</f>
        <v>0.01</v>
      </c>
      <c r="J948" s="13" t="n">
        <f aca="false">I948*G948</f>
        <v>25</v>
      </c>
      <c r="K948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949" customFormat="false" ht="15" hidden="false" customHeight="true" outlineLevel="0" collapsed="false">
      <c r="A949" s="9" t="s">
        <v>287</v>
      </c>
      <c r="B949" s="9" t="s">
        <v>812</v>
      </c>
      <c r="C949" s="9" t="s">
        <v>816</v>
      </c>
      <c r="D949" s="5" t="s">
        <v>979</v>
      </c>
      <c r="E949" s="9" t="s">
        <v>815</v>
      </c>
      <c r="F949" s="18" t="n">
        <f aca="false">'13 PRODUCTIVITY LIBRARY'!F23/'13 PRODUCTIVITY LIBRARY'!D23</f>
        <v>0.01</v>
      </c>
      <c r="G949" s="13" t="n">
        <f aca="false">N(INDEX('06 LABOUR RATE LIBRARY'!$D$5:$D$100,MATCH("LAB-HLP",'06 LABOUR RATE LIBRARY'!$A$5:$A$100,0)))</f>
        <v>1538</v>
      </c>
      <c r="H949" s="21" t="n">
        <v>0</v>
      </c>
      <c r="I949" s="18" t="n">
        <f aca="false">F949*(1+H949)</f>
        <v>0.01</v>
      </c>
      <c r="J949" s="13" t="n">
        <f aca="false">I949*G949</f>
        <v>15.38</v>
      </c>
      <c r="K94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50" customFormat="false" ht="15" hidden="false" customHeight="true" outlineLevel="0" collapsed="false">
      <c r="D950" s="22" t="s">
        <v>825</v>
      </c>
      <c r="J950" s="23" t="n">
        <f aca="false">SUMPRODUCT((B945:B949="Material")*F945:F949*G945:G949)</f>
        <v>138.222222222222</v>
      </c>
    </row>
    <row r="951" customFormat="false" ht="15" hidden="false" customHeight="true" outlineLevel="0" collapsed="false">
      <c r="D951" s="22" t="s">
        <v>826</v>
      </c>
      <c r="J951" s="23" t="n">
        <f aca="false">SUMIF(B945:B949,"Material",J945:J949)-J950</f>
        <v>9.11111111111111</v>
      </c>
    </row>
    <row r="952" customFormat="false" ht="15" hidden="false" customHeight="true" outlineLevel="0" collapsed="false">
      <c r="D952" s="24" t="s">
        <v>827</v>
      </c>
      <c r="J952" s="14" t="n">
        <f aca="false">SUMIF(B945:B949,"Material",J945:J949)</f>
        <v>147.333333333333</v>
      </c>
    </row>
    <row r="953" customFormat="false" ht="15" hidden="false" customHeight="true" outlineLevel="0" collapsed="false">
      <c r="D953" s="24" t="s">
        <v>828</v>
      </c>
      <c r="J953" s="14" t="n">
        <f aca="false">SUMIF(B945:B949,"Labour",J945:J949)</f>
        <v>40.38</v>
      </c>
    </row>
    <row r="954" customFormat="false" ht="15" hidden="false" customHeight="true" outlineLevel="0" collapsed="false">
      <c r="D954" s="24" t="s">
        <v>829</v>
      </c>
      <c r="J954" s="14" t="n">
        <f aca="false">SUMIF(B945:B949,"Equipment",J945:J949)</f>
        <v>0</v>
      </c>
    </row>
    <row r="955" customFormat="false" ht="15" hidden="false" customHeight="true" outlineLevel="0" collapsed="false">
      <c r="D955" s="24" t="s">
        <v>830</v>
      </c>
      <c r="J955" s="14" t="n">
        <f aca="false">SUMIF(B945:B949,"Transport",J945:J949)</f>
        <v>0</v>
      </c>
    </row>
    <row r="956" customFormat="false" ht="15" hidden="false" customHeight="true" outlineLevel="0" collapsed="false">
      <c r="D956" s="24" t="s">
        <v>831</v>
      </c>
      <c r="J956" s="14" t="n">
        <f aca="false">J952+J953+J954+J955</f>
        <v>187.713333333333</v>
      </c>
    </row>
    <row r="957" customFormat="false" ht="15" hidden="false" customHeight="true" outlineLevel="0" collapsed="false">
      <c r="D957" s="22" t="s">
        <v>832</v>
      </c>
      <c r="J957" s="23" t="n">
        <f aca="false">J956*OH_Site</f>
        <v>5.6314</v>
      </c>
    </row>
    <row r="958" customFormat="false" ht="15" hidden="false" customHeight="true" outlineLevel="0" collapsed="false">
      <c r="D958" s="22" t="s">
        <v>833</v>
      </c>
      <c r="J958" s="23" t="n">
        <f aca="false">J956*OH_HO</f>
        <v>9.38566666666667</v>
      </c>
    </row>
    <row r="959" customFormat="false" ht="15" hidden="false" customHeight="true" outlineLevel="0" collapsed="false">
      <c r="D959" s="22" t="s">
        <v>834</v>
      </c>
      <c r="J959" s="23" t="n">
        <f aca="false">J956*Profit</f>
        <v>18.7713333333333</v>
      </c>
    </row>
    <row r="960" customFormat="false" ht="15" hidden="false" customHeight="true" outlineLevel="0" collapsed="false">
      <c r="D960" s="24" t="s">
        <v>835</v>
      </c>
      <c r="J960" s="14" t="n">
        <f aca="false">J956+J957+J958+J959</f>
        <v>221.501733333333</v>
      </c>
    </row>
    <row r="961" customFormat="false" ht="15" hidden="false" customHeight="true" outlineLevel="0" collapsed="false">
      <c r="D961" s="22" t="s">
        <v>836</v>
      </c>
      <c r="J961" s="23" t="n">
        <f aca="false">IF(Tax_On="Yes",J960*N(Tax_Rate),0)</f>
        <v>0</v>
      </c>
    </row>
    <row r="962" customFormat="false" ht="15" hidden="false" customHeight="true" outlineLevel="0" collapsed="false">
      <c r="D962" s="24" t="s">
        <v>895</v>
      </c>
      <c r="J962" s="14" t="n">
        <f aca="false">ROUND(J960+J961,0)</f>
        <v>222</v>
      </c>
    </row>
    <row r="963" customFormat="false" ht="15" hidden="false" customHeight="true" outlineLevel="0" collapsed="false">
      <c r="D963" s="25" t="s">
        <v>838</v>
      </c>
      <c r="J963" s="26" t="n">
        <f aca="false">COUNTIF(K945:K949,"NO RATE")+COUNTIF(K945:K949,"OLD RATE")</f>
        <v>0</v>
      </c>
    </row>
    <row r="965" customFormat="false" ht="39.75" hidden="false" customHeight="true" outlineLevel="0" collapsed="false">
      <c r="A965" s="4" t="s">
        <v>292</v>
      </c>
      <c r="B965" s="16" t="s">
        <v>294</v>
      </c>
      <c r="C965" s="16"/>
      <c r="D965" s="16"/>
      <c r="E965" s="16"/>
      <c r="F965" s="16"/>
      <c r="G965" s="16"/>
      <c r="H965" s="16"/>
      <c r="I965" s="16"/>
      <c r="J965" s="4" t="s">
        <v>890</v>
      </c>
      <c r="K965" s="17"/>
    </row>
    <row r="966" customFormat="false" ht="21.75" hidden="false" customHeight="true" outlineLevel="0" collapsed="false">
      <c r="A966" s="12" t="s">
        <v>75</v>
      </c>
      <c r="B966" s="12" t="s">
        <v>789</v>
      </c>
      <c r="C966" s="12" t="s">
        <v>790</v>
      </c>
      <c r="D966" s="12" t="s">
        <v>791</v>
      </c>
      <c r="E966" s="12" t="s">
        <v>81</v>
      </c>
      <c r="F966" s="12" t="s">
        <v>792</v>
      </c>
      <c r="G966" s="12" t="s">
        <v>793</v>
      </c>
      <c r="H966" s="12" t="s">
        <v>794</v>
      </c>
      <c r="I966" s="12" t="s">
        <v>795</v>
      </c>
      <c r="J966" s="12" t="s">
        <v>796</v>
      </c>
      <c r="K966" s="12" t="s">
        <v>797</v>
      </c>
    </row>
    <row r="967" customFormat="false" ht="15" hidden="false" customHeight="true" outlineLevel="0" collapsed="false">
      <c r="A967" s="9" t="s">
        <v>292</v>
      </c>
      <c r="B967" s="9" t="s">
        <v>798</v>
      </c>
      <c r="C967" s="9" t="s">
        <v>967</v>
      </c>
      <c r="D967" s="5" t="s">
        <v>968</v>
      </c>
      <c r="E967" s="9" t="s">
        <v>212</v>
      </c>
      <c r="F967" s="18" t="n">
        <v>1</v>
      </c>
      <c r="G967" s="13" t="n">
        <f aca="false">N(INDEX('05 MATERIAL RATE LIBRARY'!$E$5:$E$400,MATCH("MAT-TIL-POR",'05 MATERIAL RATE LIBRARY'!$A$5:$A$400,0)))</f>
        <v>209</v>
      </c>
      <c r="H967" s="19" t="n">
        <f aca="false">W_Tile</f>
        <v>0.07</v>
      </c>
      <c r="I967" s="18" t="n">
        <f aca="false">F967*(1+H967)</f>
        <v>1.07</v>
      </c>
      <c r="J967" s="13" t="n">
        <f aca="false">I967*G967</f>
        <v>223.63</v>
      </c>
      <c r="K967" s="20" t="str">
        <f aca="false">IF(INDEX('05 MATERIAL RATE LIBRARY'!$M$5:$M$400,MATCH("MAT-TIL-POR",'05 MATERIAL RATE LIBRARY'!$A$5:$A$400,0))=1,"",IF(INDEX('05 MATERIAL RATE LIBRARY'!$M$5:$M$400,MATCH("MAT-TIL-POR",'05 MATERIAL RATE LIBRARY'!$A$5:$A$400,0))=2,"OLD RATE","NO RATE"))</f>
        <v/>
      </c>
    </row>
    <row r="968" customFormat="false" ht="15" hidden="false" customHeight="true" outlineLevel="0" collapsed="false">
      <c r="A968" s="9" t="s">
        <v>292</v>
      </c>
      <c r="B968" s="9" t="s">
        <v>798</v>
      </c>
      <c r="C968" s="9" t="s">
        <v>969</v>
      </c>
      <c r="D968" s="5" t="s">
        <v>977</v>
      </c>
      <c r="E968" s="9" t="s">
        <v>801</v>
      </c>
      <c r="F968" s="18" t="n">
        <f aca="false">1/90</f>
        <v>0.0111111111111111</v>
      </c>
      <c r="G968" s="13" t="n">
        <f aca="false">N(INDEX('05 MATERIAL RATE LIBRARY'!$E$5:$E$400,MATCH("MAT-TADH",'05 MATERIAL RATE LIBRARY'!$A$5:$A$400,0)))</f>
        <v>650</v>
      </c>
      <c r="H968" s="19" t="n">
        <f aca="false">W_Pnt</f>
        <v>0.05</v>
      </c>
      <c r="I968" s="18" t="n">
        <f aca="false">F968*(1+H968)</f>
        <v>0.0116666666666667</v>
      </c>
      <c r="J968" s="13" t="n">
        <f aca="false">I968*G968</f>
        <v>7.58333333333333</v>
      </c>
      <c r="K968" s="20" t="str">
        <f aca="false">IF(INDEX('05 MATERIAL RATE LIBRARY'!$M$5:$M$400,MATCH("MAT-TADH",'05 MATERIAL RATE LIBRARY'!$A$5:$A$400,0))=1,"",IF(INDEX('05 MATERIAL RATE LIBRARY'!$M$5:$M$400,MATCH("MAT-TADH",'05 MATERIAL RATE LIBRARY'!$A$5:$A$400,0))=2,"OLD RATE","NO RATE"))</f>
        <v/>
      </c>
    </row>
    <row r="969" customFormat="false" ht="15" hidden="false" customHeight="true" outlineLevel="0" collapsed="false">
      <c r="A969" s="9" t="s">
        <v>292</v>
      </c>
      <c r="B969" s="9" t="s">
        <v>798</v>
      </c>
      <c r="C969" s="9" t="s">
        <v>971</v>
      </c>
      <c r="D969" s="5" t="s">
        <v>972</v>
      </c>
      <c r="E969" s="9" t="s">
        <v>198</v>
      </c>
      <c r="F969" s="18" t="n">
        <v>0.02</v>
      </c>
      <c r="G969" s="13" t="n">
        <f aca="false">N(INDEX('05 MATERIAL RATE LIBRARY'!$E$5:$E$400,MATCH("MAT-GRT",'05 MATERIAL RATE LIBRARY'!$A$5:$A$400,0)))</f>
        <v>300</v>
      </c>
      <c r="H969" s="21" t="n">
        <v>0</v>
      </c>
      <c r="I969" s="18" t="n">
        <f aca="false">F969*(1+H969)</f>
        <v>0.02</v>
      </c>
      <c r="J969" s="13" t="n">
        <f aca="false">I969*G969</f>
        <v>6</v>
      </c>
      <c r="K969" s="20" t="str">
        <f aca="false">IF(INDEX('05 MATERIAL RATE LIBRARY'!$M$5:$M$400,MATCH("MAT-GRT",'05 MATERIAL RATE LIBRARY'!$A$5:$A$400,0))=1,"",IF(INDEX('05 MATERIAL RATE LIBRARY'!$M$5:$M$400,MATCH("MAT-GRT",'05 MATERIAL RATE LIBRARY'!$A$5:$A$400,0))=2,"OLD RATE","NO RATE"))</f>
        <v/>
      </c>
    </row>
    <row r="970" customFormat="false" ht="15" hidden="false" customHeight="true" outlineLevel="0" collapsed="false">
      <c r="A970" s="9" t="s">
        <v>292</v>
      </c>
      <c r="B970" s="9" t="s">
        <v>812</v>
      </c>
      <c r="C970" s="9" t="s">
        <v>973</v>
      </c>
      <c r="D970" s="5" t="s">
        <v>978</v>
      </c>
      <c r="E970" s="9" t="s">
        <v>815</v>
      </c>
      <c r="F970" s="18" t="n">
        <f aca="false">'13 PRODUCTIVITY LIBRARY'!E23/'13 PRODUCTIVITY LIBRARY'!D23</f>
        <v>0.01</v>
      </c>
      <c r="G970" s="13" t="n">
        <f aca="false">N(INDEX('06 LABOUR RATE LIBRARY'!$D$5:$D$100,MATCH("LAB-TIL",'06 LABOUR RATE LIBRARY'!$A$5:$A$100,0)))</f>
        <v>2500</v>
      </c>
      <c r="H970" s="21" t="n">
        <v>0</v>
      </c>
      <c r="I970" s="18" t="n">
        <f aca="false">F970*(1+H970)</f>
        <v>0.01</v>
      </c>
      <c r="J970" s="13" t="n">
        <f aca="false">I970*G970</f>
        <v>25</v>
      </c>
      <c r="K970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971" customFormat="false" ht="15" hidden="false" customHeight="true" outlineLevel="0" collapsed="false">
      <c r="A971" s="9" t="s">
        <v>292</v>
      </c>
      <c r="B971" s="9" t="s">
        <v>812</v>
      </c>
      <c r="C971" s="9" t="s">
        <v>816</v>
      </c>
      <c r="D971" s="5" t="s">
        <v>979</v>
      </c>
      <c r="E971" s="9" t="s">
        <v>815</v>
      </c>
      <c r="F971" s="18" t="n">
        <f aca="false">'13 PRODUCTIVITY LIBRARY'!F23/'13 PRODUCTIVITY LIBRARY'!D23</f>
        <v>0.01</v>
      </c>
      <c r="G971" s="13" t="n">
        <f aca="false">N(INDEX('06 LABOUR RATE LIBRARY'!$D$5:$D$100,MATCH("LAB-HLP",'06 LABOUR RATE LIBRARY'!$A$5:$A$100,0)))</f>
        <v>1538</v>
      </c>
      <c r="H971" s="21" t="n">
        <v>0</v>
      </c>
      <c r="I971" s="18" t="n">
        <f aca="false">F971*(1+H971)</f>
        <v>0.01</v>
      </c>
      <c r="J971" s="13" t="n">
        <f aca="false">I971*G971</f>
        <v>15.38</v>
      </c>
      <c r="K97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72" customFormat="false" ht="15" hidden="false" customHeight="true" outlineLevel="0" collapsed="false">
      <c r="D972" s="22" t="s">
        <v>825</v>
      </c>
      <c r="J972" s="23" t="n">
        <f aca="false">SUMPRODUCT((B967:B971="Material")*F967:F971*G967:G971)</f>
        <v>222.222222222222</v>
      </c>
    </row>
    <row r="973" customFormat="false" ht="15" hidden="false" customHeight="true" outlineLevel="0" collapsed="false">
      <c r="D973" s="22" t="s">
        <v>826</v>
      </c>
      <c r="J973" s="23" t="n">
        <f aca="false">SUMIF(B967:B971,"Material",J967:J971)-J972</f>
        <v>14.9911111111111</v>
      </c>
    </row>
    <row r="974" customFormat="false" ht="15" hidden="false" customHeight="true" outlineLevel="0" collapsed="false">
      <c r="D974" s="24" t="s">
        <v>827</v>
      </c>
      <c r="J974" s="14" t="n">
        <f aca="false">SUMIF(B967:B971,"Material",J967:J971)</f>
        <v>237.213333333333</v>
      </c>
    </row>
    <row r="975" customFormat="false" ht="15" hidden="false" customHeight="true" outlineLevel="0" collapsed="false">
      <c r="D975" s="24" t="s">
        <v>828</v>
      </c>
      <c r="J975" s="14" t="n">
        <f aca="false">SUMIF(B967:B971,"Labour",J967:J971)</f>
        <v>40.38</v>
      </c>
    </row>
    <row r="976" customFormat="false" ht="15" hidden="false" customHeight="true" outlineLevel="0" collapsed="false">
      <c r="D976" s="24" t="s">
        <v>829</v>
      </c>
      <c r="J976" s="14" t="n">
        <f aca="false">SUMIF(B967:B971,"Equipment",J967:J971)</f>
        <v>0</v>
      </c>
    </row>
    <row r="977" customFormat="false" ht="15" hidden="false" customHeight="true" outlineLevel="0" collapsed="false">
      <c r="D977" s="24" t="s">
        <v>830</v>
      </c>
      <c r="J977" s="14" t="n">
        <f aca="false">SUMIF(B967:B971,"Transport",J967:J971)</f>
        <v>0</v>
      </c>
    </row>
    <row r="978" customFormat="false" ht="15" hidden="false" customHeight="true" outlineLevel="0" collapsed="false">
      <c r="D978" s="24" t="s">
        <v>831</v>
      </c>
      <c r="J978" s="14" t="n">
        <f aca="false">J974+J975+J976+J977</f>
        <v>277.593333333333</v>
      </c>
    </row>
    <row r="979" customFormat="false" ht="15" hidden="false" customHeight="true" outlineLevel="0" collapsed="false">
      <c r="D979" s="22" t="s">
        <v>832</v>
      </c>
      <c r="J979" s="23" t="n">
        <f aca="false">J978*OH_Site</f>
        <v>8.3278</v>
      </c>
    </row>
    <row r="980" customFormat="false" ht="15" hidden="false" customHeight="true" outlineLevel="0" collapsed="false">
      <c r="D980" s="22" t="s">
        <v>833</v>
      </c>
      <c r="J980" s="23" t="n">
        <f aca="false">J978*OH_HO</f>
        <v>13.8796666666667</v>
      </c>
    </row>
    <row r="981" customFormat="false" ht="15" hidden="false" customHeight="true" outlineLevel="0" collapsed="false">
      <c r="D981" s="22" t="s">
        <v>834</v>
      </c>
      <c r="J981" s="23" t="n">
        <f aca="false">J978*Profit</f>
        <v>27.7593333333333</v>
      </c>
    </row>
    <row r="982" customFormat="false" ht="15" hidden="false" customHeight="true" outlineLevel="0" collapsed="false">
      <c r="D982" s="24" t="s">
        <v>835</v>
      </c>
      <c r="J982" s="14" t="n">
        <f aca="false">J978+J979+J980+J981</f>
        <v>327.560133333333</v>
      </c>
    </row>
    <row r="983" customFormat="false" ht="15" hidden="false" customHeight="true" outlineLevel="0" collapsed="false">
      <c r="D983" s="22" t="s">
        <v>836</v>
      </c>
      <c r="J983" s="23" t="n">
        <f aca="false">IF(Tax_On="Yes",J982*N(Tax_Rate),0)</f>
        <v>0</v>
      </c>
    </row>
    <row r="984" customFormat="false" ht="15" hidden="false" customHeight="true" outlineLevel="0" collapsed="false">
      <c r="D984" s="24" t="s">
        <v>895</v>
      </c>
      <c r="J984" s="14" t="n">
        <f aca="false">ROUND(J982+J983,0)</f>
        <v>328</v>
      </c>
    </row>
    <row r="985" customFormat="false" ht="15" hidden="false" customHeight="true" outlineLevel="0" collapsed="false">
      <c r="D985" s="25" t="s">
        <v>838</v>
      </c>
      <c r="J985" s="26" t="n">
        <f aca="false">COUNTIF(K967:K971,"NO RATE")+COUNTIF(K967:K971,"OLD RATE")</f>
        <v>0</v>
      </c>
    </row>
    <row r="987" customFormat="false" ht="39.75" hidden="false" customHeight="true" outlineLevel="0" collapsed="false">
      <c r="A987" s="4" t="s">
        <v>295</v>
      </c>
      <c r="B987" s="16" t="s">
        <v>297</v>
      </c>
      <c r="C987" s="16"/>
      <c r="D987" s="16"/>
      <c r="E987" s="16"/>
      <c r="F987" s="16"/>
      <c r="G987" s="16"/>
      <c r="H987" s="16"/>
      <c r="I987" s="16"/>
      <c r="J987" s="4" t="s">
        <v>890</v>
      </c>
      <c r="K987" s="17"/>
    </row>
    <row r="988" customFormat="false" ht="21.75" hidden="false" customHeight="true" outlineLevel="0" collapsed="false">
      <c r="A988" s="12" t="s">
        <v>75</v>
      </c>
      <c r="B988" s="12" t="s">
        <v>789</v>
      </c>
      <c r="C988" s="12" t="s">
        <v>790</v>
      </c>
      <c r="D988" s="12" t="s">
        <v>791</v>
      </c>
      <c r="E988" s="12" t="s">
        <v>81</v>
      </c>
      <c r="F988" s="12" t="s">
        <v>792</v>
      </c>
      <c r="G988" s="12" t="s">
        <v>793</v>
      </c>
      <c r="H988" s="12" t="s">
        <v>794</v>
      </c>
      <c r="I988" s="12" t="s">
        <v>795</v>
      </c>
      <c r="J988" s="12" t="s">
        <v>796</v>
      </c>
      <c r="K988" s="12" t="s">
        <v>797</v>
      </c>
    </row>
    <row r="989" customFormat="false" ht="15" hidden="false" customHeight="true" outlineLevel="0" collapsed="false">
      <c r="A989" s="9" t="s">
        <v>295</v>
      </c>
      <c r="B989" s="9" t="s">
        <v>798</v>
      </c>
      <c r="C989" s="9" t="s">
        <v>980</v>
      </c>
      <c r="D989" s="5" t="s">
        <v>981</v>
      </c>
      <c r="E989" s="9" t="s">
        <v>212</v>
      </c>
      <c r="F989" s="18" t="n">
        <v>1</v>
      </c>
      <c r="G989" s="13" t="n">
        <f aca="false">N(INDEX('05 MATERIAL RATE LIBRARY'!$E$5:$E$400,MATCH("MAT-MBL-ZW",'05 MATERIAL RATE LIBRARY'!$A$5:$A$400,0)))</f>
        <v>337.5</v>
      </c>
      <c r="H989" s="19" t="n">
        <f aca="false">W_Stone</f>
        <v>0.07</v>
      </c>
      <c r="I989" s="18" t="n">
        <f aca="false">F989*(1+H989)</f>
        <v>1.07</v>
      </c>
      <c r="J989" s="13" t="n">
        <f aca="false">I989*G989</f>
        <v>361.125</v>
      </c>
      <c r="K989" s="20" t="str">
        <f aca="false">IF(INDEX('05 MATERIAL RATE LIBRARY'!$M$5:$M$400,MATCH("MAT-MBL-ZW",'05 MATERIAL RATE LIBRARY'!$A$5:$A$400,0))=1,"",IF(INDEX('05 MATERIAL RATE LIBRARY'!$M$5:$M$400,MATCH("MAT-MBL-ZW",'05 MATERIAL RATE LIBRARY'!$A$5:$A$400,0))=2,"OLD RATE","NO RATE"))</f>
        <v/>
      </c>
    </row>
    <row r="990" customFormat="false" ht="15" hidden="false" customHeight="true" outlineLevel="0" collapsed="false">
      <c r="A990" s="9" t="s">
        <v>295</v>
      </c>
      <c r="B990" s="9" t="s">
        <v>798</v>
      </c>
      <c r="C990" s="9" t="s">
        <v>799</v>
      </c>
      <c r="D990" s="5" t="s">
        <v>982</v>
      </c>
      <c r="E990" s="9" t="s">
        <v>801</v>
      </c>
      <c r="F990" s="18" t="n">
        <f aca="false">0.0833*DryF_Mortar/5/Bag_cft+0.005</f>
        <v>0.0223264</v>
      </c>
      <c r="G990" s="13" t="n">
        <f aca="false">N(INDEX('05 MATERIAL RATE LIBRARY'!$E$5:$E$400,MATCH("MAT-CEM-OPC",'05 MATERIAL RATE LIBRARY'!$A$5:$A$400,0)))</f>
        <v>1575</v>
      </c>
      <c r="H990" s="19" t="n">
        <f aca="false">W_Cem</f>
        <v>0.02</v>
      </c>
      <c r="I990" s="18" t="n">
        <f aca="false">F990*(1+H990)</f>
        <v>0.022772928</v>
      </c>
      <c r="J990" s="13" t="n">
        <f aca="false">I990*G990</f>
        <v>35.8673616</v>
      </c>
      <c r="K990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991" customFormat="false" ht="15" hidden="false" customHeight="true" outlineLevel="0" collapsed="false">
      <c r="A991" s="9" t="s">
        <v>295</v>
      </c>
      <c r="B991" s="9" t="s">
        <v>798</v>
      </c>
      <c r="C991" s="9" t="s">
        <v>864</v>
      </c>
      <c r="D991" s="5" t="s">
        <v>983</v>
      </c>
      <c r="E991" s="9" t="s">
        <v>109</v>
      </c>
      <c r="F991" s="18" t="n">
        <f aca="false">0.0833*DryF_Mortar*4/5</f>
        <v>0.086632</v>
      </c>
      <c r="G991" s="13" t="n">
        <f aca="false">N(INDEX('05 MATERIAL RATE LIBRARY'!$E$5:$E$400,MATCH("MAT-SND-CHN",'05 MATERIAL RATE LIBRARY'!$A$5:$A$400,0)))</f>
        <v>80</v>
      </c>
      <c r="H991" s="19" t="n">
        <f aca="false">W_Agg</f>
        <v>0.05</v>
      </c>
      <c r="I991" s="18" t="n">
        <f aca="false">F991*(1+H991)</f>
        <v>0.0909636</v>
      </c>
      <c r="J991" s="13" t="n">
        <f aca="false">I991*G991</f>
        <v>7.277088</v>
      </c>
      <c r="K991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992" customFormat="false" ht="15" hidden="false" customHeight="true" outlineLevel="0" collapsed="false">
      <c r="A992" s="9" t="s">
        <v>295</v>
      </c>
      <c r="B992" s="9" t="s">
        <v>812</v>
      </c>
      <c r="C992" s="9" t="s">
        <v>973</v>
      </c>
      <c r="D992" s="5" t="s">
        <v>984</v>
      </c>
      <c r="E992" s="9" t="s">
        <v>815</v>
      </c>
      <c r="F992" s="18" t="n">
        <f aca="false">'13 PRODUCTIVITY LIBRARY'!E24/'13 PRODUCTIVITY LIBRARY'!D24</f>
        <v>0.0125</v>
      </c>
      <c r="G992" s="13" t="n">
        <f aca="false">N(INDEX('06 LABOUR RATE LIBRARY'!$D$5:$D$100,MATCH("LAB-TIL",'06 LABOUR RATE LIBRARY'!$A$5:$A$100,0)))</f>
        <v>2500</v>
      </c>
      <c r="H992" s="21" t="n">
        <v>0</v>
      </c>
      <c r="I992" s="18" t="n">
        <f aca="false">F992*(1+H992)</f>
        <v>0.0125</v>
      </c>
      <c r="J992" s="13" t="n">
        <f aca="false">I992*G992</f>
        <v>31.25</v>
      </c>
      <c r="K992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993" customFormat="false" ht="15" hidden="false" customHeight="true" outlineLevel="0" collapsed="false">
      <c r="A993" s="9" t="s">
        <v>295</v>
      </c>
      <c r="B993" s="9" t="s">
        <v>812</v>
      </c>
      <c r="C993" s="9" t="s">
        <v>816</v>
      </c>
      <c r="D993" s="5" t="s">
        <v>985</v>
      </c>
      <c r="E993" s="9" t="s">
        <v>815</v>
      </c>
      <c r="F993" s="18" t="n">
        <f aca="false">'13 PRODUCTIVITY LIBRARY'!F24/'13 PRODUCTIVITY LIBRARY'!D24</f>
        <v>0.0125</v>
      </c>
      <c r="G993" s="13" t="n">
        <f aca="false">N(INDEX('06 LABOUR RATE LIBRARY'!$D$5:$D$100,MATCH("LAB-HLP",'06 LABOUR RATE LIBRARY'!$A$5:$A$100,0)))</f>
        <v>1538</v>
      </c>
      <c r="H993" s="21" t="n">
        <v>0</v>
      </c>
      <c r="I993" s="18" t="n">
        <f aca="false">F993*(1+H993)</f>
        <v>0.0125</v>
      </c>
      <c r="J993" s="13" t="n">
        <f aca="false">I993*G993</f>
        <v>19.225</v>
      </c>
      <c r="K99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994" customFormat="false" ht="15" hidden="false" customHeight="true" outlineLevel="0" collapsed="false">
      <c r="D994" s="22" t="s">
        <v>825</v>
      </c>
      <c r="J994" s="23" t="n">
        <f aca="false">SUMPRODUCT((B989:B993="Material")*F989:F993*G989:G993)</f>
        <v>379.59464</v>
      </c>
    </row>
    <row r="995" customFormat="false" ht="15" hidden="false" customHeight="true" outlineLevel="0" collapsed="false">
      <c r="D995" s="22" t="s">
        <v>826</v>
      </c>
      <c r="J995" s="23" t="n">
        <f aca="false">SUMIF(B989:B993,"Material",J989:J993)-J994</f>
        <v>24.6748096</v>
      </c>
    </row>
    <row r="996" customFormat="false" ht="15" hidden="false" customHeight="true" outlineLevel="0" collapsed="false">
      <c r="D996" s="24" t="s">
        <v>827</v>
      </c>
      <c r="J996" s="14" t="n">
        <f aca="false">SUMIF(B989:B993,"Material",J989:J993)</f>
        <v>404.2694496</v>
      </c>
    </row>
    <row r="997" customFormat="false" ht="15" hidden="false" customHeight="true" outlineLevel="0" collapsed="false">
      <c r="D997" s="24" t="s">
        <v>828</v>
      </c>
      <c r="J997" s="14" t="n">
        <f aca="false">SUMIF(B989:B993,"Labour",J989:J993)</f>
        <v>50.475</v>
      </c>
    </row>
    <row r="998" customFormat="false" ht="15" hidden="false" customHeight="true" outlineLevel="0" collapsed="false">
      <c r="D998" s="24" t="s">
        <v>829</v>
      </c>
      <c r="J998" s="14" t="n">
        <f aca="false">SUMIF(B989:B993,"Equipment",J989:J993)</f>
        <v>0</v>
      </c>
    </row>
    <row r="999" customFormat="false" ht="15" hidden="false" customHeight="true" outlineLevel="0" collapsed="false">
      <c r="D999" s="24" t="s">
        <v>830</v>
      </c>
      <c r="J999" s="14" t="n">
        <f aca="false">SUMIF(B989:B993,"Transport",J989:J993)</f>
        <v>0</v>
      </c>
    </row>
    <row r="1000" customFormat="false" ht="15" hidden="false" customHeight="true" outlineLevel="0" collapsed="false">
      <c r="D1000" s="24" t="s">
        <v>831</v>
      </c>
      <c r="J1000" s="14" t="n">
        <f aca="false">J996+J997+J998+J999</f>
        <v>454.7444496</v>
      </c>
    </row>
    <row r="1001" customFormat="false" ht="15" hidden="false" customHeight="true" outlineLevel="0" collapsed="false">
      <c r="D1001" s="22" t="s">
        <v>832</v>
      </c>
      <c r="J1001" s="23" t="n">
        <f aca="false">J1000*OH_Site</f>
        <v>13.642333488</v>
      </c>
    </row>
    <row r="1002" customFormat="false" ht="15" hidden="false" customHeight="true" outlineLevel="0" collapsed="false">
      <c r="D1002" s="22" t="s">
        <v>833</v>
      </c>
      <c r="J1002" s="23" t="n">
        <f aca="false">J1000*OH_HO</f>
        <v>22.73722248</v>
      </c>
    </row>
    <row r="1003" customFormat="false" ht="15" hidden="false" customHeight="true" outlineLevel="0" collapsed="false">
      <c r="D1003" s="22" t="s">
        <v>834</v>
      </c>
      <c r="J1003" s="23" t="n">
        <f aca="false">J1000*Profit</f>
        <v>45.47444496</v>
      </c>
    </row>
    <row r="1004" customFormat="false" ht="15" hidden="false" customHeight="true" outlineLevel="0" collapsed="false">
      <c r="D1004" s="24" t="s">
        <v>835</v>
      </c>
      <c r="J1004" s="14" t="n">
        <f aca="false">J1000+J1001+J1002+J1003</f>
        <v>536.598450528</v>
      </c>
    </row>
    <row r="1005" customFormat="false" ht="15" hidden="false" customHeight="true" outlineLevel="0" collapsed="false">
      <c r="D1005" s="22" t="s">
        <v>836</v>
      </c>
      <c r="J1005" s="23" t="n">
        <f aca="false">IF(Tax_On="Yes",J1004*N(Tax_Rate),0)</f>
        <v>0</v>
      </c>
    </row>
    <row r="1006" customFormat="false" ht="15" hidden="false" customHeight="true" outlineLevel="0" collapsed="false">
      <c r="D1006" s="24" t="s">
        <v>895</v>
      </c>
      <c r="J1006" s="14" t="n">
        <f aca="false">ROUND(J1004+J1005,0)</f>
        <v>537</v>
      </c>
    </row>
    <row r="1007" customFormat="false" ht="15" hidden="false" customHeight="true" outlineLevel="0" collapsed="false">
      <c r="D1007" s="25" t="s">
        <v>838</v>
      </c>
      <c r="J1007" s="26" t="n">
        <f aca="false">COUNTIF(K989:K993,"NO RATE")+COUNTIF(K989:K993,"OLD RATE")</f>
        <v>0</v>
      </c>
    </row>
    <row r="1009" customFormat="false" ht="39.75" hidden="false" customHeight="true" outlineLevel="0" collapsed="false">
      <c r="A1009" s="4" t="s">
        <v>300</v>
      </c>
      <c r="B1009" s="16" t="s">
        <v>302</v>
      </c>
      <c r="C1009" s="16"/>
      <c r="D1009" s="16"/>
      <c r="E1009" s="16"/>
      <c r="F1009" s="16"/>
      <c r="G1009" s="16"/>
      <c r="H1009" s="16"/>
      <c r="I1009" s="16"/>
      <c r="J1009" s="4" t="s">
        <v>890</v>
      </c>
      <c r="K1009" s="17"/>
    </row>
    <row r="1010" customFormat="false" ht="21.75" hidden="false" customHeight="true" outlineLevel="0" collapsed="false">
      <c r="A1010" s="12" t="s">
        <v>75</v>
      </c>
      <c r="B1010" s="12" t="s">
        <v>789</v>
      </c>
      <c r="C1010" s="12" t="s">
        <v>790</v>
      </c>
      <c r="D1010" s="12" t="s">
        <v>791</v>
      </c>
      <c r="E1010" s="12" t="s">
        <v>81</v>
      </c>
      <c r="F1010" s="12" t="s">
        <v>792</v>
      </c>
      <c r="G1010" s="12" t="s">
        <v>793</v>
      </c>
      <c r="H1010" s="12" t="s">
        <v>794</v>
      </c>
      <c r="I1010" s="12" t="s">
        <v>795</v>
      </c>
      <c r="J1010" s="12" t="s">
        <v>796</v>
      </c>
      <c r="K1010" s="12" t="s">
        <v>797</v>
      </c>
    </row>
    <row r="1011" customFormat="false" ht="15" hidden="false" customHeight="true" outlineLevel="0" collapsed="false">
      <c r="A1011" s="9" t="s">
        <v>300</v>
      </c>
      <c r="B1011" s="9" t="s">
        <v>798</v>
      </c>
      <c r="C1011" s="9" t="s">
        <v>986</v>
      </c>
      <c r="D1011" s="5" t="s">
        <v>981</v>
      </c>
      <c r="E1011" s="9" t="s">
        <v>212</v>
      </c>
      <c r="F1011" s="18" t="n">
        <v>1</v>
      </c>
      <c r="G1011" s="13" t="n">
        <f aca="false">N(INDEX('05 MATERIAL RATE LIBRARY'!$E$5:$E$400,MATCH("MAT-MBL-TV",'05 MATERIAL RATE LIBRARY'!$A$5:$A$400,0)))</f>
        <v>92.5</v>
      </c>
      <c r="H1011" s="19" t="n">
        <f aca="false">W_Stone</f>
        <v>0.07</v>
      </c>
      <c r="I1011" s="18" t="n">
        <f aca="false">F1011*(1+H1011)</f>
        <v>1.07</v>
      </c>
      <c r="J1011" s="13" t="n">
        <f aca="false">I1011*G1011</f>
        <v>98.975</v>
      </c>
      <c r="K1011" s="20" t="str">
        <f aca="false">IF(INDEX('05 MATERIAL RATE LIBRARY'!$M$5:$M$400,MATCH("MAT-MBL-TV",'05 MATERIAL RATE LIBRARY'!$A$5:$A$400,0))=1,"",IF(INDEX('05 MATERIAL RATE LIBRARY'!$M$5:$M$400,MATCH("MAT-MBL-TV",'05 MATERIAL RATE LIBRARY'!$A$5:$A$400,0))=2,"OLD RATE","NO RATE"))</f>
        <v/>
      </c>
    </row>
    <row r="1012" customFormat="false" ht="15" hidden="false" customHeight="true" outlineLevel="0" collapsed="false">
      <c r="A1012" s="9" t="s">
        <v>300</v>
      </c>
      <c r="B1012" s="9" t="s">
        <v>798</v>
      </c>
      <c r="C1012" s="9" t="s">
        <v>799</v>
      </c>
      <c r="D1012" s="5" t="s">
        <v>982</v>
      </c>
      <c r="E1012" s="9" t="s">
        <v>801</v>
      </c>
      <c r="F1012" s="18" t="n">
        <f aca="false">0.0833*DryF_Mortar/5/Bag_cft+0.005</f>
        <v>0.0223264</v>
      </c>
      <c r="G1012" s="13" t="n">
        <f aca="false">N(INDEX('05 MATERIAL RATE LIBRARY'!$E$5:$E$400,MATCH("MAT-CEM-OPC",'05 MATERIAL RATE LIBRARY'!$A$5:$A$400,0)))</f>
        <v>1575</v>
      </c>
      <c r="H1012" s="19" t="n">
        <f aca="false">W_Cem</f>
        <v>0.02</v>
      </c>
      <c r="I1012" s="18" t="n">
        <f aca="false">F1012*(1+H1012)</f>
        <v>0.022772928</v>
      </c>
      <c r="J1012" s="13" t="n">
        <f aca="false">I1012*G1012</f>
        <v>35.8673616</v>
      </c>
      <c r="K1012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013" customFormat="false" ht="15" hidden="false" customHeight="true" outlineLevel="0" collapsed="false">
      <c r="A1013" s="9" t="s">
        <v>300</v>
      </c>
      <c r="B1013" s="9" t="s">
        <v>798</v>
      </c>
      <c r="C1013" s="9" t="s">
        <v>864</v>
      </c>
      <c r="D1013" s="5" t="s">
        <v>983</v>
      </c>
      <c r="E1013" s="9" t="s">
        <v>109</v>
      </c>
      <c r="F1013" s="18" t="n">
        <f aca="false">0.0833*DryF_Mortar*4/5</f>
        <v>0.086632</v>
      </c>
      <c r="G1013" s="13" t="n">
        <f aca="false">N(INDEX('05 MATERIAL RATE LIBRARY'!$E$5:$E$400,MATCH("MAT-SND-CHN",'05 MATERIAL RATE LIBRARY'!$A$5:$A$400,0)))</f>
        <v>80</v>
      </c>
      <c r="H1013" s="19" t="n">
        <f aca="false">W_Agg</f>
        <v>0.05</v>
      </c>
      <c r="I1013" s="18" t="n">
        <f aca="false">F1013*(1+H1013)</f>
        <v>0.0909636</v>
      </c>
      <c r="J1013" s="13" t="n">
        <f aca="false">I1013*G1013</f>
        <v>7.277088</v>
      </c>
      <c r="K1013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1014" customFormat="false" ht="15" hidden="false" customHeight="true" outlineLevel="0" collapsed="false">
      <c r="A1014" s="9" t="s">
        <v>300</v>
      </c>
      <c r="B1014" s="9" t="s">
        <v>812</v>
      </c>
      <c r="C1014" s="9" t="s">
        <v>973</v>
      </c>
      <c r="D1014" s="5" t="s">
        <v>984</v>
      </c>
      <c r="E1014" s="9" t="s">
        <v>815</v>
      </c>
      <c r="F1014" s="18" t="n">
        <f aca="false">'13 PRODUCTIVITY LIBRARY'!E24/'13 PRODUCTIVITY LIBRARY'!D24</f>
        <v>0.0125</v>
      </c>
      <c r="G1014" s="13" t="n">
        <f aca="false">N(INDEX('06 LABOUR RATE LIBRARY'!$D$5:$D$100,MATCH("LAB-TIL",'06 LABOUR RATE LIBRARY'!$A$5:$A$100,0)))</f>
        <v>2500</v>
      </c>
      <c r="H1014" s="21" t="n">
        <v>0</v>
      </c>
      <c r="I1014" s="18" t="n">
        <f aca="false">F1014*(1+H1014)</f>
        <v>0.0125</v>
      </c>
      <c r="J1014" s="13" t="n">
        <f aca="false">I1014*G1014</f>
        <v>31.25</v>
      </c>
      <c r="K1014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1015" customFormat="false" ht="15" hidden="false" customHeight="true" outlineLevel="0" collapsed="false">
      <c r="A1015" s="9" t="s">
        <v>300</v>
      </c>
      <c r="B1015" s="9" t="s">
        <v>812</v>
      </c>
      <c r="C1015" s="9" t="s">
        <v>816</v>
      </c>
      <c r="D1015" s="5" t="s">
        <v>985</v>
      </c>
      <c r="E1015" s="9" t="s">
        <v>815</v>
      </c>
      <c r="F1015" s="18" t="n">
        <f aca="false">'13 PRODUCTIVITY LIBRARY'!F24/'13 PRODUCTIVITY LIBRARY'!D24</f>
        <v>0.0125</v>
      </c>
      <c r="G1015" s="13" t="n">
        <f aca="false">N(INDEX('06 LABOUR RATE LIBRARY'!$D$5:$D$100,MATCH("LAB-HLP",'06 LABOUR RATE LIBRARY'!$A$5:$A$100,0)))</f>
        <v>1538</v>
      </c>
      <c r="H1015" s="21" t="n">
        <v>0</v>
      </c>
      <c r="I1015" s="18" t="n">
        <f aca="false">F1015*(1+H1015)</f>
        <v>0.0125</v>
      </c>
      <c r="J1015" s="13" t="n">
        <f aca="false">I1015*G1015</f>
        <v>19.225</v>
      </c>
      <c r="K101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016" customFormat="false" ht="15" hidden="false" customHeight="true" outlineLevel="0" collapsed="false">
      <c r="D1016" s="22" t="s">
        <v>825</v>
      </c>
      <c r="J1016" s="23" t="n">
        <f aca="false">SUMPRODUCT((B1011:B1015="Material")*F1011:F1015*G1011:G1015)</f>
        <v>134.59464</v>
      </c>
    </row>
    <row r="1017" customFormat="false" ht="15" hidden="false" customHeight="true" outlineLevel="0" collapsed="false">
      <c r="D1017" s="22" t="s">
        <v>826</v>
      </c>
      <c r="J1017" s="23" t="n">
        <f aca="false">SUMIF(B1011:B1015,"Material",J1011:J1015)-J1016</f>
        <v>7.52480960000003</v>
      </c>
    </row>
    <row r="1018" customFormat="false" ht="15" hidden="false" customHeight="true" outlineLevel="0" collapsed="false">
      <c r="D1018" s="24" t="s">
        <v>827</v>
      </c>
      <c r="J1018" s="14" t="n">
        <f aca="false">SUMIF(B1011:B1015,"Material",J1011:J1015)</f>
        <v>142.1194496</v>
      </c>
    </row>
    <row r="1019" customFormat="false" ht="15" hidden="false" customHeight="true" outlineLevel="0" collapsed="false">
      <c r="D1019" s="24" t="s">
        <v>828</v>
      </c>
      <c r="J1019" s="14" t="n">
        <f aca="false">SUMIF(B1011:B1015,"Labour",J1011:J1015)</f>
        <v>50.475</v>
      </c>
    </row>
    <row r="1020" customFormat="false" ht="15" hidden="false" customHeight="true" outlineLevel="0" collapsed="false">
      <c r="D1020" s="24" t="s">
        <v>829</v>
      </c>
      <c r="J1020" s="14" t="n">
        <f aca="false">SUMIF(B1011:B1015,"Equipment",J1011:J1015)</f>
        <v>0</v>
      </c>
    </row>
    <row r="1021" customFormat="false" ht="15" hidden="false" customHeight="true" outlineLevel="0" collapsed="false">
      <c r="D1021" s="24" t="s">
        <v>830</v>
      </c>
      <c r="J1021" s="14" t="n">
        <f aca="false">SUMIF(B1011:B1015,"Transport",J1011:J1015)</f>
        <v>0</v>
      </c>
    </row>
    <row r="1022" customFormat="false" ht="15" hidden="false" customHeight="true" outlineLevel="0" collapsed="false">
      <c r="D1022" s="24" t="s">
        <v>831</v>
      </c>
      <c r="J1022" s="14" t="n">
        <f aca="false">J1018+J1019+J1020+J1021</f>
        <v>192.5944496</v>
      </c>
    </row>
    <row r="1023" customFormat="false" ht="15" hidden="false" customHeight="true" outlineLevel="0" collapsed="false">
      <c r="D1023" s="22" t="s">
        <v>832</v>
      </c>
      <c r="J1023" s="23" t="n">
        <f aca="false">J1022*OH_Site</f>
        <v>5.777833488</v>
      </c>
    </row>
    <row r="1024" customFormat="false" ht="15" hidden="false" customHeight="true" outlineLevel="0" collapsed="false">
      <c r="D1024" s="22" t="s">
        <v>833</v>
      </c>
      <c r="J1024" s="23" t="n">
        <f aca="false">J1022*OH_HO</f>
        <v>9.62972248</v>
      </c>
    </row>
    <row r="1025" customFormat="false" ht="15" hidden="false" customHeight="true" outlineLevel="0" collapsed="false">
      <c r="D1025" s="22" t="s">
        <v>834</v>
      </c>
      <c r="J1025" s="23" t="n">
        <f aca="false">J1022*Profit</f>
        <v>19.25944496</v>
      </c>
    </row>
    <row r="1026" customFormat="false" ht="15" hidden="false" customHeight="true" outlineLevel="0" collapsed="false">
      <c r="D1026" s="24" t="s">
        <v>835</v>
      </c>
      <c r="J1026" s="14" t="n">
        <f aca="false">J1022+J1023+J1024+J1025</f>
        <v>227.261450528</v>
      </c>
    </row>
    <row r="1027" customFormat="false" ht="15" hidden="false" customHeight="true" outlineLevel="0" collapsed="false">
      <c r="D1027" s="22" t="s">
        <v>836</v>
      </c>
      <c r="J1027" s="23" t="n">
        <f aca="false">IF(Tax_On="Yes",J1026*N(Tax_Rate),0)</f>
        <v>0</v>
      </c>
    </row>
    <row r="1028" customFormat="false" ht="15" hidden="false" customHeight="true" outlineLevel="0" collapsed="false">
      <c r="D1028" s="24" t="s">
        <v>895</v>
      </c>
      <c r="J1028" s="14" t="n">
        <f aca="false">ROUND(J1026+J1027,0)</f>
        <v>227</v>
      </c>
    </row>
    <row r="1029" customFormat="false" ht="15" hidden="false" customHeight="true" outlineLevel="0" collapsed="false">
      <c r="D1029" s="25" t="s">
        <v>838</v>
      </c>
      <c r="J1029" s="26" t="n">
        <f aca="false">COUNTIF(K1011:K1015,"NO RATE")+COUNTIF(K1011:K1015,"OLD RATE")</f>
        <v>0</v>
      </c>
    </row>
    <row r="1031" customFormat="false" ht="39.75" hidden="false" customHeight="true" outlineLevel="0" collapsed="false">
      <c r="A1031" s="4" t="s">
        <v>303</v>
      </c>
      <c r="B1031" s="16" t="s">
        <v>306</v>
      </c>
      <c r="C1031" s="16"/>
      <c r="D1031" s="16"/>
      <c r="E1031" s="16"/>
      <c r="F1031" s="16"/>
      <c r="G1031" s="16"/>
      <c r="H1031" s="16"/>
      <c r="I1031" s="16"/>
      <c r="J1031" s="4" t="s">
        <v>890</v>
      </c>
      <c r="K1031" s="17"/>
    </row>
    <row r="1032" customFormat="false" ht="21.75" hidden="false" customHeight="true" outlineLevel="0" collapsed="false">
      <c r="A1032" s="12" t="s">
        <v>75</v>
      </c>
      <c r="B1032" s="12" t="s">
        <v>789</v>
      </c>
      <c r="C1032" s="12" t="s">
        <v>790</v>
      </c>
      <c r="D1032" s="12" t="s">
        <v>791</v>
      </c>
      <c r="E1032" s="12" t="s">
        <v>81</v>
      </c>
      <c r="F1032" s="12" t="s">
        <v>792</v>
      </c>
      <c r="G1032" s="12" t="s">
        <v>793</v>
      </c>
      <c r="H1032" s="12" t="s">
        <v>794</v>
      </c>
      <c r="I1032" s="12" t="s">
        <v>795</v>
      </c>
      <c r="J1032" s="12" t="s">
        <v>796</v>
      </c>
      <c r="K1032" s="12" t="s">
        <v>797</v>
      </c>
    </row>
    <row r="1033" customFormat="false" ht="21.75" hidden="false" customHeight="true" outlineLevel="0" collapsed="false">
      <c r="A1033" s="9" t="s">
        <v>303</v>
      </c>
      <c r="B1033" s="9" t="s">
        <v>798</v>
      </c>
      <c r="C1033" s="9" t="s">
        <v>987</v>
      </c>
      <c r="D1033" s="5" t="s">
        <v>988</v>
      </c>
      <c r="E1033" s="9" t="s">
        <v>212</v>
      </c>
      <c r="F1033" s="18" t="n">
        <v>1</v>
      </c>
      <c r="G1033" s="13" t="n">
        <f aca="false">N(INDEX('05 MATERIAL RATE LIBRARY'!$E$5:$E$400,MATCH("MAT-GYP-SYS12",'05 MATERIAL RATE LIBRARY'!$A$5:$A$400,0)))</f>
        <v>176.1</v>
      </c>
      <c r="H1033" s="21" t="n">
        <v>0</v>
      </c>
      <c r="I1033" s="18" t="n">
        <f aca="false">F1033*(1+H1033)</f>
        <v>1</v>
      </c>
      <c r="J1033" s="13" t="n">
        <f aca="false">I1033*G1033</f>
        <v>176.1</v>
      </c>
      <c r="K1033" s="20" t="str">
        <f aca="false">IF(INDEX('05 MATERIAL RATE LIBRARY'!$M$5:$M$400,MATCH("MAT-GYP-SYS12",'05 MATERIAL RATE LIBRARY'!$A$5:$A$400,0))=1,"",IF(INDEX('05 MATERIAL RATE LIBRARY'!$M$5:$M$400,MATCH("MAT-GYP-SYS12",'05 MATERIAL RATE LIBRARY'!$A$5:$A$400,0))=2,"OLD RATE","NO RATE"))</f>
        <v/>
      </c>
    </row>
    <row r="1034" customFormat="false" ht="15" hidden="false" customHeight="true" outlineLevel="0" collapsed="false">
      <c r="A1034" s="9" t="s">
        <v>303</v>
      </c>
      <c r="B1034" s="9" t="s">
        <v>812</v>
      </c>
      <c r="C1034" s="9" t="s">
        <v>989</v>
      </c>
      <c r="D1034" s="5" t="s">
        <v>990</v>
      </c>
      <c r="E1034" s="9" t="s">
        <v>815</v>
      </c>
      <c r="F1034" s="18" t="n">
        <f aca="false">'13 PRODUCTIVITY LIBRARY'!E25/'13 PRODUCTIVITY LIBRARY'!D25</f>
        <v>0.0133333333333333</v>
      </c>
      <c r="G1034" s="13" t="n">
        <f aca="false">N(INDEX('06 LABOUR RATE LIBRARY'!$D$5:$D$100,MATCH("LAB-CLG",'06 LABOUR RATE LIBRARY'!$A$5:$A$100,0)))</f>
        <v>2200</v>
      </c>
      <c r="H1034" s="21" t="n">
        <v>0</v>
      </c>
      <c r="I1034" s="18" t="n">
        <f aca="false">F1034*(1+H1034)</f>
        <v>0.0133333333333333</v>
      </c>
      <c r="J1034" s="13" t="n">
        <f aca="false">I1034*G1034</f>
        <v>29.3333333333333</v>
      </c>
      <c r="K1034" s="20" t="str">
        <f aca="false">IF(INDEX('06 LABOUR RATE LIBRARY'!$L$5:$L$100,MATCH("LAB-CLG",'06 LABOUR RATE LIBRARY'!$A$5:$A$100,0))=1,"",IF(INDEX('06 LABOUR RATE LIBRARY'!$L$5:$L$100,MATCH("LAB-CLG",'06 LABOUR RATE LIBRARY'!$A$5:$A$100,0))=2,"OLD RATE","NO RATE"))</f>
        <v/>
      </c>
    </row>
    <row r="1035" customFormat="false" ht="15" hidden="false" customHeight="true" outlineLevel="0" collapsed="false">
      <c r="A1035" s="9" t="s">
        <v>303</v>
      </c>
      <c r="B1035" s="9" t="s">
        <v>812</v>
      </c>
      <c r="C1035" s="9" t="s">
        <v>816</v>
      </c>
      <c r="D1035" s="5" t="s">
        <v>991</v>
      </c>
      <c r="E1035" s="9" t="s">
        <v>815</v>
      </c>
      <c r="F1035" s="18" t="n">
        <f aca="false">'13 PRODUCTIVITY LIBRARY'!F25/'13 PRODUCTIVITY LIBRARY'!D25</f>
        <v>0.00666666666666667</v>
      </c>
      <c r="G1035" s="13" t="n">
        <f aca="false">N(INDEX('06 LABOUR RATE LIBRARY'!$D$5:$D$100,MATCH("LAB-HLP",'06 LABOUR RATE LIBRARY'!$A$5:$A$100,0)))</f>
        <v>1538</v>
      </c>
      <c r="H1035" s="21" t="n">
        <v>0</v>
      </c>
      <c r="I1035" s="18" t="n">
        <f aca="false">F1035*(1+H1035)</f>
        <v>0.00666666666666667</v>
      </c>
      <c r="J1035" s="13" t="n">
        <f aca="false">I1035*G1035</f>
        <v>10.2533333333333</v>
      </c>
      <c r="K103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036" customFormat="false" ht="15" hidden="false" customHeight="true" outlineLevel="0" collapsed="false">
      <c r="D1036" s="22" t="s">
        <v>825</v>
      </c>
      <c r="J1036" s="23" t="n">
        <f aca="false">SUMPRODUCT((B1033:B1035="Material")*F1033:F1035*G1033:G1035)</f>
        <v>176.1</v>
      </c>
    </row>
    <row r="1037" customFormat="false" ht="15" hidden="false" customHeight="true" outlineLevel="0" collapsed="false">
      <c r="D1037" s="22" t="s">
        <v>826</v>
      </c>
      <c r="J1037" s="23" t="n">
        <f aca="false">SUMIF(B1033:B1035,"Material",J1033:J1035)-J1036</f>
        <v>0</v>
      </c>
    </row>
    <row r="1038" customFormat="false" ht="15" hidden="false" customHeight="true" outlineLevel="0" collapsed="false">
      <c r="D1038" s="24" t="s">
        <v>827</v>
      </c>
      <c r="J1038" s="14" t="n">
        <f aca="false">SUMIF(B1033:B1035,"Material",J1033:J1035)</f>
        <v>176.1</v>
      </c>
    </row>
    <row r="1039" customFormat="false" ht="15" hidden="false" customHeight="true" outlineLevel="0" collapsed="false">
      <c r="D1039" s="24" t="s">
        <v>828</v>
      </c>
      <c r="J1039" s="14" t="n">
        <f aca="false">SUMIF(B1033:B1035,"Labour",J1033:J1035)</f>
        <v>39.5866666666667</v>
      </c>
    </row>
    <row r="1040" customFormat="false" ht="15" hidden="false" customHeight="true" outlineLevel="0" collapsed="false">
      <c r="D1040" s="24" t="s">
        <v>829</v>
      </c>
      <c r="J1040" s="14" t="n">
        <f aca="false">SUMIF(B1033:B1035,"Equipment",J1033:J1035)</f>
        <v>0</v>
      </c>
    </row>
    <row r="1041" customFormat="false" ht="15" hidden="false" customHeight="true" outlineLevel="0" collapsed="false">
      <c r="D1041" s="24" t="s">
        <v>830</v>
      </c>
      <c r="J1041" s="14" t="n">
        <f aca="false">SUMIF(B1033:B1035,"Transport",J1033:J1035)</f>
        <v>0</v>
      </c>
    </row>
    <row r="1042" customFormat="false" ht="15" hidden="false" customHeight="true" outlineLevel="0" collapsed="false">
      <c r="D1042" s="24" t="s">
        <v>831</v>
      </c>
      <c r="J1042" s="14" t="n">
        <f aca="false">J1038+J1039+J1040+J1041</f>
        <v>215.686666666667</v>
      </c>
    </row>
    <row r="1043" customFormat="false" ht="15" hidden="false" customHeight="true" outlineLevel="0" collapsed="false">
      <c r="D1043" s="22" t="s">
        <v>832</v>
      </c>
      <c r="J1043" s="23" t="n">
        <f aca="false">J1042*OH_Site</f>
        <v>6.4706</v>
      </c>
    </row>
    <row r="1044" customFormat="false" ht="15" hidden="false" customHeight="true" outlineLevel="0" collapsed="false">
      <c r="D1044" s="22" t="s">
        <v>833</v>
      </c>
      <c r="J1044" s="23" t="n">
        <f aca="false">J1042*OH_HO</f>
        <v>10.7843333333333</v>
      </c>
    </row>
    <row r="1045" customFormat="false" ht="15" hidden="false" customHeight="true" outlineLevel="0" collapsed="false">
      <c r="D1045" s="22" t="s">
        <v>834</v>
      </c>
      <c r="J1045" s="23" t="n">
        <f aca="false">J1042*Profit</f>
        <v>21.5686666666667</v>
      </c>
    </row>
    <row r="1046" customFormat="false" ht="15" hidden="false" customHeight="true" outlineLevel="0" collapsed="false">
      <c r="D1046" s="24" t="s">
        <v>835</v>
      </c>
      <c r="J1046" s="14" t="n">
        <f aca="false">J1042+J1043+J1044+J1045</f>
        <v>254.510266666667</v>
      </c>
    </row>
    <row r="1047" customFormat="false" ht="15" hidden="false" customHeight="true" outlineLevel="0" collapsed="false">
      <c r="D1047" s="22" t="s">
        <v>836</v>
      </c>
      <c r="J1047" s="23" t="n">
        <f aca="false">IF(Tax_On="Yes",J1046*N(Tax_Rate),0)</f>
        <v>0</v>
      </c>
    </row>
    <row r="1048" customFormat="false" ht="15" hidden="false" customHeight="true" outlineLevel="0" collapsed="false">
      <c r="D1048" s="24" t="s">
        <v>895</v>
      </c>
      <c r="J1048" s="14" t="n">
        <f aca="false">ROUND(J1046+J1047,0)</f>
        <v>255</v>
      </c>
    </row>
    <row r="1049" customFormat="false" ht="15" hidden="false" customHeight="true" outlineLevel="0" collapsed="false">
      <c r="D1049" s="25" t="s">
        <v>838</v>
      </c>
      <c r="J1049" s="26" t="n">
        <f aca="false">COUNTIF(K1033:K1035,"NO RATE")+COUNTIF(K1033:K1035,"OLD RATE")</f>
        <v>0</v>
      </c>
    </row>
    <row r="1051" customFormat="false" ht="39.75" hidden="false" customHeight="true" outlineLevel="0" collapsed="false">
      <c r="A1051" s="4" t="s">
        <v>309</v>
      </c>
      <c r="B1051" s="16" t="s">
        <v>311</v>
      </c>
      <c r="C1051" s="16"/>
      <c r="D1051" s="16"/>
      <c r="E1051" s="16"/>
      <c r="F1051" s="16"/>
      <c r="G1051" s="16"/>
      <c r="H1051" s="16"/>
      <c r="I1051" s="16"/>
      <c r="J1051" s="4" t="s">
        <v>890</v>
      </c>
      <c r="K1051" s="17"/>
    </row>
    <row r="1052" customFormat="false" ht="21.75" hidden="false" customHeight="true" outlineLevel="0" collapsed="false">
      <c r="A1052" s="12" t="s">
        <v>75</v>
      </c>
      <c r="B1052" s="12" t="s">
        <v>789</v>
      </c>
      <c r="C1052" s="12" t="s">
        <v>790</v>
      </c>
      <c r="D1052" s="12" t="s">
        <v>791</v>
      </c>
      <c r="E1052" s="12" t="s">
        <v>81</v>
      </c>
      <c r="F1052" s="12" t="s">
        <v>792</v>
      </c>
      <c r="G1052" s="12" t="s">
        <v>793</v>
      </c>
      <c r="H1052" s="12" t="s">
        <v>794</v>
      </c>
      <c r="I1052" s="12" t="s">
        <v>795</v>
      </c>
      <c r="J1052" s="12" t="s">
        <v>796</v>
      </c>
      <c r="K1052" s="12" t="s">
        <v>797</v>
      </c>
    </row>
    <row r="1053" customFormat="false" ht="21.75" hidden="false" customHeight="true" outlineLevel="0" collapsed="false">
      <c r="A1053" s="9" t="s">
        <v>309</v>
      </c>
      <c r="B1053" s="9" t="s">
        <v>798</v>
      </c>
      <c r="C1053" s="9" t="s">
        <v>992</v>
      </c>
      <c r="D1053" s="5" t="s">
        <v>988</v>
      </c>
      <c r="E1053" s="9" t="s">
        <v>212</v>
      </c>
      <c r="F1053" s="18" t="n">
        <v>1</v>
      </c>
      <c r="G1053" s="13" t="n">
        <f aca="false">N(INDEX('05 MATERIAL RATE LIBRARY'!$E$5:$E$400,MATCH("MAT-GYP-SYSMR",'05 MATERIAL RATE LIBRARY'!$A$5:$A$400,0)))</f>
        <v>212.19</v>
      </c>
      <c r="H1053" s="21" t="n">
        <v>0</v>
      </c>
      <c r="I1053" s="18" t="n">
        <f aca="false">F1053*(1+H1053)</f>
        <v>1</v>
      </c>
      <c r="J1053" s="13" t="n">
        <f aca="false">I1053*G1053</f>
        <v>212.19</v>
      </c>
      <c r="K1053" s="20" t="str">
        <f aca="false">IF(INDEX('05 MATERIAL RATE LIBRARY'!$M$5:$M$400,MATCH("MAT-GYP-SYSMR",'05 MATERIAL RATE LIBRARY'!$A$5:$A$400,0))=1,"",IF(INDEX('05 MATERIAL RATE LIBRARY'!$M$5:$M$400,MATCH("MAT-GYP-SYSMR",'05 MATERIAL RATE LIBRARY'!$A$5:$A$400,0))=2,"OLD RATE","NO RATE"))</f>
        <v/>
      </c>
    </row>
    <row r="1054" customFormat="false" ht="15" hidden="false" customHeight="true" outlineLevel="0" collapsed="false">
      <c r="A1054" s="9" t="s">
        <v>309</v>
      </c>
      <c r="B1054" s="9" t="s">
        <v>812</v>
      </c>
      <c r="C1054" s="9" t="s">
        <v>989</v>
      </c>
      <c r="D1054" s="5" t="s">
        <v>990</v>
      </c>
      <c r="E1054" s="9" t="s">
        <v>815</v>
      </c>
      <c r="F1054" s="18" t="n">
        <f aca="false">'13 PRODUCTIVITY LIBRARY'!E25/'13 PRODUCTIVITY LIBRARY'!D25</f>
        <v>0.0133333333333333</v>
      </c>
      <c r="G1054" s="13" t="n">
        <f aca="false">N(INDEX('06 LABOUR RATE LIBRARY'!$D$5:$D$100,MATCH("LAB-CLG",'06 LABOUR RATE LIBRARY'!$A$5:$A$100,0)))</f>
        <v>2200</v>
      </c>
      <c r="H1054" s="21" t="n">
        <v>0</v>
      </c>
      <c r="I1054" s="18" t="n">
        <f aca="false">F1054*(1+H1054)</f>
        <v>0.0133333333333333</v>
      </c>
      <c r="J1054" s="13" t="n">
        <f aca="false">I1054*G1054</f>
        <v>29.3333333333333</v>
      </c>
      <c r="K1054" s="20" t="str">
        <f aca="false">IF(INDEX('06 LABOUR RATE LIBRARY'!$L$5:$L$100,MATCH("LAB-CLG",'06 LABOUR RATE LIBRARY'!$A$5:$A$100,0))=1,"",IF(INDEX('06 LABOUR RATE LIBRARY'!$L$5:$L$100,MATCH("LAB-CLG",'06 LABOUR RATE LIBRARY'!$A$5:$A$100,0))=2,"OLD RATE","NO RATE"))</f>
        <v/>
      </c>
    </row>
    <row r="1055" customFormat="false" ht="15" hidden="false" customHeight="true" outlineLevel="0" collapsed="false">
      <c r="A1055" s="9" t="s">
        <v>309</v>
      </c>
      <c r="B1055" s="9" t="s">
        <v>812</v>
      </c>
      <c r="C1055" s="9" t="s">
        <v>816</v>
      </c>
      <c r="D1055" s="5" t="s">
        <v>991</v>
      </c>
      <c r="E1055" s="9" t="s">
        <v>815</v>
      </c>
      <c r="F1055" s="18" t="n">
        <f aca="false">'13 PRODUCTIVITY LIBRARY'!F25/'13 PRODUCTIVITY LIBRARY'!D25</f>
        <v>0.00666666666666667</v>
      </c>
      <c r="G1055" s="13" t="n">
        <f aca="false">N(INDEX('06 LABOUR RATE LIBRARY'!$D$5:$D$100,MATCH("LAB-HLP",'06 LABOUR RATE LIBRARY'!$A$5:$A$100,0)))</f>
        <v>1538</v>
      </c>
      <c r="H1055" s="21" t="n">
        <v>0</v>
      </c>
      <c r="I1055" s="18" t="n">
        <f aca="false">F1055*(1+H1055)</f>
        <v>0.00666666666666667</v>
      </c>
      <c r="J1055" s="13" t="n">
        <f aca="false">I1055*G1055</f>
        <v>10.2533333333333</v>
      </c>
      <c r="K105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056" customFormat="false" ht="15" hidden="false" customHeight="true" outlineLevel="0" collapsed="false">
      <c r="D1056" s="22" t="s">
        <v>825</v>
      </c>
      <c r="J1056" s="23" t="n">
        <f aca="false">SUMPRODUCT((B1053:B1055="Material")*F1053:F1055*G1053:G1055)</f>
        <v>212.19</v>
      </c>
    </row>
    <row r="1057" customFormat="false" ht="15" hidden="false" customHeight="true" outlineLevel="0" collapsed="false">
      <c r="D1057" s="22" t="s">
        <v>826</v>
      </c>
      <c r="J1057" s="23" t="n">
        <f aca="false">SUMIF(B1053:B1055,"Material",J1053:J1055)-J1056</f>
        <v>0</v>
      </c>
    </row>
    <row r="1058" customFormat="false" ht="15" hidden="false" customHeight="true" outlineLevel="0" collapsed="false">
      <c r="D1058" s="24" t="s">
        <v>827</v>
      </c>
      <c r="J1058" s="14" t="n">
        <f aca="false">SUMIF(B1053:B1055,"Material",J1053:J1055)</f>
        <v>212.19</v>
      </c>
    </row>
    <row r="1059" customFormat="false" ht="15" hidden="false" customHeight="true" outlineLevel="0" collapsed="false">
      <c r="D1059" s="24" t="s">
        <v>828</v>
      </c>
      <c r="J1059" s="14" t="n">
        <f aca="false">SUMIF(B1053:B1055,"Labour",J1053:J1055)</f>
        <v>39.5866666666667</v>
      </c>
    </row>
    <row r="1060" customFormat="false" ht="15" hidden="false" customHeight="true" outlineLevel="0" collapsed="false">
      <c r="D1060" s="24" t="s">
        <v>829</v>
      </c>
      <c r="J1060" s="14" t="n">
        <f aca="false">SUMIF(B1053:B1055,"Equipment",J1053:J1055)</f>
        <v>0</v>
      </c>
    </row>
    <row r="1061" customFormat="false" ht="15" hidden="false" customHeight="true" outlineLevel="0" collapsed="false">
      <c r="D1061" s="24" t="s">
        <v>830</v>
      </c>
      <c r="J1061" s="14" t="n">
        <f aca="false">SUMIF(B1053:B1055,"Transport",J1053:J1055)</f>
        <v>0</v>
      </c>
    </row>
    <row r="1062" customFormat="false" ht="15" hidden="false" customHeight="true" outlineLevel="0" collapsed="false">
      <c r="D1062" s="24" t="s">
        <v>831</v>
      </c>
      <c r="J1062" s="14" t="n">
        <f aca="false">J1058+J1059+J1060+J1061</f>
        <v>251.776666666667</v>
      </c>
    </row>
    <row r="1063" customFormat="false" ht="15" hidden="false" customHeight="true" outlineLevel="0" collapsed="false">
      <c r="D1063" s="22" t="s">
        <v>832</v>
      </c>
      <c r="J1063" s="23" t="n">
        <f aca="false">J1062*OH_Site</f>
        <v>7.5533</v>
      </c>
    </row>
    <row r="1064" customFormat="false" ht="15" hidden="false" customHeight="true" outlineLevel="0" collapsed="false">
      <c r="D1064" s="22" t="s">
        <v>833</v>
      </c>
      <c r="J1064" s="23" t="n">
        <f aca="false">J1062*OH_HO</f>
        <v>12.5888333333333</v>
      </c>
    </row>
    <row r="1065" customFormat="false" ht="15" hidden="false" customHeight="true" outlineLevel="0" collapsed="false">
      <c r="D1065" s="22" t="s">
        <v>834</v>
      </c>
      <c r="J1065" s="23" t="n">
        <f aca="false">J1062*Profit</f>
        <v>25.1776666666667</v>
      </c>
    </row>
    <row r="1066" customFormat="false" ht="15" hidden="false" customHeight="true" outlineLevel="0" collapsed="false">
      <c r="D1066" s="24" t="s">
        <v>835</v>
      </c>
      <c r="J1066" s="14" t="n">
        <f aca="false">J1062+J1063+J1064+J1065</f>
        <v>297.096466666667</v>
      </c>
    </row>
    <row r="1067" customFormat="false" ht="15" hidden="false" customHeight="true" outlineLevel="0" collapsed="false">
      <c r="D1067" s="22" t="s">
        <v>836</v>
      </c>
      <c r="J1067" s="23" t="n">
        <f aca="false">IF(Tax_On="Yes",J1066*N(Tax_Rate),0)</f>
        <v>0</v>
      </c>
    </row>
    <row r="1068" customFormat="false" ht="15" hidden="false" customHeight="true" outlineLevel="0" collapsed="false">
      <c r="D1068" s="24" t="s">
        <v>895</v>
      </c>
      <c r="J1068" s="14" t="n">
        <f aca="false">ROUND(J1066+J1067,0)</f>
        <v>297</v>
      </c>
    </row>
    <row r="1069" customFormat="false" ht="15" hidden="false" customHeight="true" outlineLevel="0" collapsed="false">
      <c r="D1069" s="25" t="s">
        <v>838</v>
      </c>
      <c r="J1069" s="26" t="n">
        <f aca="false">COUNTIF(K1053:K1055,"NO RATE")+COUNTIF(K1053:K1055,"OLD RATE")</f>
        <v>0</v>
      </c>
    </row>
    <row r="1071" customFormat="false" ht="39.75" hidden="false" customHeight="true" outlineLevel="0" collapsed="false">
      <c r="A1071" s="4" t="s">
        <v>312</v>
      </c>
      <c r="B1071" s="16" t="s">
        <v>315</v>
      </c>
      <c r="C1071" s="16"/>
      <c r="D1071" s="16"/>
      <c r="E1071" s="16"/>
      <c r="F1071" s="16"/>
      <c r="G1071" s="16"/>
      <c r="H1071" s="16"/>
      <c r="I1071" s="16"/>
      <c r="J1071" s="4" t="s">
        <v>890</v>
      </c>
      <c r="K1071" s="17"/>
    </row>
    <row r="1072" customFormat="false" ht="21.75" hidden="false" customHeight="true" outlineLevel="0" collapsed="false">
      <c r="A1072" s="12" t="s">
        <v>75</v>
      </c>
      <c r="B1072" s="12" t="s">
        <v>789</v>
      </c>
      <c r="C1072" s="12" t="s">
        <v>790</v>
      </c>
      <c r="D1072" s="12" t="s">
        <v>791</v>
      </c>
      <c r="E1072" s="12" t="s">
        <v>81</v>
      </c>
      <c r="F1072" s="12" t="s">
        <v>792</v>
      </c>
      <c r="G1072" s="12" t="s">
        <v>793</v>
      </c>
      <c r="H1072" s="12" t="s">
        <v>794</v>
      </c>
      <c r="I1072" s="12" t="s">
        <v>795</v>
      </c>
      <c r="J1072" s="12" t="s">
        <v>796</v>
      </c>
      <c r="K1072" s="12" t="s">
        <v>797</v>
      </c>
    </row>
    <row r="1073" customFormat="false" ht="15" hidden="false" customHeight="true" outlineLevel="0" collapsed="false">
      <c r="A1073" s="9" t="s">
        <v>312</v>
      </c>
      <c r="B1073" s="9" t="s">
        <v>798</v>
      </c>
      <c r="C1073" s="9" t="s">
        <v>993</v>
      </c>
      <c r="D1073" s="5" t="s">
        <v>994</v>
      </c>
      <c r="E1073" s="9" t="s">
        <v>995</v>
      </c>
      <c r="F1073" s="18" t="n">
        <f aca="false">1/350</f>
        <v>0.00285714285714286</v>
      </c>
      <c r="G1073" s="13" t="n">
        <f aca="false">N(INDEX('05 MATERIAL RATE LIBRARY'!$E$5:$E$400,MATCH("MAT-PNT-PRM",'05 MATERIAL RATE LIBRARY'!$A$5:$A$400,0)))</f>
        <v>1011.11</v>
      </c>
      <c r="H1073" s="19" t="n">
        <f aca="false">W_Pnt</f>
        <v>0.05</v>
      </c>
      <c r="I1073" s="18" t="n">
        <f aca="false">F1073*(1+H1073)</f>
        <v>0.003</v>
      </c>
      <c r="J1073" s="13" t="n">
        <f aca="false">I1073*G1073</f>
        <v>3.03333</v>
      </c>
      <c r="K1073" s="20" t="str">
        <f aca="false">IF(INDEX('05 MATERIAL RATE LIBRARY'!$M$5:$M$400,MATCH("MAT-PNT-PRM",'05 MATERIAL RATE LIBRARY'!$A$5:$A$400,0))=1,"",IF(INDEX('05 MATERIAL RATE LIBRARY'!$M$5:$M$400,MATCH("MAT-PNT-PRM",'05 MATERIAL RATE LIBRARY'!$A$5:$A$400,0))=2,"OLD RATE","NO RATE"))</f>
        <v/>
      </c>
    </row>
    <row r="1074" customFormat="false" ht="15" hidden="false" customHeight="true" outlineLevel="0" collapsed="false">
      <c r="A1074" s="9" t="s">
        <v>312</v>
      </c>
      <c r="B1074" s="9" t="s">
        <v>798</v>
      </c>
      <c r="C1074" s="9" t="s">
        <v>996</v>
      </c>
      <c r="D1074" s="5" t="s">
        <v>997</v>
      </c>
      <c r="E1074" s="9" t="s">
        <v>198</v>
      </c>
      <c r="F1074" s="18" t="n">
        <v>0.1</v>
      </c>
      <c r="G1074" s="13" t="n">
        <f aca="false">N(INDEX('05 MATERIAL RATE LIBRARY'!$E$5:$E$400,MATCH("MAT-PUTTY",'05 MATERIAL RATE LIBRARY'!$A$5:$A$400,0)))</f>
        <v>93.33</v>
      </c>
      <c r="H1074" s="19" t="n">
        <f aca="false">W_Pnt</f>
        <v>0.05</v>
      </c>
      <c r="I1074" s="18" t="n">
        <f aca="false">F1074*(1+H1074)</f>
        <v>0.105</v>
      </c>
      <c r="J1074" s="13" t="n">
        <f aca="false">I1074*G1074</f>
        <v>9.79965</v>
      </c>
      <c r="K1074" s="20" t="str">
        <f aca="false">IF(INDEX('05 MATERIAL RATE LIBRARY'!$M$5:$M$400,MATCH("MAT-PUTTY",'05 MATERIAL RATE LIBRARY'!$A$5:$A$400,0))=1,"",IF(INDEX('05 MATERIAL RATE LIBRARY'!$M$5:$M$400,MATCH("MAT-PUTTY",'05 MATERIAL RATE LIBRARY'!$A$5:$A$400,0))=2,"OLD RATE","NO RATE"))</f>
        <v/>
      </c>
    </row>
    <row r="1075" customFormat="false" ht="15" hidden="false" customHeight="true" outlineLevel="0" collapsed="false">
      <c r="A1075" s="9" t="s">
        <v>312</v>
      </c>
      <c r="B1075" s="9" t="s">
        <v>798</v>
      </c>
      <c r="C1075" s="9" t="s">
        <v>998</v>
      </c>
      <c r="D1075" s="5" t="s">
        <v>999</v>
      </c>
      <c r="E1075" s="9" t="s">
        <v>995</v>
      </c>
      <c r="F1075" s="18" t="n">
        <f aca="false">2/350</f>
        <v>0.00571428571428571</v>
      </c>
      <c r="G1075" s="13" t="n">
        <f aca="false">N(INDEX('05 MATERIAL RATE LIBRARY'!$E$5:$E$400,MATCH("MAT-PNT-PE",'05 MATERIAL RATE LIBRARY'!$A$5:$A$400,0)))</f>
        <v>2850</v>
      </c>
      <c r="H1075" s="19" t="n">
        <f aca="false">W_Pnt</f>
        <v>0.05</v>
      </c>
      <c r="I1075" s="18" t="n">
        <f aca="false">F1075*(1+H1075)</f>
        <v>0.006</v>
      </c>
      <c r="J1075" s="13" t="n">
        <f aca="false">I1075*G1075</f>
        <v>17.1</v>
      </c>
      <c r="K1075" s="20" t="str">
        <f aca="false">IF(INDEX('05 MATERIAL RATE LIBRARY'!$M$5:$M$400,MATCH("MAT-PNT-PE",'05 MATERIAL RATE LIBRARY'!$A$5:$A$400,0))=1,"",IF(INDEX('05 MATERIAL RATE LIBRARY'!$M$5:$M$400,MATCH("MAT-PNT-PE",'05 MATERIAL RATE LIBRARY'!$A$5:$A$400,0))=2,"OLD RATE","NO RATE"))</f>
        <v/>
      </c>
    </row>
    <row r="1076" customFormat="false" ht="15" hidden="false" customHeight="true" outlineLevel="0" collapsed="false">
      <c r="A1076" s="9" t="s">
        <v>312</v>
      </c>
      <c r="B1076" s="9" t="s">
        <v>812</v>
      </c>
      <c r="C1076" s="9" t="s">
        <v>1000</v>
      </c>
      <c r="D1076" s="5" t="s">
        <v>1001</v>
      </c>
      <c r="E1076" s="9" t="s">
        <v>815</v>
      </c>
      <c r="F1076" s="18" t="n">
        <f aca="false">'13 PRODUCTIVITY LIBRARY'!E26/'13 PRODUCTIVITY LIBRARY'!D26</f>
        <v>0.00666666666666667</v>
      </c>
      <c r="G1076" s="13" t="n">
        <f aca="false">N(INDEX('06 LABOUR RATE LIBRARY'!$D$5:$D$100,MATCH("LAB-PNT",'06 LABOUR RATE LIBRARY'!$A$5:$A$100,0)))</f>
        <v>2100</v>
      </c>
      <c r="H1076" s="21" t="n">
        <v>0</v>
      </c>
      <c r="I1076" s="18" t="n">
        <f aca="false">F1076*(1+H1076)</f>
        <v>0.00666666666666667</v>
      </c>
      <c r="J1076" s="13" t="n">
        <f aca="false">I1076*G1076</f>
        <v>14</v>
      </c>
      <c r="K1076" s="20" t="str">
        <f aca="false">IF(INDEX('06 LABOUR RATE LIBRARY'!$L$5:$L$100,MATCH("LAB-PNT",'06 LABOUR RATE LIBRARY'!$A$5:$A$100,0))=1,"",IF(INDEX('06 LABOUR RATE LIBRARY'!$L$5:$L$100,MATCH("LAB-PNT",'06 LABOUR RATE LIBRARY'!$A$5:$A$100,0))=2,"OLD RATE","NO RATE"))</f>
        <v/>
      </c>
    </row>
    <row r="1077" customFormat="false" ht="15" hidden="false" customHeight="true" outlineLevel="0" collapsed="false">
      <c r="A1077" s="9" t="s">
        <v>312</v>
      </c>
      <c r="B1077" s="9" t="s">
        <v>812</v>
      </c>
      <c r="C1077" s="9" t="s">
        <v>816</v>
      </c>
      <c r="D1077" s="5" t="s">
        <v>1002</v>
      </c>
      <c r="E1077" s="9" t="s">
        <v>815</v>
      </c>
      <c r="F1077" s="18" t="n">
        <f aca="false">'13 PRODUCTIVITY LIBRARY'!F26/'13 PRODUCTIVITY LIBRARY'!D26</f>
        <v>0.00333333333333333</v>
      </c>
      <c r="G1077" s="13" t="n">
        <f aca="false">N(INDEX('06 LABOUR RATE LIBRARY'!$D$5:$D$100,MATCH("LAB-HLP",'06 LABOUR RATE LIBRARY'!$A$5:$A$100,0)))</f>
        <v>1538</v>
      </c>
      <c r="H1077" s="21" t="n">
        <v>0</v>
      </c>
      <c r="I1077" s="18" t="n">
        <f aca="false">F1077*(1+H1077)</f>
        <v>0.00333333333333333</v>
      </c>
      <c r="J1077" s="13" t="n">
        <f aca="false">I1077*G1077</f>
        <v>5.12666666666667</v>
      </c>
      <c r="K107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078" customFormat="false" ht="15" hidden="false" customHeight="true" outlineLevel="0" collapsed="false">
      <c r="D1078" s="22" t="s">
        <v>825</v>
      </c>
      <c r="J1078" s="23" t="n">
        <f aca="false">SUMPRODUCT((B1073:B1077="Material")*F1073:F1077*G1073:G1077)</f>
        <v>28.5076</v>
      </c>
    </row>
    <row r="1079" customFormat="false" ht="15" hidden="false" customHeight="true" outlineLevel="0" collapsed="false">
      <c r="D1079" s="22" t="s">
        <v>826</v>
      </c>
      <c r="J1079" s="23" t="n">
        <f aca="false">SUMIF(B1073:B1077,"Material",J1073:J1077)-J1078</f>
        <v>1.42538</v>
      </c>
    </row>
    <row r="1080" customFormat="false" ht="15" hidden="false" customHeight="true" outlineLevel="0" collapsed="false">
      <c r="D1080" s="24" t="s">
        <v>827</v>
      </c>
      <c r="J1080" s="14" t="n">
        <f aca="false">SUMIF(B1073:B1077,"Material",J1073:J1077)</f>
        <v>29.93298</v>
      </c>
    </row>
    <row r="1081" customFormat="false" ht="15" hidden="false" customHeight="true" outlineLevel="0" collapsed="false">
      <c r="D1081" s="24" t="s">
        <v>828</v>
      </c>
      <c r="J1081" s="14" t="n">
        <f aca="false">SUMIF(B1073:B1077,"Labour",J1073:J1077)</f>
        <v>19.1266666666667</v>
      </c>
    </row>
    <row r="1082" customFormat="false" ht="15" hidden="false" customHeight="true" outlineLevel="0" collapsed="false">
      <c r="D1082" s="24" t="s">
        <v>829</v>
      </c>
      <c r="J1082" s="14" t="n">
        <f aca="false">SUMIF(B1073:B1077,"Equipment",J1073:J1077)</f>
        <v>0</v>
      </c>
    </row>
    <row r="1083" customFormat="false" ht="15" hidden="false" customHeight="true" outlineLevel="0" collapsed="false">
      <c r="D1083" s="24" t="s">
        <v>830</v>
      </c>
      <c r="J1083" s="14" t="n">
        <f aca="false">SUMIF(B1073:B1077,"Transport",J1073:J1077)</f>
        <v>0</v>
      </c>
    </row>
    <row r="1084" customFormat="false" ht="15" hidden="false" customHeight="true" outlineLevel="0" collapsed="false">
      <c r="D1084" s="24" t="s">
        <v>831</v>
      </c>
      <c r="J1084" s="14" t="n">
        <f aca="false">J1080+J1081+J1082+J1083</f>
        <v>49.0596466666667</v>
      </c>
    </row>
    <row r="1085" customFormat="false" ht="15" hidden="false" customHeight="true" outlineLevel="0" collapsed="false">
      <c r="D1085" s="22" t="s">
        <v>832</v>
      </c>
      <c r="J1085" s="23" t="n">
        <f aca="false">J1084*OH_Site</f>
        <v>1.4717894</v>
      </c>
    </row>
    <row r="1086" customFormat="false" ht="15" hidden="false" customHeight="true" outlineLevel="0" collapsed="false">
      <c r="D1086" s="22" t="s">
        <v>833</v>
      </c>
      <c r="J1086" s="23" t="n">
        <f aca="false">J1084*OH_HO</f>
        <v>2.45298233333333</v>
      </c>
    </row>
    <row r="1087" customFormat="false" ht="15" hidden="false" customHeight="true" outlineLevel="0" collapsed="false">
      <c r="D1087" s="22" t="s">
        <v>834</v>
      </c>
      <c r="J1087" s="23" t="n">
        <f aca="false">J1084*Profit</f>
        <v>4.90596466666667</v>
      </c>
    </row>
    <row r="1088" customFormat="false" ht="15" hidden="false" customHeight="true" outlineLevel="0" collapsed="false">
      <c r="D1088" s="24" t="s">
        <v>835</v>
      </c>
      <c r="J1088" s="14" t="n">
        <f aca="false">J1084+J1085+J1086+J1087</f>
        <v>57.8903830666667</v>
      </c>
    </row>
    <row r="1089" customFormat="false" ht="15" hidden="false" customHeight="true" outlineLevel="0" collapsed="false">
      <c r="D1089" s="22" t="s">
        <v>836</v>
      </c>
      <c r="J1089" s="23" t="n">
        <f aca="false">IF(Tax_On="Yes",J1088*N(Tax_Rate),0)</f>
        <v>0</v>
      </c>
    </row>
    <row r="1090" customFormat="false" ht="15" hidden="false" customHeight="true" outlineLevel="0" collapsed="false">
      <c r="D1090" s="24" t="s">
        <v>895</v>
      </c>
      <c r="J1090" s="14" t="n">
        <f aca="false">ROUND(J1088+J1089,0)</f>
        <v>58</v>
      </c>
    </row>
    <row r="1091" customFormat="false" ht="15" hidden="false" customHeight="true" outlineLevel="0" collapsed="false">
      <c r="D1091" s="25" t="s">
        <v>838</v>
      </c>
      <c r="J1091" s="26" t="n">
        <f aca="false">COUNTIF(K1073:K1077,"NO RATE")+COUNTIF(K1073:K1077,"OLD RATE")</f>
        <v>0</v>
      </c>
    </row>
    <row r="1093" customFormat="false" ht="39.75" hidden="false" customHeight="true" outlineLevel="0" collapsed="false">
      <c r="A1093" s="4" t="s">
        <v>318</v>
      </c>
      <c r="B1093" s="16" t="s">
        <v>320</v>
      </c>
      <c r="C1093" s="16"/>
      <c r="D1093" s="16"/>
      <c r="E1093" s="16"/>
      <c r="F1093" s="16"/>
      <c r="G1093" s="16"/>
      <c r="H1093" s="16"/>
      <c r="I1093" s="16"/>
      <c r="J1093" s="4" t="s">
        <v>890</v>
      </c>
      <c r="K1093" s="17"/>
    </row>
    <row r="1094" customFormat="false" ht="21.75" hidden="false" customHeight="true" outlineLevel="0" collapsed="false">
      <c r="A1094" s="12" t="s">
        <v>75</v>
      </c>
      <c r="B1094" s="12" t="s">
        <v>789</v>
      </c>
      <c r="C1094" s="12" t="s">
        <v>790</v>
      </c>
      <c r="D1094" s="12" t="s">
        <v>791</v>
      </c>
      <c r="E1094" s="12" t="s">
        <v>81</v>
      </c>
      <c r="F1094" s="12" t="s">
        <v>792</v>
      </c>
      <c r="G1094" s="12" t="s">
        <v>793</v>
      </c>
      <c r="H1094" s="12" t="s">
        <v>794</v>
      </c>
      <c r="I1094" s="12" t="s">
        <v>795</v>
      </c>
      <c r="J1094" s="12" t="s">
        <v>796</v>
      </c>
      <c r="K1094" s="12" t="s">
        <v>797</v>
      </c>
    </row>
    <row r="1095" customFormat="false" ht="15" hidden="false" customHeight="true" outlineLevel="0" collapsed="false">
      <c r="A1095" s="9" t="s">
        <v>318</v>
      </c>
      <c r="B1095" s="9" t="s">
        <v>798</v>
      </c>
      <c r="C1095" s="9" t="s">
        <v>993</v>
      </c>
      <c r="D1095" s="5" t="s">
        <v>994</v>
      </c>
      <c r="E1095" s="9" t="s">
        <v>995</v>
      </c>
      <c r="F1095" s="18" t="n">
        <f aca="false">1/350</f>
        <v>0.00285714285714286</v>
      </c>
      <c r="G1095" s="13" t="n">
        <f aca="false">N(INDEX('05 MATERIAL RATE LIBRARY'!$E$5:$E$400,MATCH("MAT-PNT-PRM",'05 MATERIAL RATE LIBRARY'!$A$5:$A$400,0)))</f>
        <v>1011.11</v>
      </c>
      <c r="H1095" s="19" t="n">
        <f aca="false">W_Pnt</f>
        <v>0.05</v>
      </c>
      <c r="I1095" s="18" t="n">
        <f aca="false">F1095*(1+H1095)</f>
        <v>0.003</v>
      </c>
      <c r="J1095" s="13" t="n">
        <f aca="false">I1095*G1095</f>
        <v>3.03333</v>
      </c>
      <c r="K1095" s="20" t="str">
        <f aca="false">IF(INDEX('05 MATERIAL RATE LIBRARY'!$M$5:$M$400,MATCH("MAT-PNT-PRM",'05 MATERIAL RATE LIBRARY'!$A$5:$A$400,0))=1,"",IF(INDEX('05 MATERIAL RATE LIBRARY'!$M$5:$M$400,MATCH("MAT-PNT-PRM",'05 MATERIAL RATE LIBRARY'!$A$5:$A$400,0))=2,"OLD RATE","NO RATE"))</f>
        <v/>
      </c>
    </row>
    <row r="1096" customFormat="false" ht="15" hidden="false" customHeight="true" outlineLevel="0" collapsed="false">
      <c r="A1096" s="9" t="s">
        <v>318</v>
      </c>
      <c r="B1096" s="9" t="s">
        <v>798</v>
      </c>
      <c r="C1096" s="9" t="s">
        <v>1003</v>
      </c>
      <c r="D1096" s="5" t="s">
        <v>1004</v>
      </c>
      <c r="E1096" s="9" t="s">
        <v>995</v>
      </c>
      <c r="F1096" s="18" t="n">
        <f aca="false">2/300</f>
        <v>0.00666666666666667</v>
      </c>
      <c r="G1096" s="13" t="n">
        <f aca="false">N(INDEX('05 MATERIAL RATE LIBRARY'!$E$5:$E$400,MATCH("MAT-PNT-WS",'05 MATERIAL RATE LIBRARY'!$A$5:$A$400,0)))</f>
        <v>5987.8</v>
      </c>
      <c r="H1096" s="19" t="n">
        <f aca="false">W_Pnt</f>
        <v>0.05</v>
      </c>
      <c r="I1096" s="18" t="n">
        <f aca="false">F1096*(1+H1096)</f>
        <v>0.007</v>
      </c>
      <c r="J1096" s="13" t="n">
        <f aca="false">I1096*G1096</f>
        <v>41.9146</v>
      </c>
      <c r="K1096" s="20" t="str">
        <f aca="false">IF(INDEX('05 MATERIAL RATE LIBRARY'!$M$5:$M$400,MATCH("MAT-PNT-WS",'05 MATERIAL RATE LIBRARY'!$A$5:$A$400,0))=1,"",IF(INDEX('05 MATERIAL RATE LIBRARY'!$M$5:$M$400,MATCH("MAT-PNT-WS",'05 MATERIAL RATE LIBRARY'!$A$5:$A$400,0))=2,"OLD RATE","NO RATE"))</f>
        <v/>
      </c>
    </row>
    <row r="1097" customFormat="false" ht="15" hidden="false" customHeight="true" outlineLevel="0" collapsed="false">
      <c r="A1097" s="9" t="s">
        <v>318</v>
      </c>
      <c r="B1097" s="9" t="s">
        <v>812</v>
      </c>
      <c r="C1097" s="9" t="s">
        <v>1000</v>
      </c>
      <c r="D1097" s="5" t="s">
        <v>1005</v>
      </c>
      <c r="E1097" s="9" t="s">
        <v>815</v>
      </c>
      <c r="F1097" s="18" t="n">
        <f aca="false">'13 PRODUCTIVITY LIBRARY'!E27/'13 PRODUCTIVITY LIBRARY'!D27</f>
        <v>0.0142857142857143</v>
      </c>
      <c r="G1097" s="13" t="n">
        <f aca="false">N(INDEX('06 LABOUR RATE LIBRARY'!$D$5:$D$100,MATCH("LAB-PNT",'06 LABOUR RATE LIBRARY'!$A$5:$A$100,0)))</f>
        <v>2100</v>
      </c>
      <c r="H1097" s="21" t="n">
        <v>0</v>
      </c>
      <c r="I1097" s="18" t="n">
        <f aca="false">F1097*(1+H1097)</f>
        <v>0.0142857142857143</v>
      </c>
      <c r="J1097" s="13" t="n">
        <f aca="false">I1097*G1097</f>
        <v>30</v>
      </c>
      <c r="K1097" s="20" t="str">
        <f aca="false">IF(INDEX('06 LABOUR RATE LIBRARY'!$L$5:$L$100,MATCH("LAB-PNT",'06 LABOUR RATE LIBRARY'!$A$5:$A$100,0))=1,"",IF(INDEX('06 LABOUR RATE LIBRARY'!$L$5:$L$100,MATCH("LAB-PNT",'06 LABOUR RATE LIBRARY'!$A$5:$A$100,0))=2,"OLD RATE","NO RATE"))</f>
        <v/>
      </c>
    </row>
    <row r="1098" customFormat="false" ht="15" hidden="false" customHeight="true" outlineLevel="0" collapsed="false">
      <c r="A1098" s="9" t="s">
        <v>318</v>
      </c>
      <c r="B1098" s="9" t="s">
        <v>812</v>
      </c>
      <c r="C1098" s="9" t="s">
        <v>816</v>
      </c>
      <c r="D1098" s="5" t="s">
        <v>1006</v>
      </c>
      <c r="E1098" s="9" t="s">
        <v>815</v>
      </c>
      <c r="F1098" s="18" t="n">
        <f aca="false">'13 PRODUCTIVITY LIBRARY'!F27/'13 PRODUCTIVITY LIBRARY'!D27</f>
        <v>0.00714285714285714</v>
      </c>
      <c r="G1098" s="13" t="n">
        <f aca="false">N(INDEX('06 LABOUR RATE LIBRARY'!$D$5:$D$100,MATCH("LAB-HLP",'06 LABOUR RATE LIBRARY'!$A$5:$A$100,0)))</f>
        <v>1538</v>
      </c>
      <c r="H1098" s="21" t="n">
        <v>0</v>
      </c>
      <c r="I1098" s="18" t="n">
        <f aca="false">F1098*(1+H1098)</f>
        <v>0.00714285714285714</v>
      </c>
      <c r="J1098" s="13" t="n">
        <f aca="false">I1098*G1098</f>
        <v>10.9857142857143</v>
      </c>
      <c r="K109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099" customFormat="false" ht="15" hidden="false" customHeight="true" outlineLevel="0" collapsed="false">
      <c r="D1099" s="22" t="s">
        <v>825</v>
      </c>
      <c r="J1099" s="23" t="n">
        <f aca="false">SUMPRODUCT((B1095:B1098="Material")*F1095:F1098*G1095:G1098)</f>
        <v>42.8075523809524</v>
      </c>
    </row>
    <row r="1100" customFormat="false" ht="15" hidden="false" customHeight="true" outlineLevel="0" collapsed="false">
      <c r="D1100" s="22" t="s">
        <v>826</v>
      </c>
      <c r="J1100" s="23" t="n">
        <f aca="false">SUMIF(B1095:B1098,"Material",J1095:J1098)-J1099</f>
        <v>2.14037761904762</v>
      </c>
    </row>
    <row r="1101" customFormat="false" ht="15" hidden="false" customHeight="true" outlineLevel="0" collapsed="false">
      <c r="D1101" s="24" t="s">
        <v>827</v>
      </c>
      <c r="J1101" s="14" t="n">
        <f aca="false">SUMIF(B1095:B1098,"Material",J1095:J1098)</f>
        <v>44.94793</v>
      </c>
    </row>
    <row r="1102" customFormat="false" ht="15" hidden="false" customHeight="true" outlineLevel="0" collapsed="false">
      <c r="D1102" s="24" t="s">
        <v>828</v>
      </c>
      <c r="J1102" s="14" t="n">
        <f aca="false">SUMIF(B1095:B1098,"Labour",J1095:J1098)</f>
        <v>40.9857142857143</v>
      </c>
    </row>
    <row r="1103" customFormat="false" ht="15" hidden="false" customHeight="true" outlineLevel="0" collapsed="false">
      <c r="D1103" s="24" t="s">
        <v>829</v>
      </c>
      <c r="J1103" s="14" t="n">
        <f aca="false">SUMIF(B1095:B1098,"Equipment",J1095:J1098)</f>
        <v>0</v>
      </c>
    </row>
    <row r="1104" customFormat="false" ht="15" hidden="false" customHeight="true" outlineLevel="0" collapsed="false">
      <c r="D1104" s="24" t="s">
        <v>830</v>
      </c>
      <c r="J1104" s="14" t="n">
        <f aca="false">SUMIF(B1095:B1098,"Transport",J1095:J1098)</f>
        <v>0</v>
      </c>
    </row>
    <row r="1105" customFormat="false" ht="15" hidden="false" customHeight="true" outlineLevel="0" collapsed="false">
      <c r="D1105" s="24" t="s">
        <v>831</v>
      </c>
      <c r="J1105" s="14" t="n">
        <f aca="false">J1101+J1102+J1103+J1104</f>
        <v>85.9336442857143</v>
      </c>
    </row>
    <row r="1106" customFormat="false" ht="15" hidden="false" customHeight="true" outlineLevel="0" collapsed="false">
      <c r="D1106" s="22" t="s">
        <v>832</v>
      </c>
      <c r="J1106" s="23" t="n">
        <f aca="false">J1105*OH_Site</f>
        <v>2.57800932857143</v>
      </c>
    </row>
    <row r="1107" customFormat="false" ht="15" hidden="false" customHeight="true" outlineLevel="0" collapsed="false">
      <c r="D1107" s="22" t="s">
        <v>833</v>
      </c>
      <c r="J1107" s="23" t="n">
        <f aca="false">J1105*OH_HO</f>
        <v>4.29668221428572</v>
      </c>
    </row>
    <row r="1108" customFormat="false" ht="15" hidden="false" customHeight="true" outlineLevel="0" collapsed="false">
      <c r="D1108" s="22" t="s">
        <v>834</v>
      </c>
      <c r="J1108" s="23" t="n">
        <f aca="false">J1105*Profit</f>
        <v>8.59336442857143</v>
      </c>
    </row>
    <row r="1109" customFormat="false" ht="15" hidden="false" customHeight="true" outlineLevel="0" collapsed="false">
      <c r="D1109" s="24" t="s">
        <v>835</v>
      </c>
      <c r="J1109" s="14" t="n">
        <f aca="false">J1105+J1106+J1107+J1108</f>
        <v>101.401700257143</v>
      </c>
    </row>
    <row r="1110" customFormat="false" ht="15" hidden="false" customHeight="true" outlineLevel="0" collapsed="false">
      <c r="D1110" s="22" t="s">
        <v>836</v>
      </c>
      <c r="J1110" s="23" t="n">
        <f aca="false">IF(Tax_On="Yes",J1109*N(Tax_Rate),0)</f>
        <v>0</v>
      </c>
    </row>
    <row r="1111" customFormat="false" ht="15" hidden="false" customHeight="true" outlineLevel="0" collapsed="false">
      <c r="D1111" s="24" t="s">
        <v>895</v>
      </c>
      <c r="J1111" s="14" t="n">
        <f aca="false">ROUND(J1109+J1110,0)</f>
        <v>101</v>
      </c>
    </row>
    <row r="1112" customFormat="false" ht="15" hidden="false" customHeight="true" outlineLevel="0" collapsed="false">
      <c r="D1112" s="25" t="s">
        <v>838</v>
      </c>
      <c r="J1112" s="26" t="n">
        <f aca="false">COUNTIF(K1095:K1098,"NO RATE")+COUNTIF(K1095:K1098,"OLD RATE")</f>
        <v>0</v>
      </c>
    </row>
    <row r="1114" customFormat="false" ht="39.75" hidden="false" customHeight="true" outlineLevel="0" collapsed="false">
      <c r="A1114" s="4" t="s">
        <v>323</v>
      </c>
      <c r="B1114" s="16" t="s">
        <v>327</v>
      </c>
      <c r="C1114" s="16"/>
      <c r="D1114" s="16"/>
      <c r="E1114" s="16"/>
      <c r="F1114" s="16"/>
      <c r="G1114" s="16"/>
      <c r="H1114" s="16"/>
      <c r="I1114" s="16"/>
      <c r="J1114" s="4" t="s">
        <v>890</v>
      </c>
      <c r="K1114" s="17"/>
    </row>
    <row r="1115" customFormat="false" ht="21.75" hidden="false" customHeight="true" outlineLevel="0" collapsed="false">
      <c r="A1115" s="12" t="s">
        <v>75</v>
      </c>
      <c r="B1115" s="12" t="s">
        <v>789</v>
      </c>
      <c r="C1115" s="12" t="s">
        <v>790</v>
      </c>
      <c r="D1115" s="12" t="s">
        <v>791</v>
      </c>
      <c r="E1115" s="12" t="s">
        <v>81</v>
      </c>
      <c r="F1115" s="12" t="s">
        <v>792</v>
      </c>
      <c r="G1115" s="12" t="s">
        <v>793</v>
      </c>
      <c r="H1115" s="12" t="s">
        <v>794</v>
      </c>
      <c r="I1115" s="12" t="s">
        <v>795</v>
      </c>
      <c r="J1115" s="12" t="s">
        <v>796</v>
      </c>
      <c r="K1115" s="12" t="s">
        <v>797</v>
      </c>
    </row>
    <row r="1116" customFormat="false" ht="15" hidden="false" customHeight="true" outlineLevel="0" collapsed="false">
      <c r="A1116" s="9" t="s">
        <v>323</v>
      </c>
      <c r="B1116" s="9" t="s">
        <v>818</v>
      </c>
      <c r="C1116" s="9" t="s">
        <v>1007</v>
      </c>
      <c r="D1116" s="5" t="s">
        <v>1008</v>
      </c>
      <c r="E1116" s="9" t="s">
        <v>212</v>
      </c>
      <c r="F1116" s="18" t="n">
        <v>1</v>
      </c>
      <c r="G1116" s="13" t="n">
        <f aca="false">N(INDEX('07 EQUIPMENT RATE LIBRARY'!$D$5:$D$100,MATCH("EQ-SCAF",'07 EQUIPMENT RATE LIBRARY'!$A$5:$A$100,0)))</f>
        <v>75</v>
      </c>
      <c r="H1116" s="21" t="n">
        <v>0</v>
      </c>
      <c r="I1116" s="18" t="n">
        <f aca="false">F1116*(1+H1116)</f>
        <v>1</v>
      </c>
      <c r="J1116" s="13" t="n">
        <f aca="false">I1116*G1116</f>
        <v>75</v>
      </c>
      <c r="K1116" s="20" t="str">
        <f aca="false">IF(INDEX('07 EQUIPMENT RATE LIBRARY'!$H$5:$H$100,MATCH("EQ-SCAF",'07 EQUIPMENT RATE LIBRARY'!$A$5:$A$100,0))=1,"",IF(INDEX('07 EQUIPMENT RATE LIBRARY'!$H$5:$H$100,MATCH("EQ-SCAF",'07 EQUIPMENT RATE LIBRARY'!$A$5:$A$100,0))=2,"OLD RATE","NO RATE"))</f>
        <v/>
      </c>
    </row>
    <row r="1117" customFormat="false" ht="15" hidden="false" customHeight="true" outlineLevel="0" collapsed="false">
      <c r="A1117" s="9" t="s">
        <v>323</v>
      </c>
      <c r="B1117" s="9" t="s">
        <v>812</v>
      </c>
      <c r="C1117" s="9" t="s">
        <v>1009</v>
      </c>
      <c r="D1117" s="5" t="s">
        <v>1010</v>
      </c>
      <c r="E1117" s="9" t="s">
        <v>815</v>
      </c>
      <c r="F1117" s="18" t="n">
        <v>0</v>
      </c>
      <c r="G1117" s="13" t="n">
        <f aca="false">N(INDEX('06 LABOUR RATE LIBRARY'!$D$5:$D$100,MATCH("LAB-SCF",'06 LABOUR RATE LIBRARY'!$A$5:$A$100,0)))</f>
        <v>2200</v>
      </c>
      <c r="H1117" s="21" t="n">
        <v>0</v>
      </c>
      <c r="I1117" s="18" t="n">
        <f aca="false">F1117*(1+H1117)</f>
        <v>0</v>
      </c>
      <c r="J1117" s="13" t="n">
        <f aca="false">I1117*G1117</f>
        <v>0</v>
      </c>
      <c r="K1117" s="20" t="str">
        <f aca="false">IF(INDEX('06 LABOUR RATE LIBRARY'!$L$5:$L$100,MATCH("LAB-SCF",'06 LABOUR RATE LIBRARY'!$A$5:$A$100,0))=1,"",IF(INDEX('06 LABOUR RATE LIBRARY'!$L$5:$L$100,MATCH("LAB-SCF",'06 LABOUR RATE LIBRARY'!$A$5:$A$100,0))=2,"OLD RATE","NO RATE"))</f>
        <v/>
      </c>
    </row>
    <row r="1118" customFormat="false" ht="15" hidden="false" customHeight="true" outlineLevel="0" collapsed="false">
      <c r="A1118" s="9" t="s">
        <v>323</v>
      </c>
      <c r="B1118" s="9" t="s">
        <v>812</v>
      </c>
      <c r="C1118" s="9" t="s">
        <v>816</v>
      </c>
      <c r="D1118" s="5" t="s">
        <v>1011</v>
      </c>
      <c r="E1118" s="9" t="s">
        <v>815</v>
      </c>
      <c r="F1118" s="18" t="n">
        <v>0</v>
      </c>
      <c r="G1118" s="13" t="n">
        <f aca="false">N(INDEX('06 LABOUR RATE LIBRARY'!$D$5:$D$100,MATCH("LAB-HLP",'06 LABOUR RATE LIBRARY'!$A$5:$A$100,0)))</f>
        <v>1538</v>
      </c>
      <c r="H1118" s="21" t="n">
        <v>0</v>
      </c>
      <c r="I1118" s="18" t="n">
        <f aca="false">F1118*(1+H1118)</f>
        <v>0</v>
      </c>
      <c r="J1118" s="13" t="n">
        <f aca="false">I1118*G1118</f>
        <v>0</v>
      </c>
      <c r="K111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119" customFormat="false" ht="15" hidden="false" customHeight="true" outlineLevel="0" collapsed="false">
      <c r="D1119" s="22" t="s">
        <v>825</v>
      </c>
      <c r="J1119" s="23" t="n">
        <f aca="false">SUMPRODUCT((B1116:B1118="Material")*F1116:F1118*G1116:G1118)</f>
        <v>0</v>
      </c>
    </row>
    <row r="1120" customFormat="false" ht="15" hidden="false" customHeight="true" outlineLevel="0" collapsed="false">
      <c r="D1120" s="22" t="s">
        <v>826</v>
      </c>
      <c r="J1120" s="23" t="n">
        <f aca="false">SUMIF(B1116:B1118,"Material",J1116:J1118)-J1119</f>
        <v>0</v>
      </c>
    </row>
    <row r="1121" customFormat="false" ht="15" hidden="false" customHeight="true" outlineLevel="0" collapsed="false">
      <c r="D1121" s="24" t="s">
        <v>827</v>
      </c>
      <c r="J1121" s="14" t="n">
        <f aca="false">SUMIF(B1116:B1118,"Material",J1116:J1118)</f>
        <v>0</v>
      </c>
    </row>
    <row r="1122" customFormat="false" ht="15" hidden="false" customHeight="true" outlineLevel="0" collapsed="false">
      <c r="D1122" s="24" t="s">
        <v>828</v>
      </c>
      <c r="J1122" s="14" t="n">
        <f aca="false">SUMIF(B1116:B1118,"Labour",J1116:J1118)</f>
        <v>0</v>
      </c>
    </row>
    <row r="1123" customFormat="false" ht="15" hidden="false" customHeight="true" outlineLevel="0" collapsed="false">
      <c r="D1123" s="24" t="s">
        <v>829</v>
      </c>
      <c r="J1123" s="14" t="n">
        <f aca="false">SUMIF(B1116:B1118,"Equipment",J1116:J1118)</f>
        <v>75</v>
      </c>
    </row>
    <row r="1124" customFormat="false" ht="15" hidden="false" customHeight="true" outlineLevel="0" collapsed="false">
      <c r="D1124" s="24" t="s">
        <v>830</v>
      </c>
      <c r="J1124" s="14" t="n">
        <f aca="false">SUMIF(B1116:B1118,"Transport",J1116:J1118)</f>
        <v>0</v>
      </c>
    </row>
    <row r="1125" customFormat="false" ht="15" hidden="false" customHeight="true" outlineLevel="0" collapsed="false">
      <c r="D1125" s="24" t="s">
        <v>831</v>
      </c>
      <c r="J1125" s="14" t="n">
        <f aca="false">J1121+J1122+J1123+J1124</f>
        <v>75</v>
      </c>
    </row>
    <row r="1126" customFormat="false" ht="15" hidden="false" customHeight="true" outlineLevel="0" collapsed="false">
      <c r="D1126" s="22" t="s">
        <v>832</v>
      </c>
      <c r="J1126" s="23" t="n">
        <f aca="false">J1125*OH_Site</f>
        <v>2.25</v>
      </c>
    </row>
    <row r="1127" customFormat="false" ht="15" hidden="false" customHeight="true" outlineLevel="0" collapsed="false">
      <c r="D1127" s="22" t="s">
        <v>833</v>
      </c>
      <c r="J1127" s="23" t="n">
        <f aca="false">J1125*OH_HO</f>
        <v>3.75</v>
      </c>
    </row>
    <row r="1128" customFormat="false" ht="15" hidden="false" customHeight="true" outlineLevel="0" collapsed="false">
      <c r="D1128" s="22" t="s">
        <v>834</v>
      </c>
      <c r="J1128" s="23" t="n">
        <f aca="false">J1125*Profit</f>
        <v>7.5</v>
      </c>
    </row>
    <row r="1129" customFormat="false" ht="15" hidden="false" customHeight="true" outlineLevel="0" collapsed="false">
      <c r="D1129" s="24" t="s">
        <v>835</v>
      </c>
      <c r="J1129" s="14" t="n">
        <f aca="false">J1125+J1126+J1127+J1128</f>
        <v>88.5</v>
      </c>
    </row>
    <row r="1130" customFormat="false" ht="15" hidden="false" customHeight="true" outlineLevel="0" collapsed="false">
      <c r="D1130" s="22" t="s">
        <v>836</v>
      </c>
      <c r="J1130" s="23" t="n">
        <f aca="false">IF(Tax_On="Yes",J1129*N(Tax_Rate),0)</f>
        <v>0</v>
      </c>
    </row>
    <row r="1131" customFormat="false" ht="15" hidden="false" customHeight="true" outlineLevel="0" collapsed="false">
      <c r="D1131" s="24" t="s">
        <v>895</v>
      </c>
      <c r="J1131" s="14" t="n">
        <f aca="false">ROUND(J1129+J1130,0)</f>
        <v>89</v>
      </c>
    </row>
    <row r="1132" customFormat="false" ht="15" hidden="false" customHeight="true" outlineLevel="0" collapsed="false">
      <c r="D1132" s="25" t="s">
        <v>838</v>
      </c>
      <c r="J1132" s="26" t="n">
        <f aca="false">COUNTIF(K1116:K1118,"NO RATE")+COUNTIF(K1116:K1118,"OLD RATE")</f>
        <v>0</v>
      </c>
    </row>
    <row r="1134" customFormat="false" ht="39.75" hidden="false" customHeight="true" outlineLevel="0" collapsed="false">
      <c r="A1134" s="4" t="s">
        <v>329</v>
      </c>
      <c r="B1134" s="16" t="s">
        <v>332</v>
      </c>
      <c r="C1134" s="16"/>
      <c r="D1134" s="16"/>
      <c r="E1134" s="16"/>
      <c r="F1134" s="16"/>
      <c r="G1134" s="16"/>
      <c r="H1134" s="16"/>
      <c r="I1134" s="16"/>
      <c r="J1134" s="4" t="s">
        <v>788</v>
      </c>
      <c r="K1134" s="17"/>
    </row>
    <row r="1135" customFormat="false" ht="21.75" hidden="false" customHeight="true" outlineLevel="0" collapsed="false">
      <c r="A1135" s="12" t="s">
        <v>75</v>
      </c>
      <c r="B1135" s="12" t="s">
        <v>789</v>
      </c>
      <c r="C1135" s="12" t="s">
        <v>790</v>
      </c>
      <c r="D1135" s="12" t="s">
        <v>791</v>
      </c>
      <c r="E1135" s="12" t="s">
        <v>81</v>
      </c>
      <c r="F1135" s="12" t="s">
        <v>792</v>
      </c>
      <c r="G1135" s="12" t="s">
        <v>793</v>
      </c>
      <c r="H1135" s="12" t="s">
        <v>794</v>
      </c>
      <c r="I1135" s="12" t="s">
        <v>795</v>
      </c>
      <c r="J1135" s="12" t="s">
        <v>796</v>
      </c>
      <c r="K1135" s="12" t="s">
        <v>797</v>
      </c>
    </row>
    <row r="1136" customFormat="false" ht="15" hidden="false" customHeight="true" outlineLevel="0" collapsed="false">
      <c r="A1136" s="9" t="s">
        <v>329</v>
      </c>
      <c r="B1136" s="9" t="s">
        <v>812</v>
      </c>
      <c r="C1136" s="9" t="s">
        <v>816</v>
      </c>
      <c r="D1136" s="5" t="s">
        <v>1012</v>
      </c>
      <c r="E1136" s="9" t="s">
        <v>815</v>
      </c>
      <c r="F1136" s="18" t="n">
        <f aca="false">2/150</f>
        <v>0.0133333333333333</v>
      </c>
      <c r="G1136" s="13" t="n">
        <f aca="false">N(INDEX('06 LABOUR RATE LIBRARY'!$D$5:$D$100,MATCH("LAB-HLP",'06 LABOUR RATE LIBRARY'!$A$5:$A$100,0)))</f>
        <v>1538</v>
      </c>
      <c r="H1136" s="21" t="n">
        <v>0</v>
      </c>
      <c r="I1136" s="18" t="n">
        <f aca="false">F1136*(1+H1136)</f>
        <v>0.0133333333333333</v>
      </c>
      <c r="J1136" s="13" t="n">
        <f aca="false">I1136*G1136</f>
        <v>20.5066666666667</v>
      </c>
      <c r="K113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137" customFormat="false" ht="15" hidden="false" customHeight="true" outlineLevel="0" collapsed="false">
      <c r="A1137" s="9" t="s">
        <v>329</v>
      </c>
      <c r="B1137" s="9" t="s">
        <v>818</v>
      </c>
      <c r="C1137" s="9" t="s">
        <v>1013</v>
      </c>
      <c r="D1137" s="5" t="s">
        <v>1014</v>
      </c>
      <c r="E1137" s="9" t="s">
        <v>109</v>
      </c>
      <c r="F1137" s="18" t="n">
        <v>1</v>
      </c>
      <c r="G1137" s="13" t="n">
        <f aca="false">N(INDEX('07 EQUIPMENT RATE LIBRARY'!$D$5:$D$100,MATCH("EQ-TRUCK",'07 EQUIPMENT RATE LIBRARY'!$A$5:$A$100,0)))</f>
        <v>45</v>
      </c>
      <c r="H1137" s="21" t="n">
        <v>0</v>
      </c>
      <c r="I1137" s="18" t="n">
        <f aca="false">F1137*(1+H1137)</f>
        <v>1</v>
      </c>
      <c r="J1137" s="13" t="n">
        <f aca="false">I1137*G1137</f>
        <v>45</v>
      </c>
      <c r="K1137" s="20" t="str">
        <f aca="false">IF(INDEX('07 EQUIPMENT RATE LIBRARY'!$H$5:$H$100,MATCH("EQ-TRUCK",'07 EQUIPMENT RATE LIBRARY'!$A$5:$A$100,0))=1,"",IF(INDEX('07 EQUIPMENT RATE LIBRARY'!$H$5:$H$100,MATCH("EQ-TRUCK",'07 EQUIPMENT RATE LIBRARY'!$A$5:$A$100,0))=2,"OLD RATE","NO RATE"))</f>
        <v/>
      </c>
    </row>
    <row r="1138" customFormat="false" ht="15" hidden="false" customHeight="true" outlineLevel="0" collapsed="false">
      <c r="D1138" s="22" t="s">
        <v>825</v>
      </c>
      <c r="J1138" s="23" t="n">
        <f aca="false">SUMPRODUCT((B1136:B1137="Material")*F1136:F1137*G1136:G1137)</f>
        <v>0</v>
      </c>
    </row>
    <row r="1139" customFormat="false" ht="15" hidden="false" customHeight="true" outlineLevel="0" collapsed="false">
      <c r="D1139" s="22" t="s">
        <v>826</v>
      </c>
      <c r="J1139" s="23" t="n">
        <f aca="false">SUMIF(B1136:B1137,"Material",J1136:J1137)-J1138</f>
        <v>0</v>
      </c>
    </row>
    <row r="1140" customFormat="false" ht="15" hidden="false" customHeight="true" outlineLevel="0" collapsed="false">
      <c r="D1140" s="24" t="s">
        <v>827</v>
      </c>
      <c r="J1140" s="14" t="n">
        <f aca="false">SUMIF(B1136:B1137,"Material",J1136:J1137)</f>
        <v>0</v>
      </c>
    </row>
    <row r="1141" customFormat="false" ht="15" hidden="false" customHeight="true" outlineLevel="0" collapsed="false">
      <c r="D1141" s="24" t="s">
        <v>828</v>
      </c>
      <c r="J1141" s="14" t="n">
        <f aca="false">SUMIF(B1136:B1137,"Labour",J1136:J1137)</f>
        <v>20.5066666666667</v>
      </c>
    </row>
    <row r="1142" customFormat="false" ht="15" hidden="false" customHeight="true" outlineLevel="0" collapsed="false">
      <c r="D1142" s="24" t="s">
        <v>829</v>
      </c>
      <c r="J1142" s="14" t="n">
        <f aca="false">SUMIF(B1136:B1137,"Equipment",J1136:J1137)</f>
        <v>45</v>
      </c>
    </row>
    <row r="1143" customFormat="false" ht="15" hidden="false" customHeight="true" outlineLevel="0" collapsed="false">
      <c r="D1143" s="24" t="s">
        <v>830</v>
      </c>
      <c r="J1143" s="14" t="n">
        <f aca="false">SUMIF(B1136:B1137,"Transport",J1136:J1137)</f>
        <v>0</v>
      </c>
    </row>
    <row r="1144" customFormat="false" ht="15" hidden="false" customHeight="true" outlineLevel="0" collapsed="false">
      <c r="D1144" s="24" t="s">
        <v>831</v>
      </c>
      <c r="J1144" s="14" t="n">
        <f aca="false">J1140+J1141+J1142+J1143</f>
        <v>65.5066666666667</v>
      </c>
    </row>
    <row r="1145" customFormat="false" ht="15" hidden="false" customHeight="true" outlineLevel="0" collapsed="false">
      <c r="D1145" s="22" t="s">
        <v>832</v>
      </c>
      <c r="J1145" s="23" t="n">
        <f aca="false">J1144*OH_Site</f>
        <v>1.9652</v>
      </c>
    </row>
    <row r="1146" customFormat="false" ht="15" hidden="false" customHeight="true" outlineLevel="0" collapsed="false">
      <c r="D1146" s="22" t="s">
        <v>833</v>
      </c>
      <c r="J1146" s="23" t="n">
        <f aca="false">J1144*OH_HO</f>
        <v>3.27533333333333</v>
      </c>
    </row>
    <row r="1147" customFormat="false" ht="15" hidden="false" customHeight="true" outlineLevel="0" collapsed="false">
      <c r="D1147" s="22" t="s">
        <v>834</v>
      </c>
      <c r="J1147" s="23" t="n">
        <f aca="false">J1144*Profit</f>
        <v>6.55066666666667</v>
      </c>
    </row>
    <row r="1148" customFormat="false" ht="15" hidden="false" customHeight="true" outlineLevel="0" collapsed="false">
      <c r="D1148" s="24" t="s">
        <v>835</v>
      </c>
      <c r="J1148" s="14" t="n">
        <f aca="false">J1144+J1145+J1146+J1147</f>
        <v>77.2978666666667</v>
      </c>
    </row>
    <row r="1149" customFormat="false" ht="15" hidden="false" customHeight="true" outlineLevel="0" collapsed="false">
      <c r="D1149" s="22" t="s">
        <v>836</v>
      </c>
      <c r="J1149" s="23" t="n">
        <f aca="false">IF(Tax_On="Yes",J1148*N(Tax_Rate),0)</f>
        <v>0</v>
      </c>
    </row>
    <row r="1150" customFormat="false" ht="15" hidden="false" customHeight="true" outlineLevel="0" collapsed="false">
      <c r="D1150" s="24" t="s">
        <v>837</v>
      </c>
      <c r="J1150" s="14" t="n">
        <f aca="false">ROUND(J1148+J1149,0)</f>
        <v>77</v>
      </c>
    </row>
    <row r="1151" customFormat="false" ht="15" hidden="false" customHeight="true" outlineLevel="0" collapsed="false">
      <c r="D1151" s="25" t="s">
        <v>838</v>
      </c>
      <c r="J1151" s="26" t="n">
        <f aca="false">COUNTIF(K1136:K1137,"NO RATE")+COUNTIF(K1136:K1137,"OLD RATE")</f>
        <v>0</v>
      </c>
    </row>
    <row r="1153" customFormat="false" ht="39.75" hidden="false" customHeight="true" outlineLevel="0" collapsed="false">
      <c r="A1153" s="4" t="s">
        <v>334</v>
      </c>
      <c r="B1153" s="16" t="s">
        <v>337</v>
      </c>
      <c r="C1153" s="16"/>
      <c r="D1153" s="16"/>
      <c r="E1153" s="16"/>
      <c r="F1153" s="16"/>
      <c r="G1153" s="16"/>
      <c r="H1153" s="16"/>
      <c r="I1153" s="16"/>
      <c r="J1153" s="4" t="s">
        <v>788</v>
      </c>
      <c r="K1153" s="17"/>
    </row>
    <row r="1154" customFormat="false" ht="21.75" hidden="false" customHeight="true" outlineLevel="0" collapsed="false">
      <c r="A1154" s="12" t="s">
        <v>75</v>
      </c>
      <c r="B1154" s="12" t="s">
        <v>789</v>
      </c>
      <c r="C1154" s="12" t="s">
        <v>790</v>
      </c>
      <c r="D1154" s="12" t="s">
        <v>791</v>
      </c>
      <c r="E1154" s="12" t="s">
        <v>81</v>
      </c>
      <c r="F1154" s="12" t="s">
        <v>792</v>
      </c>
      <c r="G1154" s="12" t="s">
        <v>793</v>
      </c>
      <c r="H1154" s="12" t="s">
        <v>794</v>
      </c>
      <c r="I1154" s="12" t="s">
        <v>795</v>
      </c>
      <c r="J1154" s="12" t="s">
        <v>796</v>
      </c>
      <c r="K1154" s="12" t="s">
        <v>797</v>
      </c>
    </row>
    <row r="1155" customFormat="false" ht="15" hidden="false" customHeight="true" outlineLevel="0" collapsed="false">
      <c r="A1155" s="9" t="s">
        <v>334</v>
      </c>
      <c r="B1155" s="9" t="s">
        <v>818</v>
      </c>
      <c r="C1155" s="9" t="s">
        <v>1015</v>
      </c>
      <c r="D1155" s="5" t="s">
        <v>1016</v>
      </c>
      <c r="E1155" s="9" t="s">
        <v>109</v>
      </c>
      <c r="F1155" s="18" t="n">
        <v>1</v>
      </c>
      <c r="G1155" s="13" t="n">
        <f aca="false">N(INDEX('07 EQUIPMENT RATE LIBRARY'!$D$5:$D$100,MATCH("EQ-EXC",'07 EQUIPMENT RATE LIBRARY'!$A$5:$A$100,0)))</f>
        <v>9.523</v>
      </c>
      <c r="H1155" s="21" t="n">
        <v>0</v>
      </c>
      <c r="I1155" s="18" t="n">
        <f aca="false">F1155*(1+H1155)</f>
        <v>1</v>
      </c>
      <c r="J1155" s="13" t="n">
        <f aca="false">I1155*G1155</f>
        <v>9.523</v>
      </c>
      <c r="K1155" s="20" t="str">
        <f aca="false">IF(INDEX('07 EQUIPMENT RATE LIBRARY'!$H$5:$H$100,MATCH("EQ-EXC",'07 EQUIPMENT RATE LIBRARY'!$A$5:$A$100,0))=1,"",IF(INDEX('07 EQUIPMENT RATE LIBRARY'!$H$5:$H$100,MATCH("EQ-EXC",'07 EQUIPMENT RATE LIBRARY'!$A$5:$A$100,0))=2,"OLD RATE","NO RATE"))</f>
        <v/>
      </c>
    </row>
    <row r="1156" customFormat="false" ht="15" hidden="false" customHeight="true" outlineLevel="0" collapsed="false">
      <c r="A1156" s="9" t="s">
        <v>334</v>
      </c>
      <c r="B1156" s="9" t="s">
        <v>812</v>
      </c>
      <c r="C1156" s="9" t="s">
        <v>816</v>
      </c>
      <c r="D1156" s="5" t="s">
        <v>1017</v>
      </c>
      <c r="E1156" s="9" t="s">
        <v>815</v>
      </c>
      <c r="F1156" s="18" t="n">
        <v>0</v>
      </c>
      <c r="G1156" s="13" t="n">
        <f aca="false">N(INDEX('06 LABOUR RATE LIBRARY'!$D$5:$D$100,MATCH("LAB-HLP",'06 LABOUR RATE LIBRARY'!$A$5:$A$100,0)))</f>
        <v>1538</v>
      </c>
      <c r="H1156" s="21" t="n">
        <v>0</v>
      </c>
      <c r="I1156" s="18" t="n">
        <f aca="false">F1156*(1+H1156)</f>
        <v>0</v>
      </c>
      <c r="J1156" s="13" t="n">
        <f aca="false">I1156*G1156</f>
        <v>0</v>
      </c>
      <c r="K115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157" customFormat="false" ht="15" hidden="false" customHeight="true" outlineLevel="0" collapsed="false">
      <c r="D1157" s="22" t="s">
        <v>825</v>
      </c>
      <c r="J1157" s="23" t="n">
        <f aca="false">SUMPRODUCT((B1155:B1156="Material")*F1155:F1156*G1155:G1156)</f>
        <v>0</v>
      </c>
    </row>
    <row r="1158" customFormat="false" ht="15" hidden="false" customHeight="true" outlineLevel="0" collapsed="false">
      <c r="D1158" s="22" t="s">
        <v>826</v>
      </c>
      <c r="J1158" s="23" t="n">
        <f aca="false">SUMIF(B1155:B1156,"Material",J1155:J1156)-J1157</f>
        <v>0</v>
      </c>
    </row>
    <row r="1159" customFormat="false" ht="15" hidden="false" customHeight="true" outlineLevel="0" collapsed="false">
      <c r="D1159" s="24" t="s">
        <v>827</v>
      </c>
      <c r="J1159" s="14" t="n">
        <f aca="false">SUMIF(B1155:B1156,"Material",J1155:J1156)</f>
        <v>0</v>
      </c>
    </row>
    <row r="1160" customFormat="false" ht="15" hidden="false" customHeight="true" outlineLevel="0" collapsed="false">
      <c r="D1160" s="24" t="s">
        <v>828</v>
      </c>
      <c r="J1160" s="14" t="n">
        <f aca="false">SUMIF(B1155:B1156,"Labour",J1155:J1156)</f>
        <v>0</v>
      </c>
    </row>
    <row r="1161" customFormat="false" ht="15" hidden="false" customHeight="true" outlineLevel="0" collapsed="false">
      <c r="D1161" s="24" t="s">
        <v>829</v>
      </c>
      <c r="J1161" s="14" t="n">
        <f aca="false">SUMIF(B1155:B1156,"Equipment",J1155:J1156)</f>
        <v>9.523</v>
      </c>
    </row>
    <row r="1162" customFormat="false" ht="15" hidden="false" customHeight="true" outlineLevel="0" collapsed="false">
      <c r="D1162" s="24" t="s">
        <v>830</v>
      </c>
      <c r="J1162" s="14" t="n">
        <f aca="false">SUMIF(B1155:B1156,"Transport",J1155:J1156)</f>
        <v>0</v>
      </c>
    </row>
    <row r="1163" customFormat="false" ht="15" hidden="false" customHeight="true" outlineLevel="0" collapsed="false">
      <c r="D1163" s="24" t="s">
        <v>831</v>
      </c>
      <c r="J1163" s="14" t="n">
        <f aca="false">J1159+J1160+J1161+J1162</f>
        <v>9.523</v>
      </c>
    </row>
    <row r="1164" customFormat="false" ht="15" hidden="false" customHeight="true" outlineLevel="0" collapsed="false">
      <c r="D1164" s="22" t="s">
        <v>832</v>
      </c>
      <c r="J1164" s="23" t="n">
        <f aca="false">J1163*OH_Site</f>
        <v>0.28569</v>
      </c>
    </row>
    <row r="1165" customFormat="false" ht="15" hidden="false" customHeight="true" outlineLevel="0" collapsed="false">
      <c r="D1165" s="22" t="s">
        <v>833</v>
      </c>
      <c r="J1165" s="23" t="n">
        <f aca="false">J1163*OH_HO</f>
        <v>0.47615</v>
      </c>
    </row>
    <row r="1166" customFormat="false" ht="15" hidden="false" customHeight="true" outlineLevel="0" collapsed="false">
      <c r="D1166" s="22" t="s">
        <v>834</v>
      </c>
      <c r="J1166" s="23" t="n">
        <f aca="false">J1163*Profit</f>
        <v>0.9523</v>
      </c>
    </row>
    <row r="1167" customFormat="false" ht="15" hidden="false" customHeight="true" outlineLevel="0" collapsed="false">
      <c r="D1167" s="24" t="s">
        <v>835</v>
      </c>
      <c r="J1167" s="14" t="n">
        <f aca="false">J1163+J1164+J1165+J1166</f>
        <v>11.23714</v>
      </c>
    </row>
    <row r="1168" customFormat="false" ht="15" hidden="false" customHeight="true" outlineLevel="0" collapsed="false">
      <c r="D1168" s="22" t="s">
        <v>836</v>
      </c>
      <c r="J1168" s="23" t="n">
        <f aca="false">IF(Tax_On="Yes",J1167*N(Tax_Rate),0)</f>
        <v>0</v>
      </c>
    </row>
    <row r="1169" customFormat="false" ht="15" hidden="false" customHeight="true" outlineLevel="0" collapsed="false">
      <c r="D1169" s="24" t="s">
        <v>837</v>
      </c>
      <c r="J1169" s="14" t="n">
        <f aca="false">ROUND(J1167+J1168,0)</f>
        <v>11</v>
      </c>
    </row>
    <row r="1170" customFormat="false" ht="15" hidden="false" customHeight="true" outlineLevel="0" collapsed="false">
      <c r="D1170" s="25" t="s">
        <v>838</v>
      </c>
      <c r="J1170" s="26" t="n">
        <f aca="false">COUNTIF(K1155:K1156,"NO RATE")+COUNTIF(K1155:K1156,"OLD RATE")</f>
        <v>0</v>
      </c>
    </row>
    <row r="1172" customFormat="false" ht="39.75" hidden="false" customHeight="true" outlineLevel="0" collapsed="false">
      <c r="A1172" s="4" t="s">
        <v>339</v>
      </c>
      <c r="B1172" s="16" t="s">
        <v>341</v>
      </c>
      <c r="C1172" s="16"/>
      <c r="D1172" s="16"/>
      <c r="E1172" s="16"/>
      <c r="F1172" s="16"/>
      <c r="G1172" s="16"/>
      <c r="H1172" s="16"/>
      <c r="I1172" s="16"/>
      <c r="J1172" s="4" t="s">
        <v>788</v>
      </c>
      <c r="K1172" s="17"/>
    </row>
    <row r="1173" customFormat="false" ht="21.75" hidden="false" customHeight="true" outlineLevel="0" collapsed="false">
      <c r="A1173" s="12" t="s">
        <v>75</v>
      </c>
      <c r="B1173" s="12" t="s">
        <v>789</v>
      </c>
      <c r="C1173" s="12" t="s">
        <v>790</v>
      </c>
      <c r="D1173" s="12" t="s">
        <v>791</v>
      </c>
      <c r="E1173" s="12" t="s">
        <v>81</v>
      </c>
      <c r="F1173" s="12" t="s">
        <v>792</v>
      </c>
      <c r="G1173" s="12" t="s">
        <v>793</v>
      </c>
      <c r="H1173" s="12" t="s">
        <v>794</v>
      </c>
      <c r="I1173" s="12" t="s">
        <v>795</v>
      </c>
      <c r="J1173" s="12" t="s">
        <v>796</v>
      </c>
      <c r="K1173" s="12" t="s">
        <v>797</v>
      </c>
    </row>
    <row r="1174" customFormat="false" ht="15" hidden="false" customHeight="true" outlineLevel="0" collapsed="false">
      <c r="A1174" s="9" t="s">
        <v>339</v>
      </c>
      <c r="B1174" s="9" t="s">
        <v>818</v>
      </c>
      <c r="C1174" s="9" t="s">
        <v>1018</v>
      </c>
      <c r="D1174" s="5" t="s">
        <v>1016</v>
      </c>
      <c r="E1174" s="9" t="s">
        <v>109</v>
      </c>
      <c r="F1174" s="18" t="n">
        <v>1</v>
      </c>
      <c r="G1174" s="13" t="n">
        <f aca="false">N(INDEX('07 EQUIPMENT RATE LIBRARY'!$D$5:$D$100,MATCH("EQ-EXC-H",'07 EQUIPMENT RATE LIBRARY'!$A$5:$A$100,0)))</f>
        <v>11.164</v>
      </c>
      <c r="H1174" s="21" t="n">
        <v>0</v>
      </c>
      <c r="I1174" s="18" t="n">
        <f aca="false">F1174*(1+H1174)</f>
        <v>1</v>
      </c>
      <c r="J1174" s="13" t="n">
        <f aca="false">I1174*G1174</f>
        <v>11.164</v>
      </c>
      <c r="K1174" s="20" t="str">
        <f aca="false">IF(INDEX('07 EQUIPMENT RATE LIBRARY'!$H$5:$H$100,MATCH("EQ-EXC-H",'07 EQUIPMENT RATE LIBRARY'!$A$5:$A$100,0))=1,"",IF(INDEX('07 EQUIPMENT RATE LIBRARY'!$H$5:$H$100,MATCH("EQ-EXC-H",'07 EQUIPMENT RATE LIBRARY'!$A$5:$A$100,0))=2,"OLD RATE","NO RATE"))</f>
        <v/>
      </c>
    </row>
    <row r="1175" customFormat="false" ht="15" hidden="false" customHeight="true" outlineLevel="0" collapsed="false">
      <c r="A1175" s="9" t="s">
        <v>339</v>
      </c>
      <c r="B1175" s="9" t="s">
        <v>812</v>
      </c>
      <c r="C1175" s="9" t="s">
        <v>816</v>
      </c>
      <c r="D1175" s="5" t="s">
        <v>1017</v>
      </c>
      <c r="E1175" s="9" t="s">
        <v>815</v>
      </c>
      <c r="F1175" s="18" t="n">
        <v>0</v>
      </c>
      <c r="G1175" s="13" t="n">
        <f aca="false">N(INDEX('06 LABOUR RATE LIBRARY'!$D$5:$D$100,MATCH("LAB-HLP",'06 LABOUR RATE LIBRARY'!$A$5:$A$100,0)))</f>
        <v>1538</v>
      </c>
      <c r="H1175" s="21" t="n">
        <v>0</v>
      </c>
      <c r="I1175" s="18" t="n">
        <f aca="false">F1175*(1+H1175)</f>
        <v>0</v>
      </c>
      <c r="J1175" s="13" t="n">
        <f aca="false">I1175*G1175</f>
        <v>0</v>
      </c>
      <c r="K117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176" customFormat="false" ht="15" hidden="false" customHeight="true" outlineLevel="0" collapsed="false">
      <c r="D1176" s="22" t="s">
        <v>825</v>
      </c>
      <c r="J1176" s="23" t="n">
        <f aca="false">SUMPRODUCT((B1174:B1175="Material")*F1174:F1175*G1174:G1175)</f>
        <v>0</v>
      </c>
    </row>
    <row r="1177" customFormat="false" ht="15" hidden="false" customHeight="true" outlineLevel="0" collapsed="false">
      <c r="D1177" s="22" t="s">
        <v>826</v>
      </c>
      <c r="J1177" s="23" t="n">
        <f aca="false">SUMIF(B1174:B1175,"Material",J1174:J1175)-J1176</f>
        <v>0</v>
      </c>
    </row>
    <row r="1178" customFormat="false" ht="15" hidden="false" customHeight="true" outlineLevel="0" collapsed="false">
      <c r="D1178" s="24" t="s">
        <v>827</v>
      </c>
      <c r="J1178" s="14" t="n">
        <f aca="false">SUMIF(B1174:B1175,"Material",J1174:J1175)</f>
        <v>0</v>
      </c>
    </row>
    <row r="1179" customFormat="false" ht="15" hidden="false" customHeight="true" outlineLevel="0" collapsed="false">
      <c r="D1179" s="24" t="s">
        <v>828</v>
      </c>
      <c r="J1179" s="14" t="n">
        <f aca="false">SUMIF(B1174:B1175,"Labour",J1174:J1175)</f>
        <v>0</v>
      </c>
    </row>
    <row r="1180" customFormat="false" ht="15" hidden="false" customHeight="true" outlineLevel="0" collapsed="false">
      <c r="D1180" s="24" t="s">
        <v>829</v>
      </c>
      <c r="J1180" s="14" t="n">
        <f aca="false">SUMIF(B1174:B1175,"Equipment",J1174:J1175)</f>
        <v>11.164</v>
      </c>
    </row>
    <row r="1181" customFormat="false" ht="15" hidden="false" customHeight="true" outlineLevel="0" collapsed="false">
      <c r="D1181" s="24" t="s">
        <v>830</v>
      </c>
      <c r="J1181" s="14" t="n">
        <f aca="false">SUMIF(B1174:B1175,"Transport",J1174:J1175)</f>
        <v>0</v>
      </c>
    </row>
    <row r="1182" customFormat="false" ht="15" hidden="false" customHeight="true" outlineLevel="0" collapsed="false">
      <c r="D1182" s="24" t="s">
        <v>831</v>
      </c>
      <c r="J1182" s="14" t="n">
        <f aca="false">J1178+J1179+J1180+J1181</f>
        <v>11.164</v>
      </c>
    </row>
    <row r="1183" customFormat="false" ht="15" hidden="false" customHeight="true" outlineLevel="0" collapsed="false">
      <c r="D1183" s="22" t="s">
        <v>832</v>
      </c>
      <c r="J1183" s="23" t="n">
        <f aca="false">J1182*OH_Site</f>
        <v>0.33492</v>
      </c>
    </row>
    <row r="1184" customFormat="false" ht="15" hidden="false" customHeight="true" outlineLevel="0" collapsed="false">
      <c r="D1184" s="22" t="s">
        <v>833</v>
      </c>
      <c r="J1184" s="23" t="n">
        <f aca="false">J1182*OH_HO</f>
        <v>0.5582</v>
      </c>
    </row>
    <row r="1185" customFormat="false" ht="15" hidden="false" customHeight="true" outlineLevel="0" collapsed="false">
      <c r="D1185" s="22" t="s">
        <v>834</v>
      </c>
      <c r="J1185" s="23" t="n">
        <f aca="false">J1182*Profit</f>
        <v>1.1164</v>
      </c>
    </row>
    <row r="1186" customFormat="false" ht="15" hidden="false" customHeight="true" outlineLevel="0" collapsed="false">
      <c r="D1186" s="24" t="s">
        <v>835</v>
      </c>
      <c r="J1186" s="14" t="n">
        <f aca="false">J1182+J1183+J1184+J1185</f>
        <v>13.17352</v>
      </c>
    </row>
    <row r="1187" customFormat="false" ht="15" hidden="false" customHeight="true" outlineLevel="0" collapsed="false">
      <c r="D1187" s="22" t="s">
        <v>836</v>
      </c>
      <c r="J1187" s="23" t="n">
        <f aca="false">IF(Tax_On="Yes",J1186*N(Tax_Rate),0)</f>
        <v>0</v>
      </c>
    </row>
    <row r="1188" customFormat="false" ht="15" hidden="false" customHeight="true" outlineLevel="0" collapsed="false">
      <c r="D1188" s="24" t="s">
        <v>837</v>
      </c>
      <c r="J1188" s="14" t="n">
        <f aca="false">ROUND(J1186+J1187,0)</f>
        <v>13</v>
      </c>
    </row>
    <row r="1189" customFormat="false" ht="15" hidden="false" customHeight="true" outlineLevel="0" collapsed="false">
      <c r="D1189" s="25" t="s">
        <v>838</v>
      </c>
      <c r="J1189" s="26" t="n">
        <f aca="false">COUNTIF(K1174:K1175,"NO RATE")+COUNTIF(K1174:K1175,"OLD RATE")</f>
        <v>0</v>
      </c>
    </row>
    <row r="1191" customFormat="false" ht="39.75" hidden="false" customHeight="true" outlineLevel="0" collapsed="false">
      <c r="A1191" s="4" t="s">
        <v>343</v>
      </c>
      <c r="B1191" s="16" t="s">
        <v>345</v>
      </c>
      <c r="C1191" s="16"/>
      <c r="D1191" s="16"/>
      <c r="E1191" s="16"/>
      <c r="F1191" s="16"/>
      <c r="G1191" s="16"/>
      <c r="H1191" s="16"/>
      <c r="I1191" s="16"/>
      <c r="J1191" s="4" t="s">
        <v>788</v>
      </c>
      <c r="K1191" s="17"/>
    </row>
    <row r="1192" customFormat="false" ht="21.75" hidden="false" customHeight="true" outlineLevel="0" collapsed="false">
      <c r="A1192" s="12" t="s">
        <v>75</v>
      </c>
      <c r="B1192" s="12" t="s">
        <v>789</v>
      </c>
      <c r="C1192" s="12" t="s">
        <v>790</v>
      </c>
      <c r="D1192" s="12" t="s">
        <v>791</v>
      </c>
      <c r="E1192" s="12" t="s">
        <v>81</v>
      </c>
      <c r="F1192" s="12" t="s">
        <v>792</v>
      </c>
      <c r="G1192" s="12" t="s">
        <v>793</v>
      </c>
      <c r="H1192" s="12" t="s">
        <v>794</v>
      </c>
      <c r="I1192" s="12" t="s">
        <v>795</v>
      </c>
      <c r="J1192" s="12" t="s">
        <v>796</v>
      </c>
      <c r="K1192" s="12" t="s">
        <v>797</v>
      </c>
    </row>
    <row r="1193" customFormat="false" ht="15" hidden="false" customHeight="true" outlineLevel="0" collapsed="false">
      <c r="A1193" s="9" t="s">
        <v>343</v>
      </c>
      <c r="B1193" s="9" t="s">
        <v>812</v>
      </c>
      <c r="C1193" s="9" t="s">
        <v>816</v>
      </c>
      <c r="D1193" s="5" t="s">
        <v>1019</v>
      </c>
      <c r="E1193" s="9" t="s">
        <v>815</v>
      </c>
      <c r="F1193" s="18" t="n">
        <f aca="false">1/80</f>
        <v>0.0125</v>
      </c>
      <c r="G1193" s="13" t="n">
        <f aca="false">N(INDEX('06 LABOUR RATE LIBRARY'!$D$5:$D$100,MATCH("LAB-HLP",'06 LABOUR RATE LIBRARY'!$A$5:$A$100,0)))</f>
        <v>1538</v>
      </c>
      <c r="H1193" s="21" t="n">
        <v>0</v>
      </c>
      <c r="I1193" s="18" t="n">
        <f aca="false">F1193*(1+H1193)</f>
        <v>0.0125</v>
      </c>
      <c r="J1193" s="13" t="n">
        <f aca="false">I1193*G1193</f>
        <v>19.225</v>
      </c>
      <c r="K119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194" customFormat="false" ht="15" hidden="false" customHeight="true" outlineLevel="0" collapsed="false">
      <c r="D1194" s="22" t="s">
        <v>825</v>
      </c>
      <c r="J1194" s="23" t="n">
        <f aca="false">SUMPRODUCT((B1193:B1193="Material")*F1193:F1193*G1193:G1193)</f>
        <v>0</v>
      </c>
    </row>
    <row r="1195" customFormat="false" ht="15" hidden="false" customHeight="true" outlineLevel="0" collapsed="false">
      <c r="D1195" s="22" t="s">
        <v>826</v>
      </c>
      <c r="J1195" s="23" t="n">
        <f aca="false">SUMIF(B1193:B1193,"Material",J1193:J1193)-J1194</f>
        <v>0</v>
      </c>
    </row>
    <row r="1196" customFormat="false" ht="15" hidden="false" customHeight="true" outlineLevel="0" collapsed="false">
      <c r="D1196" s="24" t="s">
        <v>827</v>
      </c>
      <c r="J1196" s="14" t="n">
        <f aca="false">SUMIF(B1193:B1193,"Material",J1193:J1193)</f>
        <v>0</v>
      </c>
    </row>
    <row r="1197" customFormat="false" ht="15" hidden="false" customHeight="true" outlineLevel="0" collapsed="false">
      <c r="D1197" s="24" t="s">
        <v>828</v>
      </c>
      <c r="J1197" s="14" t="n">
        <f aca="false">SUMIF(B1193:B1193,"Labour",J1193:J1193)</f>
        <v>19.225</v>
      </c>
    </row>
    <row r="1198" customFormat="false" ht="15" hidden="false" customHeight="true" outlineLevel="0" collapsed="false">
      <c r="D1198" s="24" t="s">
        <v>829</v>
      </c>
      <c r="J1198" s="14" t="n">
        <f aca="false">SUMIF(B1193:B1193,"Equipment",J1193:J1193)</f>
        <v>0</v>
      </c>
    </row>
    <row r="1199" customFormat="false" ht="15" hidden="false" customHeight="true" outlineLevel="0" collapsed="false">
      <c r="D1199" s="24" t="s">
        <v>830</v>
      </c>
      <c r="J1199" s="14" t="n">
        <f aca="false">SUMIF(B1193:B1193,"Transport",J1193:J1193)</f>
        <v>0</v>
      </c>
    </row>
    <row r="1200" customFormat="false" ht="15" hidden="false" customHeight="true" outlineLevel="0" collapsed="false">
      <c r="D1200" s="24" t="s">
        <v>831</v>
      </c>
      <c r="J1200" s="14" t="n">
        <f aca="false">J1196+J1197+J1198+J1199</f>
        <v>19.225</v>
      </c>
    </row>
    <row r="1201" customFormat="false" ht="15" hidden="false" customHeight="true" outlineLevel="0" collapsed="false">
      <c r="D1201" s="22" t="s">
        <v>832</v>
      </c>
      <c r="J1201" s="23" t="n">
        <f aca="false">J1200*OH_Site</f>
        <v>0.57675</v>
      </c>
    </row>
    <row r="1202" customFormat="false" ht="15" hidden="false" customHeight="true" outlineLevel="0" collapsed="false">
      <c r="D1202" s="22" t="s">
        <v>833</v>
      </c>
      <c r="J1202" s="23" t="n">
        <f aca="false">J1200*OH_HO</f>
        <v>0.96125</v>
      </c>
    </row>
    <row r="1203" customFormat="false" ht="15" hidden="false" customHeight="true" outlineLevel="0" collapsed="false">
      <c r="D1203" s="22" t="s">
        <v>834</v>
      </c>
      <c r="J1203" s="23" t="n">
        <f aca="false">J1200*Profit</f>
        <v>1.9225</v>
      </c>
    </row>
    <row r="1204" customFormat="false" ht="15" hidden="false" customHeight="true" outlineLevel="0" collapsed="false">
      <c r="D1204" s="24" t="s">
        <v>835</v>
      </c>
      <c r="J1204" s="14" t="n">
        <f aca="false">J1200+J1201+J1202+J1203</f>
        <v>22.6855</v>
      </c>
    </row>
    <row r="1205" customFormat="false" ht="15" hidden="false" customHeight="true" outlineLevel="0" collapsed="false">
      <c r="D1205" s="22" t="s">
        <v>836</v>
      </c>
      <c r="J1205" s="23" t="n">
        <f aca="false">IF(Tax_On="Yes",J1204*N(Tax_Rate),0)</f>
        <v>0</v>
      </c>
    </row>
    <row r="1206" customFormat="false" ht="15" hidden="false" customHeight="true" outlineLevel="0" collapsed="false">
      <c r="D1206" s="24" t="s">
        <v>837</v>
      </c>
      <c r="J1206" s="14" t="n">
        <f aca="false">ROUND(J1204+J1205,0)</f>
        <v>23</v>
      </c>
    </row>
    <row r="1207" customFormat="false" ht="15" hidden="false" customHeight="true" outlineLevel="0" collapsed="false">
      <c r="D1207" s="25" t="s">
        <v>838</v>
      </c>
      <c r="J1207" s="26" t="n">
        <f aca="false">COUNTIF(K1193:K1193,"NO RATE")+COUNTIF(K1193:K1193,"OLD RATE")</f>
        <v>0</v>
      </c>
    </row>
    <row r="1209" customFormat="false" ht="39.75" hidden="false" customHeight="true" outlineLevel="0" collapsed="false">
      <c r="A1209" s="4" t="s">
        <v>347</v>
      </c>
      <c r="B1209" s="16" t="s">
        <v>349</v>
      </c>
      <c r="C1209" s="16"/>
      <c r="D1209" s="16"/>
      <c r="E1209" s="16"/>
      <c r="F1209" s="16"/>
      <c r="G1209" s="16"/>
      <c r="H1209" s="16"/>
      <c r="I1209" s="16"/>
      <c r="J1209" s="4" t="s">
        <v>788</v>
      </c>
      <c r="K1209" s="17"/>
    </row>
    <row r="1210" customFormat="false" ht="21.75" hidden="false" customHeight="true" outlineLevel="0" collapsed="false">
      <c r="A1210" s="12" t="s">
        <v>75</v>
      </c>
      <c r="B1210" s="12" t="s">
        <v>789</v>
      </c>
      <c r="C1210" s="12" t="s">
        <v>790</v>
      </c>
      <c r="D1210" s="12" t="s">
        <v>791</v>
      </c>
      <c r="E1210" s="12" t="s">
        <v>81</v>
      </c>
      <c r="F1210" s="12" t="s">
        <v>792</v>
      </c>
      <c r="G1210" s="12" t="s">
        <v>793</v>
      </c>
      <c r="H1210" s="12" t="s">
        <v>794</v>
      </c>
      <c r="I1210" s="12" t="s">
        <v>795</v>
      </c>
      <c r="J1210" s="12" t="s">
        <v>796</v>
      </c>
      <c r="K1210" s="12" t="s">
        <v>797</v>
      </c>
    </row>
    <row r="1211" customFormat="false" ht="15" hidden="false" customHeight="true" outlineLevel="0" collapsed="false">
      <c r="A1211" s="9" t="s">
        <v>347</v>
      </c>
      <c r="B1211" s="9" t="s">
        <v>798</v>
      </c>
      <c r="C1211" s="9" t="s">
        <v>809</v>
      </c>
      <c r="D1211" s="5" t="s">
        <v>1020</v>
      </c>
      <c r="E1211" s="9" t="s">
        <v>811</v>
      </c>
      <c r="F1211" s="18" t="n">
        <v>1</v>
      </c>
      <c r="G1211" s="13" t="n">
        <f aca="false">N(INDEX('05 MATERIAL RATE LIBRARY'!$E$5:$E$400,MATCH("MAT-WTR",'05 MATERIAL RATE LIBRARY'!$A$5:$A$400,0)))</f>
        <v>0.686</v>
      </c>
      <c r="H1211" s="21" t="n">
        <v>0</v>
      </c>
      <c r="I1211" s="18" t="n">
        <f aca="false">F1211*(1+H1211)</f>
        <v>1</v>
      </c>
      <c r="J1211" s="13" t="n">
        <f aca="false">I1211*G1211</f>
        <v>0.686</v>
      </c>
      <c r="K1211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212" customFormat="false" ht="15" hidden="false" customHeight="true" outlineLevel="0" collapsed="false">
      <c r="A1212" s="9" t="s">
        <v>347</v>
      </c>
      <c r="B1212" s="9" t="s">
        <v>812</v>
      </c>
      <c r="C1212" s="9" t="s">
        <v>816</v>
      </c>
      <c r="D1212" s="5" t="s">
        <v>1021</v>
      </c>
      <c r="E1212" s="9" t="s">
        <v>815</v>
      </c>
      <c r="F1212" s="18" t="n">
        <f aca="false">'13 PRODUCTIVITY LIBRARY'!F35/'13 PRODUCTIVITY LIBRARY'!D35</f>
        <v>0.00533333333333333</v>
      </c>
      <c r="G1212" s="13" t="n">
        <f aca="false">N(INDEX('06 LABOUR RATE LIBRARY'!$D$5:$D$100,MATCH("LAB-HLP",'06 LABOUR RATE LIBRARY'!$A$5:$A$100,0)))</f>
        <v>1538</v>
      </c>
      <c r="H1212" s="21" t="n">
        <v>0</v>
      </c>
      <c r="I1212" s="18" t="n">
        <f aca="false">F1212*(1+H1212)</f>
        <v>0.00533333333333333</v>
      </c>
      <c r="J1212" s="13" t="n">
        <f aca="false">I1212*G1212</f>
        <v>8.20266666666667</v>
      </c>
      <c r="K121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213" customFormat="false" ht="15" hidden="false" customHeight="true" outlineLevel="0" collapsed="false">
      <c r="A1213" s="9" t="s">
        <v>347</v>
      </c>
      <c r="B1213" s="9" t="s">
        <v>818</v>
      </c>
      <c r="C1213" s="9" t="s">
        <v>1022</v>
      </c>
      <c r="D1213" s="5" t="s">
        <v>1023</v>
      </c>
      <c r="E1213" s="9" t="s">
        <v>109</v>
      </c>
      <c r="F1213" s="18" t="n">
        <v>1</v>
      </c>
      <c r="G1213" s="13" t="n">
        <f aca="false">N(INDEX('07 EQUIPMENT RATE LIBRARY'!$D$5:$D$100,MATCH("EQ-COMP",'07 EQUIPMENT RATE LIBRARY'!$A$5:$A$100,0)))</f>
        <v>2.011</v>
      </c>
      <c r="H1213" s="21" t="n">
        <v>0</v>
      </c>
      <c r="I1213" s="18" t="n">
        <f aca="false">F1213*(1+H1213)</f>
        <v>1</v>
      </c>
      <c r="J1213" s="13" t="n">
        <f aca="false">I1213*G1213</f>
        <v>2.011</v>
      </c>
      <c r="K1213" s="20" t="str">
        <f aca="false">IF(INDEX('07 EQUIPMENT RATE LIBRARY'!$H$5:$H$100,MATCH("EQ-COMP",'07 EQUIPMENT RATE LIBRARY'!$A$5:$A$100,0))=1,"",IF(INDEX('07 EQUIPMENT RATE LIBRARY'!$H$5:$H$100,MATCH("EQ-COMP",'07 EQUIPMENT RATE LIBRARY'!$A$5:$A$100,0))=2,"OLD RATE","NO RATE"))</f>
        <v/>
      </c>
    </row>
    <row r="1214" customFormat="false" ht="15" hidden="false" customHeight="true" outlineLevel="0" collapsed="false">
      <c r="D1214" s="22" t="s">
        <v>825</v>
      </c>
      <c r="J1214" s="23" t="n">
        <f aca="false">SUMPRODUCT((B1211:B1213="Material")*F1211:F1213*G1211:G1213)</f>
        <v>0.686</v>
      </c>
    </row>
    <row r="1215" customFormat="false" ht="15" hidden="false" customHeight="true" outlineLevel="0" collapsed="false">
      <c r="D1215" s="22" t="s">
        <v>826</v>
      </c>
      <c r="J1215" s="23" t="n">
        <f aca="false">SUMIF(B1211:B1213,"Material",J1211:J1213)-J1214</f>
        <v>0</v>
      </c>
    </row>
    <row r="1216" customFormat="false" ht="15" hidden="false" customHeight="true" outlineLevel="0" collapsed="false">
      <c r="D1216" s="24" t="s">
        <v>827</v>
      </c>
      <c r="J1216" s="14" t="n">
        <f aca="false">SUMIF(B1211:B1213,"Material",J1211:J1213)</f>
        <v>0.686</v>
      </c>
    </row>
    <row r="1217" customFormat="false" ht="15" hidden="false" customHeight="true" outlineLevel="0" collapsed="false">
      <c r="D1217" s="24" t="s">
        <v>828</v>
      </c>
      <c r="J1217" s="14" t="n">
        <f aca="false">SUMIF(B1211:B1213,"Labour",J1211:J1213)</f>
        <v>8.20266666666667</v>
      </c>
    </row>
    <row r="1218" customFormat="false" ht="15" hidden="false" customHeight="true" outlineLevel="0" collapsed="false">
      <c r="D1218" s="24" t="s">
        <v>829</v>
      </c>
      <c r="J1218" s="14" t="n">
        <f aca="false">SUMIF(B1211:B1213,"Equipment",J1211:J1213)</f>
        <v>2.011</v>
      </c>
    </row>
    <row r="1219" customFormat="false" ht="15" hidden="false" customHeight="true" outlineLevel="0" collapsed="false">
      <c r="D1219" s="24" t="s">
        <v>830</v>
      </c>
      <c r="J1219" s="14" t="n">
        <f aca="false">SUMIF(B1211:B1213,"Transport",J1211:J1213)</f>
        <v>0</v>
      </c>
    </row>
    <row r="1220" customFormat="false" ht="15" hidden="false" customHeight="true" outlineLevel="0" collapsed="false">
      <c r="D1220" s="24" t="s">
        <v>831</v>
      </c>
      <c r="J1220" s="14" t="n">
        <f aca="false">J1216+J1217+J1218+J1219</f>
        <v>10.8996666666667</v>
      </c>
    </row>
    <row r="1221" customFormat="false" ht="15" hidden="false" customHeight="true" outlineLevel="0" collapsed="false">
      <c r="D1221" s="22" t="s">
        <v>832</v>
      </c>
      <c r="J1221" s="23" t="n">
        <f aca="false">J1220*OH_Site</f>
        <v>0.32699</v>
      </c>
    </row>
    <row r="1222" customFormat="false" ht="15" hidden="false" customHeight="true" outlineLevel="0" collapsed="false">
      <c r="D1222" s="22" t="s">
        <v>833</v>
      </c>
      <c r="J1222" s="23" t="n">
        <f aca="false">J1220*OH_HO</f>
        <v>0.544983333333333</v>
      </c>
    </row>
    <row r="1223" customFormat="false" ht="15" hidden="false" customHeight="true" outlineLevel="0" collapsed="false">
      <c r="D1223" s="22" t="s">
        <v>834</v>
      </c>
      <c r="J1223" s="23" t="n">
        <f aca="false">J1220*Profit</f>
        <v>1.08996666666667</v>
      </c>
    </row>
    <row r="1224" customFormat="false" ht="15" hidden="false" customHeight="true" outlineLevel="0" collapsed="false">
      <c r="D1224" s="24" t="s">
        <v>835</v>
      </c>
      <c r="J1224" s="14" t="n">
        <f aca="false">J1220+J1221+J1222+J1223</f>
        <v>12.8616066666667</v>
      </c>
    </row>
    <row r="1225" customFormat="false" ht="15" hidden="false" customHeight="true" outlineLevel="0" collapsed="false">
      <c r="D1225" s="22" t="s">
        <v>836</v>
      </c>
      <c r="J1225" s="23" t="n">
        <f aca="false">IF(Tax_On="Yes",J1224*N(Tax_Rate),0)</f>
        <v>0</v>
      </c>
    </row>
    <row r="1226" customFormat="false" ht="15" hidden="false" customHeight="true" outlineLevel="0" collapsed="false">
      <c r="D1226" s="24" t="s">
        <v>837</v>
      </c>
      <c r="J1226" s="14" t="n">
        <f aca="false">ROUND(J1224+J1225,0)</f>
        <v>13</v>
      </c>
    </row>
    <row r="1227" customFormat="false" ht="15" hidden="false" customHeight="true" outlineLevel="0" collapsed="false">
      <c r="D1227" s="25" t="s">
        <v>838</v>
      </c>
      <c r="J1227" s="26" t="n">
        <f aca="false">COUNTIF(K1211:K1213,"NO RATE")+COUNTIF(K1211:K1213,"OLD RATE")</f>
        <v>0</v>
      </c>
    </row>
    <row r="1229" customFormat="false" ht="39.75" hidden="false" customHeight="true" outlineLevel="0" collapsed="false">
      <c r="A1229" s="4" t="s">
        <v>351</v>
      </c>
      <c r="B1229" s="16" t="s">
        <v>353</v>
      </c>
      <c r="C1229" s="16"/>
      <c r="D1229" s="16"/>
      <c r="E1229" s="16"/>
      <c r="F1229" s="16"/>
      <c r="G1229" s="16"/>
      <c r="H1229" s="16"/>
      <c r="I1229" s="16"/>
      <c r="J1229" s="4" t="s">
        <v>788</v>
      </c>
      <c r="K1229" s="17"/>
    </row>
    <row r="1230" customFormat="false" ht="21.75" hidden="false" customHeight="true" outlineLevel="0" collapsed="false">
      <c r="A1230" s="12" t="s">
        <v>75</v>
      </c>
      <c r="B1230" s="12" t="s">
        <v>789</v>
      </c>
      <c r="C1230" s="12" t="s">
        <v>790</v>
      </c>
      <c r="D1230" s="12" t="s">
        <v>791</v>
      </c>
      <c r="E1230" s="12" t="s">
        <v>81</v>
      </c>
      <c r="F1230" s="12" t="s">
        <v>792</v>
      </c>
      <c r="G1230" s="12" t="s">
        <v>793</v>
      </c>
      <c r="H1230" s="12" t="s">
        <v>794</v>
      </c>
      <c r="I1230" s="12" t="s">
        <v>795</v>
      </c>
      <c r="J1230" s="12" t="s">
        <v>796</v>
      </c>
      <c r="K1230" s="12" t="s">
        <v>797</v>
      </c>
    </row>
    <row r="1231" customFormat="false" ht="15" hidden="false" customHeight="true" outlineLevel="0" collapsed="false">
      <c r="A1231" s="9" t="s">
        <v>351</v>
      </c>
      <c r="B1231" s="9" t="s">
        <v>798</v>
      </c>
      <c r="C1231" s="9" t="s">
        <v>1024</v>
      </c>
      <c r="D1231" s="5" t="s">
        <v>1025</v>
      </c>
      <c r="E1231" s="9" t="s">
        <v>109</v>
      </c>
      <c r="F1231" s="18" t="n">
        <v>1.2</v>
      </c>
      <c r="G1231" s="13" t="n">
        <f aca="false">N(INDEX('05 MATERIAL RATE LIBRARY'!$E$5:$E$400,MATCH("MAT-SND-RAV",'05 MATERIAL RATE LIBRARY'!$A$5:$A$400,0)))</f>
        <v>52</v>
      </c>
      <c r="H1231" s="21" t="n">
        <v>0</v>
      </c>
      <c r="I1231" s="18" t="n">
        <f aca="false">F1231*(1+H1231)</f>
        <v>1.2</v>
      </c>
      <c r="J1231" s="13" t="n">
        <f aca="false">I1231*G1231</f>
        <v>62.4</v>
      </c>
      <c r="K1231" s="20" t="str">
        <f aca="false">IF(INDEX('05 MATERIAL RATE LIBRARY'!$M$5:$M$400,MATCH("MAT-SND-RAV",'05 MATERIAL RATE LIBRARY'!$A$5:$A$400,0))=1,"",IF(INDEX('05 MATERIAL RATE LIBRARY'!$M$5:$M$400,MATCH("MAT-SND-RAV",'05 MATERIAL RATE LIBRARY'!$A$5:$A$400,0))=2,"OLD RATE","NO RATE"))</f>
        <v/>
      </c>
    </row>
    <row r="1232" customFormat="false" ht="15" hidden="false" customHeight="true" outlineLevel="0" collapsed="false">
      <c r="A1232" s="9" t="s">
        <v>351</v>
      </c>
      <c r="B1232" s="9" t="s">
        <v>798</v>
      </c>
      <c r="C1232" s="9" t="s">
        <v>809</v>
      </c>
      <c r="D1232" s="5" t="s">
        <v>1020</v>
      </c>
      <c r="E1232" s="9" t="s">
        <v>811</v>
      </c>
      <c r="F1232" s="18" t="n">
        <v>1</v>
      </c>
      <c r="G1232" s="13" t="n">
        <f aca="false">N(INDEX('05 MATERIAL RATE LIBRARY'!$E$5:$E$400,MATCH("MAT-WTR",'05 MATERIAL RATE LIBRARY'!$A$5:$A$400,0)))</f>
        <v>0.686</v>
      </c>
      <c r="H1232" s="21" t="n">
        <v>0</v>
      </c>
      <c r="I1232" s="18" t="n">
        <f aca="false">F1232*(1+H1232)</f>
        <v>1</v>
      </c>
      <c r="J1232" s="13" t="n">
        <f aca="false">I1232*G1232</f>
        <v>0.686</v>
      </c>
      <c r="K1232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233" customFormat="false" ht="15" hidden="false" customHeight="true" outlineLevel="0" collapsed="false">
      <c r="A1233" s="9" t="s">
        <v>351</v>
      </c>
      <c r="B1233" s="9" t="s">
        <v>812</v>
      </c>
      <c r="C1233" s="9" t="s">
        <v>816</v>
      </c>
      <c r="D1233" s="5" t="s">
        <v>1026</v>
      </c>
      <c r="E1233" s="9" t="s">
        <v>815</v>
      </c>
      <c r="F1233" s="18" t="n">
        <f aca="false">'13 PRODUCTIVITY LIBRARY'!F36/'13 PRODUCTIVITY LIBRARY'!D36</f>
        <v>0.00444444444444444</v>
      </c>
      <c r="G1233" s="13" t="n">
        <f aca="false">N(INDEX('06 LABOUR RATE LIBRARY'!$D$5:$D$100,MATCH("LAB-HLP",'06 LABOUR RATE LIBRARY'!$A$5:$A$100,0)))</f>
        <v>1538</v>
      </c>
      <c r="H1233" s="21" t="n">
        <v>0</v>
      </c>
      <c r="I1233" s="18" t="n">
        <f aca="false">F1233*(1+H1233)</f>
        <v>0.00444444444444444</v>
      </c>
      <c r="J1233" s="13" t="n">
        <f aca="false">I1233*G1233</f>
        <v>6.83555555555556</v>
      </c>
      <c r="K123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234" customFormat="false" ht="15" hidden="false" customHeight="true" outlineLevel="0" collapsed="false">
      <c r="A1234" s="9" t="s">
        <v>351</v>
      </c>
      <c r="B1234" s="9" t="s">
        <v>818</v>
      </c>
      <c r="C1234" s="9" t="s">
        <v>1022</v>
      </c>
      <c r="D1234" s="5" t="s">
        <v>1023</v>
      </c>
      <c r="E1234" s="9" t="s">
        <v>109</v>
      </c>
      <c r="F1234" s="18" t="n">
        <v>1</v>
      </c>
      <c r="G1234" s="13" t="n">
        <f aca="false">N(INDEX('07 EQUIPMENT RATE LIBRARY'!$D$5:$D$100,MATCH("EQ-COMP",'07 EQUIPMENT RATE LIBRARY'!$A$5:$A$100,0)))</f>
        <v>2.011</v>
      </c>
      <c r="H1234" s="21" t="n">
        <v>0</v>
      </c>
      <c r="I1234" s="18" t="n">
        <f aca="false">F1234*(1+H1234)</f>
        <v>1</v>
      </c>
      <c r="J1234" s="13" t="n">
        <f aca="false">I1234*G1234</f>
        <v>2.011</v>
      </c>
      <c r="K1234" s="20" t="str">
        <f aca="false">IF(INDEX('07 EQUIPMENT RATE LIBRARY'!$H$5:$H$100,MATCH("EQ-COMP",'07 EQUIPMENT RATE LIBRARY'!$A$5:$A$100,0))=1,"",IF(INDEX('07 EQUIPMENT RATE LIBRARY'!$H$5:$H$100,MATCH("EQ-COMP",'07 EQUIPMENT RATE LIBRARY'!$A$5:$A$100,0))=2,"OLD RATE","NO RATE"))</f>
        <v/>
      </c>
    </row>
    <row r="1235" customFormat="false" ht="15" hidden="false" customHeight="true" outlineLevel="0" collapsed="false">
      <c r="D1235" s="22" t="s">
        <v>825</v>
      </c>
      <c r="J1235" s="23" t="n">
        <f aca="false">SUMPRODUCT((B1231:B1234="Material")*F1231:F1234*G1231:G1234)</f>
        <v>63.086</v>
      </c>
    </row>
    <row r="1236" customFormat="false" ht="15" hidden="false" customHeight="true" outlineLevel="0" collapsed="false">
      <c r="D1236" s="22" t="s">
        <v>826</v>
      </c>
      <c r="J1236" s="23" t="n">
        <f aca="false">SUMIF(B1231:B1234,"Material",J1231:J1234)-J1235</f>
        <v>0</v>
      </c>
    </row>
    <row r="1237" customFormat="false" ht="15" hidden="false" customHeight="true" outlineLevel="0" collapsed="false">
      <c r="D1237" s="24" t="s">
        <v>827</v>
      </c>
      <c r="J1237" s="14" t="n">
        <f aca="false">SUMIF(B1231:B1234,"Material",J1231:J1234)</f>
        <v>63.086</v>
      </c>
    </row>
    <row r="1238" customFormat="false" ht="15" hidden="false" customHeight="true" outlineLevel="0" collapsed="false">
      <c r="D1238" s="24" t="s">
        <v>828</v>
      </c>
      <c r="J1238" s="14" t="n">
        <f aca="false">SUMIF(B1231:B1234,"Labour",J1231:J1234)</f>
        <v>6.83555555555556</v>
      </c>
    </row>
    <row r="1239" customFormat="false" ht="15" hidden="false" customHeight="true" outlineLevel="0" collapsed="false">
      <c r="D1239" s="24" t="s">
        <v>829</v>
      </c>
      <c r="J1239" s="14" t="n">
        <f aca="false">SUMIF(B1231:B1234,"Equipment",J1231:J1234)</f>
        <v>2.011</v>
      </c>
    </row>
    <row r="1240" customFormat="false" ht="15" hidden="false" customHeight="true" outlineLevel="0" collapsed="false">
      <c r="D1240" s="24" t="s">
        <v>830</v>
      </c>
      <c r="J1240" s="14" t="n">
        <f aca="false">SUMIF(B1231:B1234,"Transport",J1231:J1234)</f>
        <v>0</v>
      </c>
    </row>
    <row r="1241" customFormat="false" ht="15" hidden="false" customHeight="true" outlineLevel="0" collapsed="false">
      <c r="D1241" s="24" t="s">
        <v>831</v>
      </c>
      <c r="J1241" s="14" t="n">
        <f aca="false">J1237+J1238+J1239+J1240</f>
        <v>71.9325555555556</v>
      </c>
    </row>
    <row r="1242" customFormat="false" ht="15" hidden="false" customHeight="true" outlineLevel="0" collapsed="false">
      <c r="D1242" s="22" t="s">
        <v>832</v>
      </c>
      <c r="J1242" s="23" t="n">
        <f aca="false">J1241*OH_Site</f>
        <v>2.15797666666667</v>
      </c>
    </row>
    <row r="1243" customFormat="false" ht="15" hidden="false" customHeight="true" outlineLevel="0" collapsed="false">
      <c r="D1243" s="22" t="s">
        <v>833</v>
      </c>
      <c r="J1243" s="23" t="n">
        <f aca="false">J1241*OH_HO</f>
        <v>3.59662777777778</v>
      </c>
    </row>
    <row r="1244" customFormat="false" ht="15" hidden="false" customHeight="true" outlineLevel="0" collapsed="false">
      <c r="D1244" s="22" t="s">
        <v>834</v>
      </c>
      <c r="J1244" s="23" t="n">
        <f aca="false">J1241*Profit</f>
        <v>7.19325555555556</v>
      </c>
    </row>
    <row r="1245" customFormat="false" ht="15" hidden="false" customHeight="true" outlineLevel="0" collapsed="false">
      <c r="D1245" s="24" t="s">
        <v>835</v>
      </c>
      <c r="J1245" s="14" t="n">
        <f aca="false">J1241+J1242+J1243+J1244</f>
        <v>84.8804155555556</v>
      </c>
    </row>
    <row r="1246" customFormat="false" ht="15" hidden="false" customHeight="true" outlineLevel="0" collapsed="false">
      <c r="D1246" s="22" t="s">
        <v>836</v>
      </c>
      <c r="J1246" s="23" t="n">
        <f aca="false">IF(Tax_On="Yes",J1245*N(Tax_Rate),0)</f>
        <v>0</v>
      </c>
    </row>
    <row r="1247" customFormat="false" ht="15" hidden="false" customHeight="true" outlineLevel="0" collapsed="false">
      <c r="D1247" s="24" t="s">
        <v>837</v>
      </c>
      <c r="J1247" s="14" t="n">
        <f aca="false">ROUND(J1245+J1246,0)</f>
        <v>85</v>
      </c>
    </row>
    <row r="1248" customFormat="false" ht="15" hidden="false" customHeight="true" outlineLevel="0" collapsed="false">
      <c r="D1248" s="25" t="s">
        <v>838</v>
      </c>
      <c r="J1248" s="26" t="n">
        <f aca="false">COUNTIF(K1231:K1234,"NO RATE")+COUNTIF(K1231:K1234,"OLD RATE")</f>
        <v>0</v>
      </c>
    </row>
    <row r="1250" customFormat="false" ht="39.75" hidden="false" customHeight="true" outlineLevel="0" collapsed="false">
      <c r="A1250" s="4" t="s">
        <v>355</v>
      </c>
      <c r="B1250" s="16" t="s">
        <v>357</v>
      </c>
      <c r="C1250" s="16"/>
      <c r="D1250" s="16"/>
      <c r="E1250" s="16"/>
      <c r="F1250" s="16"/>
      <c r="G1250" s="16"/>
      <c r="H1250" s="16"/>
      <c r="I1250" s="16"/>
      <c r="J1250" s="4" t="s">
        <v>788</v>
      </c>
      <c r="K1250" s="17"/>
    </row>
    <row r="1251" customFormat="false" ht="21.75" hidden="false" customHeight="true" outlineLevel="0" collapsed="false">
      <c r="A1251" s="12" t="s">
        <v>75</v>
      </c>
      <c r="B1251" s="12" t="s">
        <v>789</v>
      </c>
      <c r="C1251" s="12" t="s">
        <v>790</v>
      </c>
      <c r="D1251" s="12" t="s">
        <v>791</v>
      </c>
      <c r="E1251" s="12" t="s">
        <v>81</v>
      </c>
      <c r="F1251" s="12" t="s">
        <v>792</v>
      </c>
      <c r="G1251" s="12" t="s">
        <v>793</v>
      </c>
      <c r="H1251" s="12" t="s">
        <v>794</v>
      </c>
      <c r="I1251" s="12" t="s">
        <v>795</v>
      </c>
      <c r="J1251" s="12" t="s">
        <v>796</v>
      </c>
      <c r="K1251" s="12" t="s">
        <v>797</v>
      </c>
    </row>
    <row r="1252" customFormat="false" ht="15" hidden="false" customHeight="true" outlineLevel="0" collapsed="false">
      <c r="A1252" s="9" t="s">
        <v>355</v>
      </c>
      <c r="B1252" s="9" t="s">
        <v>818</v>
      </c>
      <c r="C1252" s="9" t="s">
        <v>1015</v>
      </c>
      <c r="D1252" s="5" t="s">
        <v>1027</v>
      </c>
      <c r="E1252" s="9" t="s">
        <v>109</v>
      </c>
      <c r="F1252" s="18" t="n">
        <v>0</v>
      </c>
      <c r="G1252" s="13" t="n">
        <f aca="false">N(INDEX('07 EQUIPMENT RATE LIBRARY'!$D$5:$D$100,MATCH("EQ-EXC",'07 EQUIPMENT RATE LIBRARY'!$A$5:$A$100,0)))</f>
        <v>9.523</v>
      </c>
      <c r="H1252" s="21" t="n">
        <v>0</v>
      </c>
      <c r="I1252" s="18" t="n">
        <f aca="false">F1252*(1+H1252)</f>
        <v>0</v>
      </c>
      <c r="J1252" s="13" t="n">
        <f aca="false">I1252*G1252</f>
        <v>0</v>
      </c>
      <c r="K1252" s="20" t="str">
        <f aca="false">IF(INDEX('07 EQUIPMENT RATE LIBRARY'!$H$5:$H$100,MATCH("EQ-EXC",'07 EQUIPMENT RATE LIBRARY'!$A$5:$A$100,0))=1,"",IF(INDEX('07 EQUIPMENT RATE LIBRARY'!$H$5:$H$100,MATCH("EQ-EXC",'07 EQUIPMENT RATE LIBRARY'!$A$5:$A$100,0))=2,"OLD RATE","NO RATE"))</f>
        <v/>
      </c>
    </row>
    <row r="1253" customFormat="false" ht="15" hidden="false" customHeight="true" outlineLevel="0" collapsed="false">
      <c r="A1253" s="9" t="s">
        <v>355</v>
      </c>
      <c r="B1253" s="9" t="s">
        <v>818</v>
      </c>
      <c r="C1253" s="9" t="s">
        <v>1013</v>
      </c>
      <c r="D1253" s="5" t="s">
        <v>1028</v>
      </c>
      <c r="E1253" s="9" t="s">
        <v>109</v>
      </c>
      <c r="F1253" s="18" t="n">
        <v>1</v>
      </c>
      <c r="G1253" s="13" t="n">
        <f aca="false">N(INDEX('07 EQUIPMENT RATE LIBRARY'!$D$5:$D$100,MATCH("EQ-TRUCK",'07 EQUIPMENT RATE LIBRARY'!$A$5:$A$100,0)))</f>
        <v>45</v>
      </c>
      <c r="H1253" s="21" t="n">
        <v>0</v>
      </c>
      <c r="I1253" s="18" t="n">
        <f aca="false">F1253*(1+H1253)</f>
        <v>1</v>
      </c>
      <c r="J1253" s="13" t="n">
        <f aca="false">I1253*G1253</f>
        <v>45</v>
      </c>
      <c r="K1253" s="20" t="str">
        <f aca="false">IF(INDEX('07 EQUIPMENT RATE LIBRARY'!$H$5:$H$100,MATCH("EQ-TRUCK",'07 EQUIPMENT RATE LIBRARY'!$A$5:$A$100,0))=1,"",IF(INDEX('07 EQUIPMENT RATE LIBRARY'!$H$5:$H$100,MATCH("EQ-TRUCK",'07 EQUIPMENT RATE LIBRARY'!$A$5:$A$100,0))=2,"OLD RATE","NO RATE"))</f>
        <v/>
      </c>
    </row>
    <row r="1254" customFormat="false" ht="15" hidden="false" customHeight="true" outlineLevel="0" collapsed="false">
      <c r="D1254" s="22" t="s">
        <v>825</v>
      </c>
      <c r="J1254" s="23" t="n">
        <f aca="false">SUMPRODUCT((B1252:B1253="Material")*F1252:F1253*G1252:G1253)</f>
        <v>0</v>
      </c>
    </row>
    <row r="1255" customFormat="false" ht="15" hidden="false" customHeight="true" outlineLevel="0" collapsed="false">
      <c r="D1255" s="22" t="s">
        <v>826</v>
      </c>
      <c r="J1255" s="23" t="n">
        <f aca="false">SUMIF(B1252:B1253,"Material",J1252:J1253)-J1254</f>
        <v>0</v>
      </c>
    </row>
    <row r="1256" customFormat="false" ht="15" hidden="false" customHeight="true" outlineLevel="0" collapsed="false">
      <c r="D1256" s="24" t="s">
        <v>827</v>
      </c>
      <c r="J1256" s="14" t="n">
        <f aca="false">SUMIF(B1252:B1253,"Material",J1252:J1253)</f>
        <v>0</v>
      </c>
    </row>
    <row r="1257" customFormat="false" ht="15" hidden="false" customHeight="true" outlineLevel="0" collapsed="false">
      <c r="D1257" s="24" t="s">
        <v>828</v>
      </c>
      <c r="J1257" s="14" t="n">
        <f aca="false">SUMIF(B1252:B1253,"Labour",J1252:J1253)</f>
        <v>0</v>
      </c>
    </row>
    <row r="1258" customFormat="false" ht="15" hidden="false" customHeight="true" outlineLevel="0" collapsed="false">
      <c r="D1258" s="24" t="s">
        <v>829</v>
      </c>
      <c r="J1258" s="14" t="n">
        <f aca="false">SUMIF(B1252:B1253,"Equipment",J1252:J1253)</f>
        <v>45</v>
      </c>
    </row>
    <row r="1259" customFormat="false" ht="15" hidden="false" customHeight="true" outlineLevel="0" collapsed="false">
      <c r="D1259" s="24" t="s">
        <v>830</v>
      </c>
      <c r="J1259" s="14" t="n">
        <f aca="false">SUMIF(B1252:B1253,"Transport",J1252:J1253)</f>
        <v>0</v>
      </c>
    </row>
    <row r="1260" customFormat="false" ht="15" hidden="false" customHeight="true" outlineLevel="0" collapsed="false">
      <c r="D1260" s="24" t="s">
        <v>831</v>
      </c>
      <c r="J1260" s="14" t="n">
        <f aca="false">J1256+J1257+J1258+J1259</f>
        <v>45</v>
      </c>
    </row>
    <row r="1261" customFormat="false" ht="15" hidden="false" customHeight="true" outlineLevel="0" collapsed="false">
      <c r="D1261" s="22" t="s">
        <v>832</v>
      </c>
      <c r="J1261" s="23" t="n">
        <f aca="false">J1260*OH_Site</f>
        <v>1.35</v>
      </c>
    </row>
    <row r="1262" customFormat="false" ht="15" hidden="false" customHeight="true" outlineLevel="0" collapsed="false">
      <c r="D1262" s="22" t="s">
        <v>833</v>
      </c>
      <c r="J1262" s="23" t="n">
        <f aca="false">J1260*OH_HO</f>
        <v>2.25</v>
      </c>
    </row>
    <row r="1263" customFormat="false" ht="15" hidden="false" customHeight="true" outlineLevel="0" collapsed="false">
      <c r="D1263" s="22" t="s">
        <v>834</v>
      </c>
      <c r="J1263" s="23" t="n">
        <f aca="false">J1260*Profit</f>
        <v>4.5</v>
      </c>
    </row>
    <row r="1264" customFormat="false" ht="15" hidden="false" customHeight="true" outlineLevel="0" collapsed="false">
      <c r="D1264" s="24" t="s">
        <v>835</v>
      </c>
      <c r="J1264" s="14" t="n">
        <f aca="false">J1260+J1261+J1262+J1263</f>
        <v>53.1</v>
      </c>
    </row>
    <row r="1265" customFormat="false" ht="15" hidden="false" customHeight="true" outlineLevel="0" collapsed="false">
      <c r="D1265" s="22" t="s">
        <v>836</v>
      </c>
      <c r="J1265" s="23" t="n">
        <f aca="false">IF(Tax_On="Yes",J1264*N(Tax_Rate),0)</f>
        <v>0</v>
      </c>
    </row>
    <row r="1266" customFormat="false" ht="15" hidden="false" customHeight="true" outlineLevel="0" collapsed="false">
      <c r="D1266" s="24" t="s">
        <v>837</v>
      </c>
      <c r="J1266" s="14" t="n">
        <f aca="false">ROUND(J1264+J1265,0)</f>
        <v>53</v>
      </c>
    </row>
    <row r="1267" customFormat="false" ht="15" hidden="false" customHeight="true" outlineLevel="0" collapsed="false">
      <c r="D1267" s="25" t="s">
        <v>838</v>
      </c>
      <c r="J1267" s="26" t="n">
        <f aca="false">COUNTIF(K1252:K1253,"NO RATE")+COUNTIF(K1252:K1253,"OLD RATE")</f>
        <v>0</v>
      </c>
    </row>
    <row r="1269" customFormat="false" ht="39.75" hidden="false" customHeight="true" outlineLevel="0" collapsed="false">
      <c r="A1269" s="4" t="s">
        <v>359</v>
      </c>
      <c r="B1269" s="16" t="s">
        <v>361</v>
      </c>
      <c r="C1269" s="16"/>
      <c r="D1269" s="16"/>
      <c r="E1269" s="16"/>
      <c r="F1269" s="16"/>
      <c r="G1269" s="16"/>
      <c r="H1269" s="16"/>
      <c r="I1269" s="16"/>
      <c r="J1269" s="4" t="s">
        <v>890</v>
      </c>
      <c r="K1269" s="17"/>
    </row>
    <row r="1270" customFormat="false" ht="21.75" hidden="false" customHeight="true" outlineLevel="0" collapsed="false">
      <c r="A1270" s="12" t="s">
        <v>75</v>
      </c>
      <c r="B1270" s="12" t="s">
        <v>789</v>
      </c>
      <c r="C1270" s="12" t="s">
        <v>790</v>
      </c>
      <c r="D1270" s="12" t="s">
        <v>791</v>
      </c>
      <c r="E1270" s="12" t="s">
        <v>81</v>
      </c>
      <c r="F1270" s="12" t="s">
        <v>792</v>
      </c>
      <c r="G1270" s="12" t="s">
        <v>793</v>
      </c>
      <c r="H1270" s="12" t="s">
        <v>794</v>
      </c>
      <c r="I1270" s="12" t="s">
        <v>795</v>
      </c>
      <c r="J1270" s="12" t="s">
        <v>796</v>
      </c>
      <c r="K1270" s="12" t="s">
        <v>797</v>
      </c>
    </row>
    <row r="1271" customFormat="false" ht="15" hidden="false" customHeight="true" outlineLevel="0" collapsed="false">
      <c r="A1271" s="9" t="s">
        <v>359</v>
      </c>
      <c r="B1271" s="9" t="s">
        <v>798</v>
      </c>
      <c r="C1271" s="9" t="s">
        <v>1029</v>
      </c>
      <c r="D1271" s="5" t="s">
        <v>1030</v>
      </c>
      <c r="E1271" s="9" t="s">
        <v>811</v>
      </c>
      <c r="F1271" s="18" t="n">
        <v>0.005</v>
      </c>
      <c r="G1271" s="13" t="n">
        <f aca="false">N(INDEX('05 MATERIAL RATE LIBRARY'!$E$5:$E$400,MATCH("MAT-ATC",'05 MATERIAL RATE LIBRARY'!$A$5:$A$400,0)))</f>
        <v>1500</v>
      </c>
      <c r="H1271" s="21" t="n">
        <v>0</v>
      </c>
      <c r="I1271" s="18" t="n">
        <f aca="false">F1271*(1+H1271)</f>
        <v>0.005</v>
      </c>
      <c r="J1271" s="13" t="n">
        <f aca="false">I1271*G1271</f>
        <v>7.5</v>
      </c>
      <c r="K1271" s="20" t="str">
        <f aca="false">IF(INDEX('05 MATERIAL RATE LIBRARY'!$M$5:$M$400,MATCH("MAT-ATC",'05 MATERIAL RATE LIBRARY'!$A$5:$A$400,0))=1,"",IF(INDEX('05 MATERIAL RATE LIBRARY'!$M$5:$M$400,MATCH("MAT-ATC",'05 MATERIAL RATE LIBRARY'!$A$5:$A$400,0))=2,"OLD RATE","NO RATE"))</f>
        <v/>
      </c>
    </row>
    <row r="1272" customFormat="false" ht="15" hidden="false" customHeight="true" outlineLevel="0" collapsed="false">
      <c r="A1272" s="9" t="s">
        <v>359</v>
      </c>
      <c r="B1272" s="9" t="s">
        <v>812</v>
      </c>
      <c r="C1272" s="9" t="s">
        <v>816</v>
      </c>
      <c r="D1272" s="5" t="s">
        <v>1031</v>
      </c>
      <c r="E1272" s="9" t="s">
        <v>815</v>
      </c>
      <c r="F1272" s="18" t="n">
        <f aca="false">1/1000</f>
        <v>0.001</v>
      </c>
      <c r="G1272" s="13" t="n">
        <f aca="false">N(INDEX('06 LABOUR RATE LIBRARY'!$D$5:$D$100,MATCH("LAB-HLP",'06 LABOUR RATE LIBRARY'!$A$5:$A$100,0)))</f>
        <v>1538</v>
      </c>
      <c r="H1272" s="21" t="n">
        <v>0</v>
      </c>
      <c r="I1272" s="18" t="n">
        <f aca="false">F1272*(1+H1272)</f>
        <v>0.001</v>
      </c>
      <c r="J1272" s="13" t="n">
        <f aca="false">I1272*G1272</f>
        <v>1.538</v>
      </c>
      <c r="K127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273" customFormat="false" ht="15" hidden="false" customHeight="true" outlineLevel="0" collapsed="false">
      <c r="D1273" s="22" t="s">
        <v>825</v>
      </c>
      <c r="J1273" s="23" t="n">
        <f aca="false">SUMPRODUCT((B1271:B1272="Material")*F1271:F1272*G1271:G1272)</f>
        <v>7.5</v>
      </c>
    </row>
    <row r="1274" customFormat="false" ht="15" hidden="false" customHeight="true" outlineLevel="0" collapsed="false">
      <c r="D1274" s="22" t="s">
        <v>826</v>
      </c>
      <c r="J1274" s="23" t="n">
        <f aca="false">SUMIF(B1271:B1272,"Material",J1271:J1272)-J1273</f>
        <v>0</v>
      </c>
    </row>
    <row r="1275" customFormat="false" ht="15" hidden="false" customHeight="true" outlineLevel="0" collapsed="false">
      <c r="D1275" s="24" t="s">
        <v>827</v>
      </c>
      <c r="J1275" s="14" t="n">
        <f aca="false">SUMIF(B1271:B1272,"Material",J1271:J1272)</f>
        <v>7.5</v>
      </c>
    </row>
    <row r="1276" customFormat="false" ht="15" hidden="false" customHeight="true" outlineLevel="0" collapsed="false">
      <c r="D1276" s="24" t="s">
        <v>828</v>
      </c>
      <c r="J1276" s="14" t="n">
        <f aca="false">SUMIF(B1271:B1272,"Labour",J1271:J1272)</f>
        <v>1.538</v>
      </c>
    </row>
    <row r="1277" customFormat="false" ht="15" hidden="false" customHeight="true" outlineLevel="0" collapsed="false">
      <c r="D1277" s="24" t="s">
        <v>829</v>
      </c>
      <c r="J1277" s="14" t="n">
        <f aca="false">SUMIF(B1271:B1272,"Equipment",J1271:J1272)</f>
        <v>0</v>
      </c>
    </row>
    <row r="1278" customFormat="false" ht="15" hidden="false" customHeight="true" outlineLevel="0" collapsed="false">
      <c r="D1278" s="24" t="s">
        <v>830</v>
      </c>
      <c r="J1278" s="14" t="n">
        <f aca="false">SUMIF(B1271:B1272,"Transport",J1271:J1272)</f>
        <v>0</v>
      </c>
    </row>
    <row r="1279" customFormat="false" ht="15" hidden="false" customHeight="true" outlineLevel="0" collapsed="false">
      <c r="D1279" s="24" t="s">
        <v>831</v>
      </c>
      <c r="J1279" s="14" t="n">
        <f aca="false">J1275+J1276+J1277+J1278</f>
        <v>9.038</v>
      </c>
    </row>
    <row r="1280" customFormat="false" ht="15" hidden="false" customHeight="true" outlineLevel="0" collapsed="false">
      <c r="D1280" s="22" t="s">
        <v>832</v>
      </c>
      <c r="J1280" s="23" t="n">
        <f aca="false">J1279*OH_Site</f>
        <v>0.27114</v>
      </c>
    </row>
    <row r="1281" customFormat="false" ht="15" hidden="false" customHeight="true" outlineLevel="0" collapsed="false">
      <c r="D1281" s="22" t="s">
        <v>833</v>
      </c>
      <c r="J1281" s="23" t="n">
        <f aca="false">J1279*OH_HO</f>
        <v>0.4519</v>
      </c>
    </row>
    <row r="1282" customFormat="false" ht="15" hidden="false" customHeight="true" outlineLevel="0" collapsed="false">
      <c r="D1282" s="22" t="s">
        <v>834</v>
      </c>
      <c r="J1282" s="23" t="n">
        <f aca="false">J1279*Profit</f>
        <v>0.9038</v>
      </c>
    </row>
    <row r="1283" customFormat="false" ht="15" hidden="false" customHeight="true" outlineLevel="0" collapsed="false">
      <c r="D1283" s="24" t="s">
        <v>835</v>
      </c>
      <c r="J1283" s="14" t="n">
        <f aca="false">J1279+J1280+J1281+J1282</f>
        <v>10.66484</v>
      </c>
    </row>
    <row r="1284" customFormat="false" ht="15" hidden="false" customHeight="true" outlineLevel="0" collapsed="false">
      <c r="D1284" s="22" t="s">
        <v>836</v>
      </c>
      <c r="J1284" s="23" t="n">
        <f aca="false">IF(Tax_On="Yes",J1283*N(Tax_Rate),0)</f>
        <v>0</v>
      </c>
    </row>
    <row r="1285" customFormat="false" ht="15" hidden="false" customHeight="true" outlineLevel="0" collapsed="false">
      <c r="D1285" s="24" t="s">
        <v>895</v>
      </c>
      <c r="J1285" s="14" t="n">
        <f aca="false">ROUND(J1283+J1284,0)</f>
        <v>11</v>
      </c>
    </row>
    <row r="1286" customFormat="false" ht="15" hidden="false" customHeight="true" outlineLevel="0" collapsed="false">
      <c r="D1286" s="25" t="s">
        <v>838</v>
      </c>
      <c r="J1286" s="26" t="n">
        <f aca="false">COUNTIF(K1271:K1272,"NO RATE")+COUNTIF(K1271:K1272,"OLD RATE")</f>
        <v>0</v>
      </c>
    </row>
    <row r="1288" customFormat="false" ht="39.75" hidden="false" customHeight="true" outlineLevel="0" collapsed="false">
      <c r="A1288" s="4" t="s">
        <v>363</v>
      </c>
      <c r="B1288" s="16" t="s">
        <v>366</v>
      </c>
      <c r="C1288" s="16"/>
      <c r="D1288" s="16"/>
      <c r="E1288" s="16"/>
      <c r="F1288" s="16"/>
      <c r="G1288" s="16"/>
      <c r="H1288" s="16"/>
      <c r="I1288" s="16"/>
      <c r="J1288" s="4" t="s">
        <v>1032</v>
      </c>
      <c r="K1288" s="17"/>
    </row>
    <row r="1289" customFormat="false" ht="21.75" hidden="false" customHeight="true" outlineLevel="0" collapsed="false">
      <c r="A1289" s="12" t="s">
        <v>75</v>
      </c>
      <c r="B1289" s="12" t="s">
        <v>789</v>
      </c>
      <c r="C1289" s="12" t="s">
        <v>790</v>
      </c>
      <c r="D1289" s="12" t="s">
        <v>791</v>
      </c>
      <c r="E1289" s="12" t="s">
        <v>81</v>
      </c>
      <c r="F1289" s="12" t="s">
        <v>792</v>
      </c>
      <c r="G1289" s="12" t="s">
        <v>793</v>
      </c>
      <c r="H1289" s="12" t="s">
        <v>794</v>
      </c>
      <c r="I1289" s="12" t="s">
        <v>795</v>
      </c>
      <c r="J1289" s="12" t="s">
        <v>796</v>
      </c>
      <c r="K1289" s="12" t="s">
        <v>797</v>
      </c>
    </row>
    <row r="1290" customFormat="false" ht="15" hidden="false" customHeight="true" outlineLevel="0" collapsed="false">
      <c r="A1290" s="9" t="s">
        <v>363</v>
      </c>
      <c r="B1290" s="9" t="s">
        <v>798</v>
      </c>
      <c r="C1290" s="9" t="s">
        <v>1033</v>
      </c>
      <c r="D1290" s="5" t="s">
        <v>1034</v>
      </c>
      <c r="E1290" s="9" t="s">
        <v>212</v>
      </c>
      <c r="F1290" s="18" t="n">
        <v>21</v>
      </c>
      <c r="G1290" s="13" t="n">
        <f aca="false">N(INDEX('05 MATERIAL RATE LIBRARY'!$E$5:$E$400,MATCH("MAT-DOR-FL",'05 MATERIAL RATE LIBRARY'!$A$5:$A$400,0)))</f>
        <v>568.55</v>
      </c>
      <c r="H1290" s="21" t="n">
        <v>0</v>
      </c>
      <c r="I1290" s="18" t="n">
        <f aca="false">F1290*(1+H1290)</f>
        <v>21</v>
      </c>
      <c r="J1290" s="13" t="n">
        <f aca="false">I1290*G1290</f>
        <v>11939.55</v>
      </c>
      <c r="K1290" s="20" t="str">
        <f aca="false">IF(INDEX('05 MATERIAL RATE LIBRARY'!$M$5:$M$400,MATCH("MAT-DOR-FL",'05 MATERIAL RATE LIBRARY'!$A$5:$A$400,0))=1,"",IF(INDEX('05 MATERIAL RATE LIBRARY'!$M$5:$M$400,MATCH("MAT-DOR-FL",'05 MATERIAL RATE LIBRARY'!$A$5:$A$400,0))=2,"OLD RATE","NO RATE"))</f>
        <v/>
      </c>
    </row>
    <row r="1291" customFormat="false" ht="15" hidden="false" customHeight="true" outlineLevel="0" collapsed="false">
      <c r="A1291" s="9" t="s">
        <v>363</v>
      </c>
      <c r="B1291" s="9" t="s">
        <v>798</v>
      </c>
      <c r="C1291" s="9" t="s">
        <v>1035</v>
      </c>
      <c r="D1291" s="5" t="s">
        <v>1036</v>
      </c>
      <c r="E1291" s="9" t="s">
        <v>109</v>
      </c>
      <c r="F1291" s="18" t="n">
        <v>1.77</v>
      </c>
      <c r="G1291" s="13" t="n">
        <f aca="false">N(INDEX('05 MATERIAL RATE LIBRARY'!$E$5:$E$400,MATCH("MAT-TIM-DEO",'05 MATERIAL RATE LIBRARY'!$A$5:$A$400,0)))</f>
        <v>10304.2</v>
      </c>
      <c r="H1291" s="21" t="n">
        <v>0.1</v>
      </c>
      <c r="I1291" s="18" t="n">
        <f aca="false">F1291*(1+H1291)</f>
        <v>1.947</v>
      </c>
      <c r="J1291" s="13" t="n">
        <f aca="false">I1291*G1291</f>
        <v>20062.2774</v>
      </c>
      <c r="K1291" s="20" t="str">
        <f aca="false">IF(INDEX('05 MATERIAL RATE LIBRARY'!$M$5:$M$400,MATCH("MAT-TIM-DEO",'05 MATERIAL RATE LIBRARY'!$A$5:$A$400,0))=1,"",IF(INDEX('05 MATERIAL RATE LIBRARY'!$M$5:$M$400,MATCH("MAT-TIM-DEO",'05 MATERIAL RATE LIBRARY'!$A$5:$A$400,0))=2,"OLD RATE","NO RATE"))</f>
        <v/>
      </c>
    </row>
    <row r="1292" customFormat="false" ht="15" hidden="false" customHeight="true" outlineLevel="0" collapsed="false">
      <c r="A1292" s="9" t="s">
        <v>363</v>
      </c>
      <c r="B1292" s="9" t="s">
        <v>798</v>
      </c>
      <c r="C1292" s="9" t="s">
        <v>1037</v>
      </c>
      <c r="D1292" s="5" t="s">
        <v>1038</v>
      </c>
      <c r="E1292" s="9" t="s">
        <v>368</v>
      </c>
      <c r="F1292" s="18" t="n">
        <v>3</v>
      </c>
      <c r="G1292" s="13" t="n">
        <f aca="false">N(INDEX('05 MATERIAL RATE LIBRARY'!$E$5:$E$400,MATCH("MAT-HNG",'05 MATERIAL RATE LIBRARY'!$A$5:$A$400,0)))</f>
        <v>974.4</v>
      </c>
      <c r="H1292" s="21" t="n">
        <v>0</v>
      </c>
      <c r="I1292" s="18" t="n">
        <f aca="false">F1292*(1+H1292)</f>
        <v>3</v>
      </c>
      <c r="J1292" s="13" t="n">
        <f aca="false">I1292*G1292</f>
        <v>2923.2</v>
      </c>
      <c r="K1292" s="20" t="str">
        <f aca="false">IF(INDEX('05 MATERIAL RATE LIBRARY'!$M$5:$M$400,MATCH("MAT-HNG",'05 MATERIAL RATE LIBRARY'!$A$5:$A$400,0))=1,"",IF(INDEX('05 MATERIAL RATE LIBRARY'!$M$5:$M$400,MATCH("MAT-HNG",'05 MATERIAL RATE LIBRARY'!$A$5:$A$400,0))=2,"OLD RATE","NO RATE"))</f>
        <v/>
      </c>
    </row>
    <row r="1293" customFormat="false" ht="15" hidden="false" customHeight="true" outlineLevel="0" collapsed="false">
      <c r="A1293" s="9" t="s">
        <v>363</v>
      </c>
      <c r="B1293" s="9" t="s">
        <v>798</v>
      </c>
      <c r="C1293" s="9" t="s">
        <v>1039</v>
      </c>
      <c r="D1293" s="5" t="s">
        <v>1040</v>
      </c>
      <c r="E1293" s="9" t="s">
        <v>368</v>
      </c>
      <c r="F1293" s="18" t="n">
        <v>1</v>
      </c>
      <c r="G1293" s="13" t="n">
        <f aca="false">N(INDEX('05 MATERIAL RATE LIBRARY'!$E$5:$E$400,MATCH("MAT-LCK",'05 MATERIAL RATE LIBRARY'!$A$5:$A$400,0)))</f>
        <v>2742</v>
      </c>
      <c r="H1293" s="21" t="n">
        <v>0</v>
      </c>
      <c r="I1293" s="18" t="n">
        <f aca="false">F1293*(1+H1293)</f>
        <v>1</v>
      </c>
      <c r="J1293" s="13" t="n">
        <f aca="false">I1293*G1293</f>
        <v>2742</v>
      </c>
      <c r="K1293" s="20" t="str">
        <f aca="false">IF(INDEX('05 MATERIAL RATE LIBRARY'!$M$5:$M$400,MATCH("MAT-LCK",'05 MATERIAL RATE LIBRARY'!$A$5:$A$400,0))=1,"",IF(INDEX('05 MATERIAL RATE LIBRARY'!$M$5:$M$400,MATCH("MAT-LCK",'05 MATERIAL RATE LIBRARY'!$A$5:$A$400,0))=2,"OLD RATE","NO RATE"))</f>
        <v/>
      </c>
    </row>
    <row r="1294" customFormat="false" ht="15" hidden="false" customHeight="true" outlineLevel="0" collapsed="false">
      <c r="A1294" s="9" t="s">
        <v>363</v>
      </c>
      <c r="B1294" s="9" t="s">
        <v>798</v>
      </c>
      <c r="C1294" s="9" t="s">
        <v>1041</v>
      </c>
      <c r="D1294" s="5" t="s">
        <v>1042</v>
      </c>
      <c r="E1294" s="9" t="s">
        <v>368</v>
      </c>
      <c r="F1294" s="18" t="n">
        <v>1</v>
      </c>
      <c r="G1294" s="13" t="n">
        <f aca="false">N(INDEX('05 MATERIAL RATE LIBRARY'!$E$5:$E$400,MATCH("MAT-DSTP",'05 MATERIAL RATE LIBRARY'!$A$5:$A$400,0)))</f>
        <v>900</v>
      </c>
      <c r="H1294" s="21" t="n">
        <v>0</v>
      </c>
      <c r="I1294" s="18" t="n">
        <f aca="false">F1294*(1+H1294)</f>
        <v>1</v>
      </c>
      <c r="J1294" s="13" t="n">
        <f aca="false">I1294*G1294</f>
        <v>900</v>
      </c>
      <c r="K1294" s="20" t="str">
        <f aca="false">IF(INDEX('05 MATERIAL RATE LIBRARY'!$M$5:$M$400,MATCH("MAT-DSTP",'05 MATERIAL RATE LIBRARY'!$A$5:$A$400,0))=1,"",IF(INDEX('05 MATERIAL RATE LIBRARY'!$M$5:$M$400,MATCH("MAT-DSTP",'05 MATERIAL RATE LIBRARY'!$A$5:$A$400,0))=2,"OLD RATE","NO RATE"))</f>
        <v/>
      </c>
    </row>
    <row r="1295" customFormat="false" ht="15" hidden="false" customHeight="true" outlineLevel="0" collapsed="false">
      <c r="A1295" s="9" t="s">
        <v>363</v>
      </c>
      <c r="B1295" s="9" t="s">
        <v>798</v>
      </c>
      <c r="C1295" s="9" t="s">
        <v>1043</v>
      </c>
      <c r="D1295" s="5" t="s">
        <v>1044</v>
      </c>
      <c r="E1295" s="9" t="s">
        <v>212</v>
      </c>
      <c r="F1295" s="18" t="n">
        <v>50</v>
      </c>
      <c r="G1295" s="13" t="n">
        <f aca="false">N(INDEX('05 MATERIAL RATE LIBRARY'!$E$5:$E$400,MATCH("MAT-POL",'05 MATERIAL RATE LIBRARY'!$A$5:$A$400,0)))</f>
        <v>120</v>
      </c>
      <c r="H1295" s="21" t="n">
        <v>0</v>
      </c>
      <c r="I1295" s="18" t="n">
        <f aca="false">F1295*(1+H1295)</f>
        <v>50</v>
      </c>
      <c r="J1295" s="13" t="n">
        <f aca="false">I1295*G1295</f>
        <v>6000</v>
      </c>
      <c r="K1295" s="20" t="str">
        <f aca="false">IF(INDEX('05 MATERIAL RATE LIBRARY'!$M$5:$M$400,MATCH("MAT-POL",'05 MATERIAL RATE LIBRARY'!$A$5:$A$400,0))=1,"",IF(INDEX('05 MATERIAL RATE LIBRARY'!$M$5:$M$400,MATCH("MAT-POL",'05 MATERIAL RATE LIBRARY'!$A$5:$A$400,0))=2,"OLD RATE","NO RATE"))</f>
        <v/>
      </c>
    </row>
    <row r="1296" customFormat="false" ht="15" hidden="false" customHeight="true" outlineLevel="0" collapsed="false">
      <c r="A1296" s="9" t="s">
        <v>363</v>
      </c>
      <c r="B1296" s="9" t="s">
        <v>812</v>
      </c>
      <c r="C1296" s="9" t="s">
        <v>907</v>
      </c>
      <c r="D1296" s="5" t="s">
        <v>1045</v>
      </c>
      <c r="E1296" s="9" t="s">
        <v>815</v>
      </c>
      <c r="F1296" s="18" t="n">
        <f aca="false">1</f>
        <v>1</v>
      </c>
      <c r="G1296" s="13" t="n">
        <f aca="false">N(INDEX('06 LABOUR RATE LIBRARY'!$D$5:$D$100,MATCH("LAB-CRP",'06 LABOUR RATE LIBRARY'!$A$5:$A$100,0)))</f>
        <v>2400</v>
      </c>
      <c r="H1296" s="21" t="n">
        <v>0</v>
      </c>
      <c r="I1296" s="18" t="n">
        <f aca="false">F1296*(1+H1296)</f>
        <v>1</v>
      </c>
      <c r="J1296" s="13" t="n">
        <f aca="false">I1296*G1296</f>
        <v>2400</v>
      </c>
      <c r="K1296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1297" customFormat="false" ht="15" hidden="false" customHeight="true" outlineLevel="0" collapsed="false">
      <c r="A1297" s="9" t="s">
        <v>363</v>
      </c>
      <c r="B1297" s="9" t="s">
        <v>812</v>
      </c>
      <c r="C1297" s="9" t="s">
        <v>816</v>
      </c>
      <c r="D1297" s="5" t="s">
        <v>1046</v>
      </c>
      <c r="E1297" s="9" t="s">
        <v>815</v>
      </c>
      <c r="F1297" s="18" t="n">
        <f aca="false">0.5</f>
        <v>0.5</v>
      </c>
      <c r="G1297" s="13" t="n">
        <f aca="false">N(INDEX('06 LABOUR RATE LIBRARY'!$D$5:$D$100,MATCH("LAB-HLP",'06 LABOUR RATE LIBRARY'!$A$5:$A$100,0)))</f>
        <v>1538</v>
      </c>
      <c r="H1297" s="21" t="n">
        <v>0</v>
      </c>
      <c r="I1297" s="18" t="n">
        <f aca="false">F1297*(1+H1297)</f>
        <v>0.5</v>
      </c>
      <c r="J1297" s="13" t="n">
        <f aca="false">I1297*G1297</f>
        <v>769</v>
      </c>
      <c r="K129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298" customFormat="false" ht="15" hidden="false" customHeight="true" outlineLevel="0" collapsed="false">
      <c r="A1298" s="9" t="s">
        <v>363</v>
      </c>
      <c r="B1298" s="9" t="s">
        <v>812</v>
      </c>
      <c r="C1298" s="9" t="s">
        <v>1000</v>
      </c>
      <c r="D1298" s="5" t="s">
        <v>1047</v>
      </c>
      <c r="E1298" s="9" t="s">
        <v>815</v>
      </c>
      <c r="F1298" s="18" t="n">
        <v>0</v>
      </c>
      <c r="G1298" s="13" t="n">
        <f aca="false">N(INDEX('06 LABOUR RATE LIBRARY'!$D$5:$D$100,MATCH("LAB-PNT",'06 LABOUR RATE LIBRARY'!$A$5:$A$100,0)))</f>
        <v>2100</v>
      </c>
      <c r="H1298" s="21" t="n">
        <v>0</v>
      </c>
      <c r="I1298" s="18" t="n">
        <f aca="false">F1298*(1+H1298)</f>
        <v>0</v>
      </c>
      <c r="J1298" s="13" t="n">
        <f aca="false">I1298*G1298</f>
        <v>0</v>
      </c>
      <c r="K1298" s="20" t="str">
        <f aca="false">IF(INDEX('06 LABOUR RATE LIBRARY'!$L$5:$L$100,MATCH("LAB-PNT",'06 LABOUR RATE LIBRARY'!$A$5:$A$100,0))=1,"",IF(INDEX('06 LABOUR RATE LIBRARY'!$L$5:$L$100,MATCH("LAB-PNT",'06 LABOUR RATE LIBRARY'!$A$5:$A$100,0))=2,"OLD RATE","NO RATE"))</f>
        <v/>
      </c>
    </row>
    <row r="1299" customFormat="false" ht="15" hidden="false" customHeight="true" outlineLevel="0" collapsed="false">
      <c r="D1299" s="22" t="s">
        <v>825</v>
      </c>
      <c r="J1299" s="23" t="n">
        <f aca="false">SUMPRODUCT((B1290:B1298="Material")*F1290:F1298*G1290:G1298)</f>
        <v>42743.184</v>
      </c>
    </row>
    <row r="1300" customFormat="false" ht="15" hidden="false" customHeight="true" outlineLevel="0" collapsed="false">
      <c r="D1300" s="22" t="s">
        <v>826</v>
      </c>
      <c r="J1300" s="23" t="n">
        <f aca="false">SUMIF(B1290:B1298,"Material",J1290:J1298)-J1299</f>
        <v>1823.8434</v>
      </c>
    </row>
    <row r="1301" customFormat="false" ht="15" hidden="false" customHeight="true" outlineLevel="0" collapsed="false">
      <c r="D1301" s="24" t="s">
        <v>827</v>
      </c>
      <c r="J1301" s="14" t="n">
        <f aca="false">SUMIF(B1290:B1298,"Material",J1290:J1298)</f>
        <v>44567.0274</v>
      </c>
    </row>
    <row r="1302" customFormat="false" ht="15" hidden="false" customHeight="true" outlineLevel="0" collapsed="false">
      <c r="D1302" s="24" t="s">
        <v>828</v>
      </c>
      <c r="J1302" s="14" t="n">
        <f aca="false">SUMIF(B1290:B1298,"Labour",J1290:J1298)</f>
        <v>3169</v>
      </c>
    </row>
    <row r="1303" customFormat="false" ht="15" hidden="false" customHeight="true" outlineLevel="0" collapsed="false">
      <c r="D1303" s="24" t="s">
        <v>829</v>
      </c>
      <c r="J1303" s="14" t="n">
        <f aca="false">SUMIF(B1290:B1298,"Equipment",J1290:J1298)</f>
        <v>0</v>
      </c>
    </row>
    <row r="1304" customFormat="false" ht="15" hidden="false" customHeight="true" outlineLevel="0" collapsed="false">
      <c r="D1304" s="24" t="s">
        <v>830</v>
      </c>
      <c r="J1304" s="14" t="n">
        <f aca="false">SUMIF(B1290:B1298,"Transport",J1290:J1298)</f>
        <v>0</v>
      </c>
    </row>
    <row r="1305" customFormat="false" ht="15" hidden="false" customHeight="true" outlineLevel="0" collapsed="false">
      <c r="D1305" s="24" t="s">
        <v>831</v>
      </c>
      <c r="J1305" s="14" t="n">
        <f aca="false">J1301+J1302+J1303+J1304</f>
        <v>47736.0274</v>
      </c>
    </row>
    <row r="1306" customFormat="false" ht="15" hidden="false" customHeight="true" outlineLevel="0" collapsed="false">
      <c r="D1306" s="22" t="s">
        <v>832</v>
      </c>
      <c r="J1306" s="23" t="n">
        <f aca="false">J1305*OH_Site</f>
        <v>1432.080822</v>
      </c>
    </row>
    <row r="1307" customFormat="false" ht="15" hidden="false" customHeight="true" outlineLevel="0" collapsed="false">
      <c r="D1307" s="22" t="s">
        <v>833</v>
      </c>
      <c r="J1307" s="23" t="n">
        <f aca="false">J1305*OH_HO</f>
        <v>2386.80137</v>
      </c>
    </row>
    <row r="1308" customFormat="false" ht="15" hidden="false" customHeight="true" outlineLevel="0" collapsed="false">
      <c r="D1308" s="22" t="s">
        <v>834</v>
      </c>
      <c r="J1308" s="23" t="n">
        <f aca="false">J1305*Profit</f>
        <v>4773.60274</v>
      </c>
    </row>
    <row r="1309" customFormat="false" ht="15" hidden="false" customHeight="true" outlineLevel="0" collapsed="false">
      <c r="D1309" s="24" t="s">
        <v>835</v>
      </c>
      <c r="J1309" s="14" t="n">
        <f aca="false">J1305+J1306+J1307+J1308</f>
        <v>56328.512332</v>
      </c>
    </row>
    <row r="1310" customFormat="false" ht="15" hidden="false" customHeight="true" outlineLevel="0" collapsed="false">
      <c r="D1310" s="22" t="s">
        <v>836</v>
      </c>
      <c r="J1310" s="23" t="n">
        <f aca="false">IF(Tax_On="Yes",J1309*N(Tax_Rate),0)</f>
        <v>0</v>
      </c>
    </row>
    <row r="1311" customFormat="false" ht="15" hidden="false" customHeight="true" outlineLevel="0" collapsed="false">
      <c r="D1311" s="24" t="s">
        <v>1048</v>
      </c>
      <c r="J1311" s="14" t="n">
        <f aca="false">ROUND(J1309+J1310,0)</f>
        <v>56329</v>
      </c>
    </row>
    <row r="1312" customFormat="false" ht="15" hidden="false" customHeight="true" outlineLevel="0" collapsed="false">
      <c r="D1312" s="25" t="s">
        <v>838</v>
      </c>
      <c r="J1312" s="26" t="n">
        <f aca="false">COUNTIF(K1290:K1298,"NO RATE")+COUNTIF(K1290:K1298,"OLD RATE")</f>
        <v>0</v>
      </c>
    </row>
    <row r="1314" customFormat="false" ht="39.75" hidden="false" customHeight="true" outlineLevel="0" collapsed="false">
      <c r="A1314" s="4" t="s">
        <v>369</v>
      </c>
      <c r="B1314" s="16" t="s">
        <v>371</v>
      </c>
      <c r="C1314" s="16"/>
      <c r="D1314" s="16"/>
      <c r="E1314" s="16"/>
      <c r="F1314" s="16"/>
      <c r="G1314" s="16"/>
      <c r="H1314" s="16"/>
      <c r="I1314" s="16"/>
      <c r="J1314" s="4" t="s">
        <v>1032</v>
      </c>
      <c r="K1314" s="17"/>
    </row>
    <row r="1315" customFormat="false" ht="21.75" hidden="false" customHeight="true" outlineLevel="0" collapsed="false">
      <c r="A1315" s="12" t="s">
        <v>75</v>
      </c>
      <c r="B1315" s="12" t="s">
        <v>789</v>
      </c>
      <c r="C1315" s="12" t="s">
        <v>790</v>
      </c>
      <c r="D1315" s="12" t="s">
        <v>791</v>
      </c>
      <c r="E1315" s="12" t="s">
        <v>81</v>
      </c>
      <c r="F1315" s="12" t="s">
        <v>792</v>
      </c>
      <c r="G1315" s="12" t="s">
        <v>793</v>
      </c>
      <c r="H1315" s="12" t="s">
        <v>794</v>
      </c>
      <c r="I1315" s="12" t="s">
        <v>795</v>
      </c>
      <c r="J1315" s="12" t="s">
        <v>796</v>
      </c>
      <c r="K1315" s="12" t="s">
        <v>797</v>
      </c>
    </row>
    <row r="1316" customFormat="false" ht="15" hidden="false" customHeight="true" outlineLevel="0" collapsed="false">
      <c r="A1316" s="9" t="s">
        <v>369</v>
      </c>
      <c r="B1316" s="9" t="s">
        <v>798</v>
      </c>
      <c r="C1316" s="9" t="s">
        <v>1049</v>
      </c>
      <c r="D1316" s="5" t="s">
        <v>1050</v>
      </c>
      <c r="E1316" s="9" t="s">
        <v>368</v>
      </c>
      <c r="F1316" s="18" t="n">
        <v>1</v>
      </c>
      <c r="G1316" s="13" t="n">
        <f aca="false">N(INDEX('05 MATERIAL RATE LIBRARY'!$E$5:$E$400,MATCH("MAT-FRD",'05 MATERIAL RATE LIBRARY'!$A$5:$A$400,0)))</f>
        <v>59000</v>
      </c>
      <c r="H1316" s="21" t="n">
        <v>0</v>
      </c>
      <c r="I1316" s="18" t="n">
        <f aca="false">F1316*(1+H1316)</f>
        <v>1</v>
      </c>
      <c r="J1316" s="13" t="n">
        <f aca="false">I1316*G1316</f>
        <v>59000</v>
      </c>
      <c r="K1316" s="20" t="str">
        <f aca="false">IF(INDEX('05 MATERIAL RATE LIBRARY'!$M$5:$M$400,MATCH("MAT-FRD",'05 MATERIAL RATE LIBRARY'!$A$5:$A$400,0))=1,"",IF(INDEX('05 MATERIAL RATE LIBRARY'!$M$5:$M$400,MATCH("MAT-FRD",'05 MATERIAL RATE LIBRARY'!$A$5:$A$400,0))=2,"OLD RATE","NO RATE"))</f>
        <v/>
      </c>
    </row>
    <row r="1317" customFormat="false" ht="15" hidden="false" customHeight="true" outlineLevel="0" collapsed="false">
      <c r="A1317" s="9" t="s">
        <v>369</v>
      </c>
      <c r="B1317" s="9" t="s">
        <v>812</v>
      </c>
      <c r="C1317" s="9" t="s">
        <v>907</v>
      </c>
      <c r="D1317" s="5" t="s">
        <v>1051</v>
      </c>
      <c r="E1317" s="9" t="s">
        <v>815</v>
      </c>
      <c r="F1317" s="18" t="n">
        <f aca="false">0.5</f>
        <v>0.5</v>
      </c>
      <c r="G1317" s="13" t="n">
        <f aca="false">N(INDEX('06 LABOUR RATE LIBRARY'!$D$5:$D$100,MATCH("LAB-CRP",'06 LABOUR RATE LIBRARY'!$A$5:$A$100,0)))</f>
        <v>2400</v>
      </c>
      <c r="H1317" s="21" t="n">
        <v>0</v>
      </c>
      <c r="I1317" s="18" t="n">
        <f aca="false">F1317*(1+H1317)</f>
        <v>0.5</v>
      </c>
      <c r="J1317" s="13" t="n">
        <f aca="false">I1317*G1317</f>
        <v>1200</v>
      </c>
      <c r="K1317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1318" customFormat="false" ht="15" hidden="false" customHeight="true" outlineLevel="0" collapsed="false">
      <c r="A1318" s="9" t="s">
        <v>369</v>
      </c>
      <c r="B1318" s="9" t="s">
        <v>812</v>
      </c>
      <c r="C1318" s="9" t="s">
        <v>816</v>
      </c>
      <c r="D1318" s="5" t="s">
        <v>1052</v>
      </c>
      <c r="E1318" s="9" t="s">
        <v>815</v>
      </c>
      <c r="F1318" s="18" t="n">
        <f aca="false">0.5</f>
        <v>0.5</v>
      </c>
      <c r="G1318" s="13" t="n">
        <f aca="false">N(INDEX('06 LABOUR RATE LIBRARY'!$D$5:$D$100,MATCH("LAB-HLP",'06 LABOUR RATE LIBRARY'!$A$5:$A$100,0)))</f>
        <v>1538</v>
      </c>
      <c r="H1318" s="21" t="n">
        <v>0</v>
      </c>
      <c r="I1318" s="18" t="n">
        <f aca="false">F1318*(1+H1318)</f>
        <v>0.5</v>
      </c>
      <c r="J1318" s="13" t="n">
        <f aca="false">I1318*G1318</f>
        <v>769</v>
      </c>
      <c r="K131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319" customFormat="false" ht="15" hidden="false" customHeight="true" outlineLevel="0" collapsed="false">
      <c r="D1319" s="22" t="s">
        <v>825</v>
      </c>
      <c r="J1319" s="23" t="n">
        <f aca="false">SUMPRODUCT((B1316:B1318="Material")*F1316:F1318*G1316:G1318)</f>
        <v>59000</v>
      </c>
    </row>
    <row r="1320" customFormat="false" ht="15" hidden="false" customHeight="true" outlineLevel="0" collapsed="false">
      <c r="D1320" s="22" t="s">
        <v>826</v>
      </c>
      <c r="J1320" s="23" t="n">
        <f aca="false">SUMIF(B1316:B1318,"Material",J1316:J1318)-J1319</f>
        <v>0</v>
      </c>
    </row>
    <row r="1321" customFormat="false" ht="15" hidden="false" customHeight="true" outlineLevel="0" collapsed="false">
      <c r="D1321" s="24" t="s">
        <v>827</v>
      </c>
      <c r="J1321" s="14" t="n">
        <f aca="false">SUMIF(B1316:B1318,"Material",J1316:J1318)</f>
        <v>59000</v>
      </c>
    </row>
    <row r="1322" customFormat="false" ht="15" hidden="false" customHeight="true" outlineLevel="0" collapsed="false">
      <c r="D1322" s="24" t="s">
        <v>828</v>
      </c>
      <c r="J1322" s="14" t="n">
        <f aca="false">SUMIF(B1316:B1318,"Labour",J1316:J1318)</f>
        <v>1969</v>
      </c>
    </row>
    <row r="1323" customFormat="false" ht="15" hidden="false" customHeight="true" outlineLevel="0" collapsed="false">
      <c r="D1323" s="24" t="s">
        <v>829</v>
      </c>
      <c r="J1323" s="14" t="n">
        <f aca="false">SUMIF(B1316:B1318,"Equipment",J1316:J1318)</f>
        <v>0</v>
      </c>
    </row>
    <row r="1324" customFormat="false" ht="15" hidden="false" customHeight="true" outlineLevel="0" collapsed="false">
      <c r="D1324" s="24" t="s">
        <v>830</v>
      </c>
      <c r="J1324" s="14" t="n">
        <f aca="false">SUMIF(B1316:B1318,"Transport",J1316:J1318)</f>
        <v>0</v>
      </c>
    </row>
    <row r="1325" customFormat="false" ht="15" hidden="false" customHeight="true" outlineLevel="0" collapsed="false">
      <c r="D1325" s="24" t="s">
        <v>831</v>
      </c>
      <c r="J1325" s="14" t="n">
        <f aca="false">J1321+J1322+J1323+J1324</f>
        <v>60969</v>
      </c>
    </row>
    <row r="1326" customFormat="false" ht="15" hidden="false" customHeight="true" outlineLevel="0" collapsed="false">
      <c r="D1326" s="22" t="s">
        <v>832</v>
      </c>
      <c r="J1326" s="23" t="n">
        <f aca="false">J1325*OH_Site</f>
        <v>1829.07</v>
      </c>
    </row>
    <row r="1327" customFormat="false" ht="15" hidden="false" customHeight="true" outlineLevel="0" collapsed="false">
      <c r="D1327" s="22" t="s">
        <v>833</v>
      </c>
      <c r="J1327" s="23" t="n">
        <f aca="false">J1325*OH_HO</f>
        <v>3048.45</v>
      </c>
    </row>
    <row r="1328" customFormat="false" ht="15" hidden="false" customHeight="true" outlineLevel="0" collapsed="false">
      <c r="D1328" s="22" t="s">
        <v>834</v>
      </c>
      <c r="J1328" s="23" t="n">
        <f aca="false">J1325*Profit</f>
        <v>6096.9</v>
      </c>
    </row>
    <row r="1329" customFormat="false" ht="15" hidden="false" customHeight="true" outlineLevel="0" collapsed="false">
      <c r="D1329" s="24" t="s">
        <v>835</v>
      </c>
      <c r="J1329" s="14" t="n">
        <f aca="false">J1325+J1326+J1327+J1328</f>
        <v>71943.42</v>
      </c>
    </row>
    <row r="1330" customFormat="false" ht="15" hidden="false" customHeight="true" outlineLevel="0" collapsed="false">
      <c r="D1330" s="22" t="s">
        <v>836</v>
      </c>
      <c r="J1330" s="23" t="n">
        <f aca="false">IF(Tax_On="Yes",J1329*N(Tax_Rate),0)</f>
        <v>0</v>
      </c>
    </row>
    <row r="1331" customFormat="false" ht="15" hidden="false" customHeight="true" outlineLevel="0" collapsed="false">
      <c r="D1331" s="24" t="s">
        <v>1048</v>
      </c>
      <c r="J1331" s="14" t="n">
        <f aca="false">ROUND(J1329+J1330,0)</f>
        <v>71943</v>
      </c>
    </row>
    <row r="1332" customFormat="false" ht="15" hidden="false" customHeight="true" outlineLevel="0" collapsed="false">
      <c r="D1332" s="25" t="s">
        <v>838</v>
      </c>
      <c r="J1332" s="26" t="n">
        <f aca="false">COUNTIF(K1316:K1318,"NO RATE")+COUNTIF(K1316:K1318,"OLD RATE")</f>
        <v>0</v>
      </c>
    </row>
    <row r="1334" customFormat="false" ht="39.75" hidden="false" customHeight="true" outlineLevel="0" collapsed="false">
      <c r="A1334" s="4" t="s">
        <v>373</v>
      </c>
      <c r="B1334" s="16" t="s">
        <v>376</v>
      </c>
      <c r="C1334" s="16"/>
      <c r="D1334" s="16"/>
      <c r="E1334" s="16"/>
      <c r="F1334" s="16"/>
      <c r="G1334" s="16"/>
      <c r="H1334" s="16"/>
      <c r="I1334" s="16"/>
      <c r="J1334" s="4" t="s">
        <v>890</v>
      </c>
      <c r="K1334" s="17"/>
    </row>
    <row r="1335" customFormat="false" ht="21.75" hidden="false" customHeight="true" outlineLevel="0" collapsed="false">
      <c r="A1335" s="12" t="s">
        <v>75</v>
      </c>
      <c r="B1335" s="12" t="s">
        <v>789</v>
      </c>
      <c r="C1335" s="12" t="s">
        <v>790</v>
      </c>
      <c r="D1335" s="12" t="s">
        <v>791</v>
      </c>
      <c r="E1335" s="12" t="s">
        <v>81</v>
      </c>
      <c r="F1335" s="12" t="s">
        <v>792</v>
      </c>
      <c r="G1335" s="12" t="s">
        <v>793</v>
      </c>
      <c r="H1335" s="12" t="s">
        <v>794</v>
      </c>
      <c r="I1335" s="12" t="s">
        <v>795</v>
      </c>
      <c r="J1335" s="12" t="s">
        <v>796</v>
      </c>
      <c r="K1335" s="12" t="s">
        <v>797</v>
      </c>
    </row>
    <row r="1336" customFormat="false" ht="15" hidden="false" customHeight="true" outlineLevel="0" collapsed="false">
      <c r="A1336" s="9" t="s">
        <v>373</v>
      </c>
      <c r="B1336" s="9" t="s">
        <v>798</v>
      </c>
      <c r="C1336" s="9" t="s">
        <v>1053</v>
      </c>
      <c r="D1336" s="5" t="s">
        <v>1054</v>
      </c>
      <c r="E1336" s="9" t="s">
        <v>212</v>
      </c>
      <c r="F1336" s="18" t="n">
        <v>1</v>
      </c>
      <c r="G1336" s="13" t="n">
        <f aca="false">N(INDEX('05 MATERIAL RATE LIBRARY'!$E$5:$E$400,MATCH("MAT-ALW",'05 MATERIAL RATE LIBRARY'!$A$5:$A$400,0)))</f>
        <v>1400</v>
      </c>
      <c r="H1336" s="21" t="n">
        <v>0</v>
      </c>
      <c r="I1336" s="18" t="n">
        <f aca="false">F1336*(1+H1336)</f>
        <v>1</v>
      </c>
      <c r="J1336" s="13" t="n">
        <f aca="false">I1336*G1336</f>
        <v>1400</v>
      </c>
      <c r="K1336" s="20" t="str">
        <f aca="false">IF(INDEX('05 MATERIAL RATE LIBRARY'!$M$5:$M$400,MATCH("MAT-ALW",'05 MATERIAL RATE LIBRARY'!$A$5:$A$400,0))=1,"",IF(INDEX('05 MATERIAL RATE LIBRARY'!$M$5:$M$400,MATCH("MAT-ALW",'05 MATERIAL RATE LIBRARY'!$A$5:$A$400,0))=2,"OLD RATE","NO RATE"))</f>
        <v/>
      </c>
    </row>
    <row r="1337" customFormat="false" ht="15" hidden="false" customHeight="true" outlineLevel="0" collapsed="false">
      <c r="A1337" s="9" t="s">
        <v>373</v>
      </c>
      <c r="B1337" s="9" t="s">
        <v>798</v>
      </c>
      <c r="C1337" s="9" t="s">
        <v>1055</v>
      </c>
      <c r="D1337" s="5" t="s">
        <v>1056</v>
      </c>
      <c r="E1337" s="9" t="s">
        <v>368</v>
      </c>
      <c r="F1337" s="18" t="n">
        <f aca="false">1/75</f>
        <v>0.0133333333333333</v>
      </c>
      <c r="G1337" s="13" t="n">
        <f aca="false">N(INDEX('05 MATERIAL RATE LIBRARY'!$E$5:$E$400,MATCH("MAT-SIL",'05 MATERIAL RATE LIBRARY'!$A$5:$A$400,0)))</f>
        <v>445</v>
      </c>
      <c r="H1337" s="21" t="n">
        <v>0</v>
      </c>
      <c r="I1337" s="18" t="n">
        <f aca="false">F1337*(1+H1337)</f>
        <v>0.0133333333333333</v>
      </c>
      <c r="J1337" s="13" t="n">
        <f aca="false">I1337*G1337</f>
        <v>5.93333333333333</v>
      </c>
      <c r="K1337" s="20" t="str">
        <f aca="false">IF(INDEX('05 MATERIAL RATE LIBRARY'!$M$5:$M$400,MATCH("MAT-SIL",'05 MATERIAL RATE LIBRARY'!$A$5:$A$400,0))=1,"",IF(INDEX('05 MATERIAL RATE LIBRARY'!$M$5:$M$400,MATCH("MAT-SIL",'05 MATERIAL RATE LIBRARY'!$A$5:$A$400,0))=2,"OLD RATE","NO RATE"))</f>
        <v/>
      </c>
    </row>
    <row r="1338" customFormat="false" ht="15" hidden="false" customHeight="true" outlineLevel="0" collapsed="false">
      <c r="A1338" s="9" t="s">
        <v>373</v>
      </c>
      <c r="B1338" s="9" t="s">
        <v>812</v>
      </c>
      <c r="C1338" s="9" t="s">
        <v>1057</v>
      </c>
      <c r="D1338" s="5" t="s">
        <v>1058</v>
      </c>
      <c r="E1338" s="9" t="s">
        <v>815</v>
      </c>
      <c r="F1338" s="18" t="n">
        <v>0</v>
      </c>
      <c r="G1338" s="13" t="n">
        <f aca="false">N(INDEX('06 LABOUR RATE LIBRARY'!$D$5:$D$100,MATCH("LAB-GLZ",'06 LABOUR RATE LIBRARY'!$A$5:$A$100,0)))</f>
        <v>2200</v>
      </c>
      <c r="H1338" s="21" t="n">
        <v>0</v>
      </c>
      <c r="I1338" s="18" t="n">
        <f aca="false">F1338*(1+H1338)</f>
        <v>0</v>
      </c>
      <c r="J1338" s="13" t="n">
        <f aca="false">I1338*G1338</f>
        <v>0</v>
      </c>
      <c r="K1338" s="20" t="str">
        <f aca="false">IF(INDEX('06 LABOUR RATE LIBRARY'!$L$5:$L$100,MATCH("LAB-GLZ",'06 LABOUR RATE LIBRARY'!$A$5:$A$100,0))=1,"",IF(INDEX('06 LABOUR RATE LIBRARY'!$L$5:$L$100,MATCH("LAB-GLZ",'06 LABOUR RATE LIBRARY'!$A$5:$A$100,0))=2,"OLD RATE","NO RATE"))</f>
        <v/>
      </c>
    </row>
    <row r="1339" customFormat="false" ht="15" hidden="false" customHeight="true" outlineLevel="0" collapsed="false">
      <c r="A1339" s="9" t="s">
        <v>373</v>
      </c>
      <c r="B1339" s="9" t="s">
        <v>812</v>
      </c>
      <c r="C1339" s="9" t="s">
        <v>816</v>
      </c>
      <c r="D1339" s="5" t="s">
        <v>1059</v>
      </c>
      <c r="E1339" s="9" t="s">
        <v>815</v>
      </c>
      <c r="F1339" s="18" t="n">
        <v>0</v>
      </c>
      <c r="G1339" s="13" t="n">
        <f aca="false">N(INDEX('06 LABOUR RATE LIBRARY'!$D$5:$D$100,MATCH("LAB-HLP",'06 LABOUR RATE LIBRARY'!$A$5:$A$100,0)))</f>
        <v>1538</v>
      </c>
      <c r="H1339" s="21" t="n">
        <v>0</v>
      </c>
      <c r="I1339" s="18" t="n">
        <f aca="false">F1339*(1+H1339)</f>
        <v>0</v>
      </c>
      <c r="J1339" s="13" t="n">
        <f aca="false">I1339*G1339</f>
        <v>0</v>
      </c>
      <c r="K133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340" customFormat="false" ht="15" hidden="false" customHeight="true" outlineLevel="0" collapsed="false">
      <c r="D1340" s="22" t="s">
        <v>825</v>
      </c>
      <c r="J1340" s="23" t="n">
        <f aca="false">SUMPRODUCT((B1336:B1339="Material")*F1336:F1339*G1336:G1339)</f>
        <v>1405.93333333333</v>
      </c>
    </row>
    <row r="1341" customFormat="false" ht="15" hidden="false" customHeight="true" outlineLevel="0" collapsed="false">
      <c r="D1341" s="22" t="s">
        <v>826</v>
      </c>
      <c r="J1341" s="23" t="n">
        <f aca="false">SUMIF(B1336:B1339,"Material",J1336:J1339)-J1340</f>
        <v>0</v>
      </c>
    </row>
    <row r="1342" customFormat="false" ht="15" hidden="false" customHeight="true" outlineLevel="0" collapsed="false">
      <c r="D1342" s="24" t="s">
        <v>827</v>
      </c>
      <c r="J1342" s="14" t="n">
        <f aca="false">SUMIF(B1336:B1339,"Material",J1336:J1339)</f>
        <v>1405.93333333333</v>
      </c>
    </row>
    <row r="1343" customFormat="false" ht="15" hidden="false" customHeight="true" outlineLevel="0" collapsed="false">
      <c r="D1343" s="24" t="s">
        <v>828</v>
      </c>
      <c r="J1343" s="14" t="n">
        <f aca="false">SUMIF(B1336:B1339,"Labour",J1336:J1339)</f>
        <v>0</v>
      </c>
    </row>
    <row r="1344" customFormat="false" ht="15" hidden="false" customHeight="true" outlineLevel="0" collapsed="false">
      <c r="D1344" s="24" t="s">
        <v>829</v>
      </c>
      <c r="J1344" s="14" t="n">
        <f aca="false">SUMIF(B1336:B1339,"Equipment",J1336:J1339)</f>
        <v>0</v>
      </c>
    </row>
    <row r="1345" customFormat="false" ht="15" hidden="false" customHeight="true" outlineLevel="0" collapsed="false">
      <c r="D1345" s="24" t="s">
        <v>830</v>
      </c>
      <c r="J1345" s="14" t="n">
        <f aca="false">SUMIF(B1336:B1339,"Transport",J1336:J1339)</f>
        <v>0</v>
      </c>
    </row>
    <row r="1346" customFormat="false" ht="15" hidden="false" customHeight="true" outlineLevel="0" collapsed="false">
      <c r="D1346" s="24" t="s">
        <v>831</v>
      </c>
      <c r="J1346" s="14" t="n">
        <f aca="false">J1342+J1343+J1344+J1345</f>
        <v>1405.93333333333</v>
      </c>
    </row>
    <row r="1347" customFormat="false" ht="15" hidden="false" customHeight="true" outlineLevel="0" collapsed="false">
      <c r="D1347" s="22" t="s">
        <v>832</v>
      </c>
      <c r="J1347" s="23" t="n">
        <f aca="false">J1346*OH_Site</f>
        <v>42.178</v>
      </c>
    </row>
    <row r="1348" customFormat="false" ht="15" hidden="false" customHeight="true" outlineLevel="0" collapsed="false">
      <c r="D1348" s="22" t="s">
        <v>833</v>
      </c>
      <c r="J1348" s="23" t="n">
        <f aca="false">J1346*OH_HO</f>
        <v>70.2966666666667</v>
      </c>
    </row>
    <row r="1349" customFormat="false" ht="15" hidden="false" customHeight="true" outlineLevel="0" collapsed="false">
      <c r="D1349" s="22" t="s">
        <v>834</v>
      </c>
      <c r="J1349" s="23" t="n">
        <f aca="false">J1346*Profit</f>
        <v>140.593333333333</v>
      </c>
    </row>
    <row r="1350" customFormat="false" ht="15" hidden="false" customHeight="true" outlineLevel="0" collapsed="false">
      <c r="D1350" s="24" t="s">
        <v>835</v>
      </c>
      <c r="J1350" s="14" t="n">
        <f aca="false">J1346+J1347+J1348+J1349</f>
        <v>1659.00133333333</v>
      </c>
    </row>
    <row r="1351" customFormat="false" ht="15" hidden="false" customHeight="true" outlineLevel="0" collapsed="false">
      <c r="D1351" s="22" t="s">
        <v>836</v>
      </c>
      <c r="J1351" s="23" t="n">
        <f aca="false">IF(Tax_On="Yes",J1350*N(Tax_Rate),0)</f>
        <v>0</v>
      </c>
    </row>
    <row r="1352" customFormat="false" ht="15" hidden="false" customHeight="true" outlineLevel="0" collapsed="false">
      <c r="D1352" s="24" t="s">
        <v>895</v>
      </c>
      <c r="J1352" s="14" t="n">
        <f aca="false">ROUND(J1350+J1351,0)</f>
        <v>1659</v>
      </c>
    </row>
    <row r="1353" customFormat="false" ht="15" hidden="false" customHeight="true" outlineLevel="0" collapsed="false">
      <c r="D1353" s="25" t="s">
        <v>838</v>
      </c>
      <c r="J1353" s="26" t="n">
        <f aca="false">COUNTIF(K1336:K1339,"NO RATE")+COUNTIF(K1336:K1339,"OLD RATE")</f>
        <v>0</v>
      </c>
    </row>
    <row r="1355" customFormat="false" ht="39.75" hidden="false" customHeight="true" outlineLevel="0" collapsed="false">
      <c r="A1355" s="4" t="s">
        <v>378</v>
      </c>
      <c r="B1355" s="16" t="s">
        <v>380</v>
      </c>
      <c r="C1355" s="16"/>
      <c r="D1355" s="16"/>
      <c r="E1355" s="16"/>
      <c r="F1355" s="16"/>
      <c r="G1355" s="16"/>
      <c r="H1355" s="16"/>
      <c r="I1355" s="16"/>
      <c r="J1355" s="4" t="s">
        <v>890</v>
      </c>
      <c r="K1355" s="17"/>
    </row>
    <row r="1356" customFormat="false" ht="21.75" hidden="false" customHeight="true" outlineLevel="0" collapsed="false">
      <c r="A1356" s="12" t="s">
        <v>75</v>
      </c>
      <c r="B1356" s="12" t="s">
        <v>789</v>
      </c>
      <c r="C1356" s="12" t="s">
        <v>790</v>
      </c>
      <c r="D1356" s="12" t="s">
        <v>791</v>
      </c>
      <c r="E1356" s="12" t="s">
        <v>81</v>
      </c>
      <c r="F1356" s="12" t="s">
        <v>792</v>
      </c>
      <c r="G1356" s="12" t="s">
        <v>793</v>
      </c>
      <c r="H1356" s="12" t="s">
        <v>794</v>
      </c>
      <c r="I1356" s="12" t="s">
        <v>795</v>
      </c>
      <c r="J1356" s="12" t="s">
        <v>796</v>
      </c>
      <c r="K1356" s="12" t="s">
        <v>797</v>
      </c>
    </row>
    <row r="1357" customFormat="false" ht="15" hidden="false" customHeight="true" outlineLevel="0" collapsed="false">
      <c r="A1357" s="9" t="s">
        <v>378</v>
      </c>
      <c r="B1357" s="9" t="s">
        <v>798</v>
      </c>
      <c r="C1357" s="9" t="s">
        <v>1060</v>
      </c>
      <c r="D1357" s="5" t="s">
        <v>1054</v>
      </c>
      <c r="E1357" s="9" t="s">
        <v>212</v>
      </c>
      <c r="F1357" s="18" t="n">
        <v>1</v>
      </c>
      <c r="G1357" s="13" t="n">
        <f aca="false">N(INDEX('05 MATERIAL RATE LIBRARY'!$E$5:$E$400,MATCH("MAT-UPW",'05 MATERIAL RATE LIBRARY'!$A$5:$A$400,0)))</f>
        <v>2850</v>
      </c>
      <c r="H1357" s="21" t="n">
        <v>0</v>
      </c>
      <c r="I1357" s="18" t="n">
        <f aca="false">F1357*(1+H1357)</f>
        <v>1</v>
      </c>
      <c r="J1357" s="13" t="n">
        <f aca="false">I1357*G1357</f>
        <v>2850</v>
      </c>
      <c r="K1357" s="20" t="str">
        <f aca="false">IF(INDEX('05 MATERIAL RATE LIBRARY'!$M$5:$M$400,MATCH("MAT-UPW",'05 MATERIAL RATE LIBRARY'!$A$5:$A$400,0))=1,"",IF(INDEX('05 MATERIAL RATE LIBRARY'!$M$5:$M$400,MATCH("MAT-UPW",'05 MATERIAL RATE LIBRARY'!$A$5:$A$400,0))=2,"OLD RATE","NO RATE"))</f>
        <v/>
      </c>
    </row>
    <row r="1358" customFormat="false" ht="15" hidden="false" customHeight="true" outlineLevel="0" collapsed="false">
      <c r="A1358" s="9" t="s">
        <v>378</v>
      </c>
      <c r="B1358" s="9" t="s">
        <v>798</v>
      </c>
      <c r="C1358" s="9" t="s">
        <v>1055</v>
      </c>
      <c r="D1358" s="5" t="s">
        <v>1056</v>
      </c>
      <c r="E1358" s="9" t="s">
        <v>368</v>
      </c>
      <c r="F1358" s="18" t="n">
        <f aca="false">1/75</f>
        <v>0.0133333333333333</v>
      </c>
      <c r="G1358" s="13" t="n">
        <f aca="false">N(INDEX('05 MATERIAL RATE LIBRARY'!$E$5:$E$400,MATCH("MAT-SIL",'05 MATERIAL RATE LIBRARY'!$A$5:$A$400,0)))</f>
        <v>445</v>
      </c>
      <c r="H1358" s="21" t="n">
        <v>0</v>
      </c>
      <c r="I1358" s="18" t="n">
        <f aca="false">F1358*(1+H1358)</f>
        <v>0.0133333333333333</v>
      </c>
      <c r="J1358" s="13" t="n">
        <f aca="false">I1358*G1358</f>
        <v>5.93333333333333</v>
      </c>
      <c r="K1358" s="20" t="str">
        <f aca="false">IF(INDEX('05 MATERIAL RATE LIBRARY'!$M$5:$M$400,MATCH("MAT-SIL",'05 MATERIAL RATE LIBRARY'!$A$5:$A$400,0))=1,"",IF(INDEX('05 MATERIAL RATE LIBRARY'!$M$5:$M$400,MATCH("MAT-SIL",'05 MATERIAL RATE LIBRARY'!$A$5:$A$400,0))=2,"OLD RATE","NO RATE"))</f>
        <v/>
      </c>
    </row>
    <row r="1359" customFormat="false" ht="15" hidden="false" customHeight="true" outlineLevel="0" collapsed="false">
      <c r="A1359" s="9" t="s">
        <v>378</v>
      </c>
      <c r="B1359" s="9" t="s">
        <v>812</v>
      </c>
      <c r="C1359" s="9" t="s">
        <v>1057</v>
      </c>
      <c r="D1359" s="5" t="s">
        <v>1058</v>
      </c>
      <c r="E1359" s="9" t="s">
        <v>815</v>
      </c>
      <c r="F1359" s="18" t="n">
        <v>0</v>
      </c>
      <c r="G1359" s="13" t="n">
        <f aca="false">N(INDEX('06 LABOUR RATE LIBRARY'!$D$5:$D$100,MATCH("LAB-GLZ",'06 LABOUR RATE LIBRARY'!$A$5:$A$100,0)))</f>
        <v>2200</v>
      </c>
      <c r="H1359" s="21" t="n">
        <v>0</v>
      </c>
      <c r="I1359" s="18" t="n">
        <f aca="false">F1359*(1+H1359)</f>
        <v>0</v>
      </c>
      <c r="J1359" s="13" t="n">
        <f aca="false">I1359*G1359</f>
        <v>0</v>
      </c>
      <c r="K1359" s="20" t="str">
        <f aca="false">IF(INDEX('06 LABOUR RATE LIBRARY'!$L$5:$L$100,MATCH("LAB-GLZ",'06 LABOUR RATE LIBRARY'!$A$5:$A$100,0))=1,"",IF(INDEX('06 LABOUR RATE LIBRARY'!$L$5:$L$100,MATCH("LAB-GLZ",'06 LABOUR RATE LIBRARY'!$A$5:$A$100,0))=2,"OLD RATE","NO RATE"))</f>
        <v/>
      </c>
    </row>
    <row r="1360" customFormat="false" ht="15" hidden="false" customHeight="true" outlineLevel="0" collapsed="false">
      <c r="A1360" s="9" t="s">
        <v>378</v>
      </c>
      <c r="B1360" s="9" t="s">
        <v>812</v>
      </c>
      <c r="C1360" s="9" t="s">
        <v>816</v>
      </c>
      <c r="D1360" s="5" t="s">
        <v>1059</v>
      </c>
      <c r="E1360" s="9" t="s">
        <v>815</v>
      </c>
      <c r="F1360" s="18" t="n">
        <v>0</v>
      </c>
      <c r="G1360" s="13" t="n">
        <f aca="false">N(INDEX('06 LABOUR RATE LIBRARY'!$D$5:$D$100,MATCH("LAB-HLP",'06 LABOUR RATE LIBRARY'!$A$5:$A$100,0)))</f>
        <v>1538</v>
      </c>
      <c r="H1360" s="21" t="n">
        <v>0</v>
      </c>
      <c r="I1360" s="18" t="n">
        <f aca="false">F1360*(1+H1360)</f>
        <v>0</v>
      </c>
      <c r="J1360" s="13" t="n">
        <f aca="false">I1360*G1360</f>
        <v>0</v>
      </c>
      <c r="K136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361" customFormat="false" ht="15" hidden="false" customHeight="true" outlineLevel="0" collapsed="false">
      <c r="D1361" s="22" t="s">
        <v>825</v>
      </c>
      <c r="J1361" s="23" t="n">
        <f aca="false">SUMPRODUCT((B1357:B1360="Material")*F1357:F1360*G1357:G1360)</f>
        <v>2855.93333333333</v>
      </c>
    </row>
    <row r="1362" customFormat="false" ht="15" hidden="false" customHeight="true" outlineLevel="0" collapsed="false">
      <c r="D1362" s="22" t="s">
        <v>826</v>
      </c>
      <c r="J1362" s="23" t="n">
        <f aca="false">SUMIF(B1357:B1360,"Material",J1357:J1360)-J1361</f>
        <v>0</v>
      </c>
    </row>
    <row r="1363" customFormat="false" ht="15" hidden="false" customHeight="true" outlineLevel="0" collapsed="false">
      <c r="D1363" s="24" t="s">
        <v>827</v>
      </c>
      <c r="J1363" s="14" t="n">
        <f aca="false">SUMIF(B1357:B1360,"Material",J1357:J1360)</f>
        <v>2855.93333333333</v>
      </c>
    </row>
    <row r="1364" customFormat="false" ht="15" hidden="false" customHeight="true" outlineLevel="0" collapsed="false">
      <c r="D1364" s="24" t="s">
        <v>828</v>
      </c>
      <c r="J1364" s="14" t="n">
        <f aca="false">SUMIF(B1357:B1360,"Labour",J1357:J1360)</f>
        <v>0</v>
      </c>
    </row>
    <row r="1365" customFormat="false" ht="15" hidden="false" customHeight="true" outlineLevel="0" collapsed="false">
      <c r="D1365" s="24" t="s">
        <v>829</v>
      </c>
      <c r="J1365" s="14" t="n">
        <f aca="false">SUMIF(B1357:B1360,"Equipment",J1357:J1360)</f>
        <v>0</v>
      </c>
    </row>
    <row r="1366" customFormat="false" ht="15" hidden="false" customHeight="true" outlineLevel="0" collapsed="false">
      <c r="D1366" s="24" t="s">
        <v>830</v>
      </c>
      <c r="J1366" s="14" t="n">
        <f aca="false">SUMIF(B1357:B1360,"Transport",J1357:J1360)</f>
        <v>0</v>
      </c>
    </row>
    <row r="1367" customFormat="false" ht="15" hidden="false" customHeight="true" outlineLevel="0" collapsed="false">
      <c r="D1367" s="24" t="s">
        <v>831</v>
      </c>
      <c r="J1367" s="14" t="n">
        <f aca="false">J1363+J1364+J1365+J1366</f>
        <v>2855.93333333333</v>
      </c>
    </row>
    <row r="1368" customFormat="false" ht="15" hidden="false" customHeight="true" outlineLevel="0" collapsed="false">
      <c r="D1368" s="22" t="s">
        <v>832</v>
      </c>
      <c r="J1368" s="23" t="n">
        <f aca="false">J1367*OH_Site</f>
        <v>85.678</v>
      </c>
    </row>
    <row r="1369" customFormat="false" ht="15" hidden="false" customHeight="true" outlineLevel="0" collapsed="false">
      <c r="D1369" s="22" t="s">
        <v>833</v>
      </c>
      <c r="J1369" s="23" t="n">
        <f aca="false">J1367*OH_HO</f>
        <v>142.796666666667</v>
      </c>
    </row>
    <row r="1370" customFormat="false" ht="15" hidden="false" customHeight="true" outlineLevel="0" collapsed="false">
      <c r="D1370" s="22" t="s">
        <v>834</v>
      </c>
      <c r="J1370" s="23" t="n">
        <f aca="false">J1367*Profit</f>
        <v>285.593333333333</v>
      </c>
    </row>
    <row r="1371" customFormat="false" ht="15" hidden="false" customHeight="true" outlineLevel="0" collapsed="false">
      <c r="D1371" s="24" t="s">
        <v>835</v>
      </c>
      <c r="J1371" s="14" t="n">
        <f aca="false">J1367+J1368+J1369+J1370</f>
        <v>3370.00133333333</v>
      </c>
    </row>
    <row r="1372" customFormat="false" ht="15" hidden="false" customHeight="true" outlineLevel="0" collapsed="false">
      <c r="D1372" s="22" t="s">
        <v>836</v>
      </c>
      <c r="J1372" s="23" t="n">
        <f aca="false">IF(Tax_On="Yes",J1371*N(Tax_Rate),0)</f>
        <v>0</v>
      </c>
    </row>
    <row r="1373" customFormat="false" ht="15" hidden="false" customHeight="true" outlineLevel="0" collapsed="false">
      <c r="D1373" s="24" t="s">
        <v>895</v>
      </c>
      <c r="J1373" s="14" t="n">
        <f aca="false">ROUND(J1371+J1372,0)</f>
        <v>3370</v>
      </c>
    </row>
    <row r="1374" customFormat="false" ht="15" hidden="false" customHeight="true" outlineLevel="0" collapsed="false">
      <c r="D1374" s="25" t="s">
        <v>838</v>
      </c>
      <c r="J1374" s="26" t="n">
        <f aca="false">COUNTIF(K1357:K1360,"NO RATE")+COUNTIF(K1357:K1360,"OLD RATE")</f>
        <v>0</v>
      </c>
    </row>
    <row r="1376" customFormat="false" ht="39.75" hidden="false" customHeight="true" outlineLevel="0" collapsed="false">
      <c r="A1376" s="4" t="s">
        <v>381</v>
      </c>
      <c r="B1376" s="16" t="s">
        <v>384</v>
      </c>
      <c r="C1376" s="16"/>
      <c r="D1376" s="16"/>
      <c r="E1376" s="16"/>
      <c r="F1376" s="16"/>
      <c r="G1376" s="16"/>
      <c r="H1376" s="16"/>
      <c r="I1376" s="16"/>
      <c r="J1376" s="4" t="s">
        <v>1061</v>
      </c>
      <c r="K1376" s="17"/>
    </row>
    <row r="1377" customFormat="false" ht="21.75" hidden="false" customHeight="true" outlineLevel="0" collapsed="false">
      <c r="A1377" s="12" t="s">
        <v>75</v>
      </c>
      <c r="B1377" s="12" t="s">
        <v>789</v>
      </c>
      <c r="C1377" s="12" t="s">
        <v>790</v>
      </c>
      <c r="D1377" s="12" t="s">
        <v>791</v>
      </c>
      <c r="E1377" s="12" t="s">
        <v>81</v>
      </c>
      <c r="F1377" s="12" t="s">
        <v>792</v>
      </c>
      <c r="G1377" s="12" t="s">
        <v>793</v>
      </c>
      <c r="H1377" s="12" t="s">
        <v>794</v>
      </c>
      <c r="I1377" s="12" t="s">
        <v>795</v>
      </c>
      <c r="J1377" s="12" t="s">
        <v>796</v>
      </c>
      <c r="K1377" s="12" t="s">
        <v>797</v>
      </c>
    </row>
    <row r="1378" customFormat="false" ht="15" hidden="false" customHeight="true" outlineLevel="0" collapsed="false">
      <c r="A1378" s="9" t="s">
        <v>381</v>
      </c>
      <c r="B1378" s="9" t="s">
        <v>798</v>
      </c>
      <c r="C1378" s="9" t="s">
        <v>1062</v>
      </c>
      <c r="D1378" s="5" t="s">
        <v>1063</v>
      </c>
      <c r="E1378" s="9" t="s">
        <v>900</v>
      </c>
      <c r="F1378" s="18" t="n">
        <f aca="false">12/32</f>
        <v>0.375</v>
      </c>
      <c r="G1378" s="13" t="n">
        <f aca="false">N(INDEX('05 MATERIAL RATE LIBRARY'!$E$5:$E$400,MATCH("MAT-MDF-18",'05 MATERIAL RATE LIBRARY'!$A$5:$A$400,0)))</f>
        <v>11000</v>
      </c>
      <c r="H1378" s="21" t="n">
        <v>0.1</v>
      </c>
      <c r="I1378" s="18" t="n">
        <f aca="false">F1378*(1+H1378)</f>
        <v>0.4125</v>
      </c>
      <c r="J1378" s="13" t="n">
        <f aca="false">I1378*G1378</f>
        <v>4537.5</v>
      </c>
      <c r="K1378" s="20" t="str">
        <f aca="false">IF(INDEX('05 MATERIAL RATE LIBRARY'!$M$5:$M$400,MATCH("MAT-MDF-18",'05 MATERIAL RATE LIBRARY'!$A$5:$A$400,0))=1,"",IF(INDEX('05 MATERIAL RATE LIBRARY'!$M$5:$M$400,MATCH("MAT-MDF-18",'05 MATERIAL RATE LIBRARY'!$A$5:$A$400,0))=2,"OLD RATE","NO RATE"))</f>
        <v/>
      </c>
    </row>
    <row r="1379" customFormat="false" ht="15" hidden="false" customHeight="true" outlineLevel="0" collapsed="false">
      <c r="A1379" s="9" t="s">
        <v>381</v>
      </c>
      <c r="B1379" s="9" t="s">
        <v>798</v>
      </c>
      <c r="C1379" s="9" t="s">
        <v>1064</v>
      </c>
      <c r="D1379" s="5" t="s">
        <v>1065</v>
      </c>
      <c r="E1379" s="9" t="s">
        <v>1066</v>
      </c>
      <c r="F1379" s="18" t="n">
        <v>1</v>
      </c>
      <c r="G1379" s="13" t="n">
        <f aca="false">N(INDEX('05 MATERIAL RATE LIBRARY'!$E$5:$E$400,MATCH("MAT-CAB-HW",'05 MATERIAL RATE LIBRARY'!$A$5:$A$400,0)))</f>
        <v>546</v>
      </c>
      <c r="H1379" s="21" t="n">
        <v>0</v>
      </c>
      <c r="I1379" s="18" t="n">
        <f aca="false">F1379*(1+H1379)</f>
        <v>1</v>
      </c>
      <c r="J1379" s="13" t="n">
        <f aca="false">I1379*G1379</f>
        <v>546</v>
      </c>
      <c r="K1379" s="20" t="str">
        <f aca="false">IF(INDEX('05 MATERIAL RATE LIBRARY'!$M$5:$M$400,MATCH("MAT-CAB-HW",'05 MATERIAL RATE LIBRARY'!$A$5:$A$400,0))=1,"",IF(INDEX('05 MATERIAL RATE LIBRARY'!$M$5:$M$400,MATCH("MAT-CAB-HW",'05 MATERIAL RATE LIBRARY'!$A$5:$A$400,0))=2,"OLD RATE","NO RATE"))</f>
        <v/>
      </c>
    </row>
    <row r="1380" customFormat="false" ht="15" hidden="false" customHeight="true" outlineLevel="0" collapsed="false">
      <c r="A1380" s="9" t="s">
        <v>381</v>
      </c>
      <c r="B1380" s="9" t="s">
        <v>812</v>
      </c>
      <c r="C1380" s="9" t="s">
        <v>907</v>
      </c>
      <c r="D1380" s="5" t="s">
        <v>1067</v>
      </c>
      <c r="E1380" s="9" t="s">
        <v>815</v>
      </c>
      <c r="F1380" s="18" t="n">
        <f aca="false">0.3</f>
        <v>0.3</v>
      </c>
      <c r="G1380" s="13" t="n">
        <f aca="false">N(INDEX('06 LABOUR RATE LIBRARY'!$D$5:$D$100,MATCH("LAB-CRP",'06 LABOUR RATE LIBRARY'!$A$5:$A$100,0)))</f>
        <v>2400</v>
      </c>
      <c r="H1380" s="21" t="n">
        <v>0</v>
      </c>
      <c r="I1380" s="18" t="n">
        <f aca="false">F1380*(1+H1380)</f>
        <v>0.3</v>
      </c>
      <c r="J1380" s="13" t="n">
        <f aca="false">I1380*G1380</f>
        <v>720</v>
      </c>
      <c r="K1380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1381" customFormat="false" ht="15" hidden="false" customHeight="true" outlineLevel="0" collapsed="false">
      <c r="A1381" s="9" t="s">
        <v>381</v>
      </c>
      <c r="B1381" s="9" t="s">
        <v>812</v>
      </c>
      <c r="C1381" s="9" t="s">
        <v>816</v>
      </c>
      <c r="D1381" s="5" t="s">
        <v>1068</v>
      </c>
      <c r="E1381" s="9" t="s">
        <v>815</v>
      </c>
      <c r="F1381" s="18" t="n">
        <f aca="false">0.15</f>
        <v>0.15</v>
      </c>
      <c r="G1381" s="13" t="n">
        <f aca="false">N(INDEX('06 LABOUR RATE LIBRARY'!$D$5:$D$100,MATCH("LAB-HLP",'06 LABOUR RATE LIBRARY'!$A$5:$A$100,0)))</f>
        <v>1538</v>
      </c>
      <c r="H1381" s="21" t="n">
        <v>0</v>
      </c>
      <c r="I1381" s="18" t="n">
        <f aca="false">F1381*(1+H1381)</f>
        <v>0.15</v>
      </c>
      <c r="J1381" s="13" t="n">
        <f aca="false">I1381*G1381</f>
        <v>230.7</v>
      </c>
      <c r="K138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382" customFormat="false" ht="15" hidden="false" customHeight="true" outlineLevel="0" collapsed="false">
      <c r="D1382" s="22" t="s">
        <v>825</v>
      </c>
      <c r="J1382" s="23" t="n">
        <f aca="false">SUMPRODUCT((B1378:B1381="Material")*F1378:F1381*G1378:G1381)</f>
        <v>4671</v>
      </c>
    </row>
    <row r="1383" customFormat="false" ht="15" hidden="false" customHeight="true" outlineLevel="0" collapsed="false">
      <c r="D1383" s="22" t="s">
        <v>826</v>
      </c>
      <c r="J1383" s="23" t="n">
        <f aca="false">SUMIF(B1378:B1381,"Material",J1378:J1381)-J1382</f>
        <v>412.5</v>
      </c>
    </row>
    <row r="1384" customFormat="false" ht="15" hidden="false" customHeight="true" outlineLevel="0" collapsed="false">
      <c r="D1384" s="24" t="s">
        <v>827</v>
      </c>
      <c r="J1384" s="14" t="n">
        <f aca="false">SUMIF(B1378:B1381,"Material",J1378:J1381)</f>
        <v>5083.5</v>
      </c>
    </row>
    <row r="1385" customFormat="false" ht="15" hidden="false" customHeight="true" outlineLevel="0" collapsed="false">
      <c r="D1385" s="24" t="s">
        <v>828</v>
      </c>
      <c r="J1385" s="14" t="n">
        <f aca="false">SUMIF(B1378:B1381,"Labour",J1378:J1381)</f>
        <v>950.7</v>
      </c>
    </row>
    <row r="1386" customFormat="false" ht="15" hidden="false" customHeight="true" outlineLevel="0" collapsed="false">
      <c r="D1386" s="24" t="s">
        <v>829</v>
      </c>
      <c r="J1386" s="14" t="n">
        <f aca="false">SUMIF(B1378:B1381,"Equipment",J1378:J1381)</f>
        <v>0</v>
      </c>
    </row>
    <row r="1387" customFormat="false" ht="15" hidden="false" customHeight="true" outlineLevel="0" collapsed="false">
      <c r="D1387" s="24" t="s">
        <v>830</v>
      </c>
      <c r="J1387" s="14" t="n">
        <f aca="false">SUMIF(B1378:B1381,"Transport",J1378:J1381)</f>
        <v>0</v>
      </c>
    </row>
    <row r="1388" customFormat="false" ht="15" hidden="false" customHeight="true" outlineLevel="0" collapsed="false">
      <c r="D1388" s="24" t="s">
        <v>831</v>
      </c>
      <c r="J1388" s="14" t="n">
        <f aca="false">J1384+J1385+J1386+J1387</f>
        <v>6034.2</v>
      </c>
    </row>
    <row r="1389" customFormat="false" ht="15" hidden="false" customHeight="true" outlineLevel="0" collapsed="false">
      <c r="D1389" s="22" t="s">
        <v>832</v>
      </c>
      <c r="J1389" s="23" t="n">
        <f aca="false">J1388*OH_Site</f>
        <v>181.026</v>
      </c>
    </row>
    <row r="1390" customFormat="false" ht="15" hidden="false" customHeight="true" outlineLevel="0" collapsed="false">
      <c r="D1390" s="22" t="s">
        <v>833</v>
      </c>
      <c r="J1390" s="23" t="n">
        <f aca="false">J1388*OH_HO</f>
        <v>301.71</v>
      </c>
    </row>
    <row r="1391" customFormat="false" ht="15" hidden="false" customHeight="true" outlineLevel="0" collapsed="false">
      <c r="D1391" s="22" t="s">
        <v>834</v>
      </c>
      <c r="J1391" s="23" t="n">
        <f aca="false">J1388*Profit</f>
        <v>603.42</v>
      </c>
    </row>
    <row r="1392" customFormat="false" ht="15" hidden="false" customHeight="true" outlineLevel="0" collapsed="false">
      <c r="D1392" s="24" t="s">
        <v>835</v>
      </c>
      <c r="J1392" s="14" t="n">
        <f aca="false">J1388+J1389+J1390+J1391</f>
        <v>7120.356</v>
      </c>
    </row>
    <row r="1393" customFormat="false" ht="15" hidden="false" customHeight="true" outlineLevel="0" collapsed="false">
      <c r="D1393" s="22" t="s">
        <v>836</v>
      </c>
      <c r="J1393" s="23" t="n">
        <f aca="false">IF(Tax_On="Yes",J1392*N(Tax_Rate),0)</f>
        <v>0</v>
      </c>
    </row>
    <row r="1394" customFormat="false" ht="15" hidden="false" customHeight="true" outlineLevel="0" collapsed="false">
      <c r="D1394" s="24" t="s">
        <v>1069</v>
      </c>
      <c r="J1394" s="14" t="n">
        <f aca="false">ROUND(J1392+J1393,0)</f>
        <v>7120</v>
      </c>
    </row>
    <row r="1395" customFormat="false" ht="15" hidden="false" customHeight="true" outlineLevel="0" collapsed="false">
      <c r="D1395" s="25" t="s">
        <v>838</v>
      </c>
      <c r="J1395" s="26" t="n">
        <f aca="false">COUNTIF(K1378:K1381,"NO RATE")+COUNTIF(K1378:K1381,"OLD RATE")</f>
        <v>0</v>
      </c>
    </row>
    <row r="1397" customFormat="false" ht="39.75" hidden="false" customHeight="true" outlineLevel="0" collapsed="false">
      <c r="A1397" s="4" t="s">
        <v>387</v>
      </c>
      <c r="B1397" s="16" t="s">
        <v>391</v>
      </c>
      <c r="C1397" s="16"/>
      <c r="D1397" s="16"/>
      <c r="E1397" s="16"/>
      <c r="F1397" s="16"/>
      <c r="G1397" s="16"/>
      <c r="H1397" s="16"/>
      <c r="I1397" s="16"/>
      <c r="J1397" s="4" t="s">
        <v>890</v>
      </c>
      <c r="K1397" s="17"/>
    </row>
    <row r="1398" customFormat="false" ht="21.75" hidden="false" customHeight="true" outlineLevel="0" collapsed="false">
      <c r="A1398" s="12" t="s">
        <v>75</v>
      </c>
      <c r="B1398" s="12" t="s">
        <v>789</v>
      </c>
      <c r="C1398" s="12" t="s">
        <v>790</v>
      </c>
      <c r="D1398" s="12" t="s">
        <v>791</v>
      </c>
      <c r="E1398" s="12" t="s">
        <v>81</v>
      </c>
      <c r="F1398" s="12" t="s">
        <v>792</v>
      </c>
      <c r="G1398" s="12" t="s">
        <v>793</v>
      </c>
      <c r="H1398" s="12" t="s">
        <v>794</v>
      </c>
      <c r="I1398" s="12" t="s">
        <v>795</v>
      </c>
      <c r="J1398" s="12" t="s">
        <v>796</v>
      </c>
      <c r="K1398" s="12" t="s">
        <v>797</v>
      </c>
    </row>
    <row r="1399" customFormat="false" ht="15" hidden="false" customHeight="true" outlineLevel="0" collapsed="false">
      <c r="A1399" s="9" t="s">
        <v>387</v>
      </c>
      <c r="B1399" s="9" t="s">
        <v>798</v>
      </c>
      <c r="C1399" s="9" t="s">
        <v>1070</v>
      </c>
      <c r="D1399" s="5" t="s">
        <v>1071</v>
      </c>
      <c r="E1399" s="9" t="s">
        <v>212</v>
      </c>
      <c r="F1399" s="18" t="n">
        <v>1</v>
      </c>
      <c r="G1399" s="13" t="n">
        <f aca="false">N(INDEX('05 MATERIAL RATE LIBRARY'!$E$5:$E$400,MATCH("MAT-CW",'05 MATERIAL RATE LIBRARY'!$A$5:$A$400,0)))</f>
        <v>4500</v>
      </c>
      <c r="H1399" s="21" t="n">
        <v>0</v>
      </c>
      <c r="I1399" s="18" t="n">
        <f aca="false">F1399*(1+H1399)</f>
        <v>1</v>
      </c>
      <c r="J1399" s="13" t="n">
        <f aca="false">I1399*G1399</f>
        <v>4500</v>
      </c>
      <c r="K1399" s="20" t="str">
        <f aca="false">IF(INDEX('05 MATERIAL RATE LIBRARY'!$M$5:$M$400,MATCH("MAT-CW",'05 MATERIAL RATE LIBRARY'!$A$5:$A$400,0))=1,"",IF(INDEX('05 MATERIAL RATE LIBRARY'!$M$5:$M$400,MATCH("MAT-CW",'05 MATERIAL RATE LIBRARY'!$A$5:$A$400,0))=2,"OLD RATE","NO RATE"))</f>
        <v/>
      </c>
    </row>
    <row r="1400" customFormat="false" ht="15" hidden="false" customHeight="true" outlineLevel="0" collapsed="false">
      <c r="A1400" s="9" t="s">
        <v>387</v>
      </c>
      <c r="B1400" s="9" t="s">
        <v>798</v>
      </c>
      <c r="C1400" s="9" t="s">
        <v>1072</v>
      </c>
      <c r="D1400" s="5" t="s">
        <v>1073</v>
      </c>
      <c r="E1400" s="9" t="s">
        <v>386</v>
      </c>
      <c r="F1400" s="18" t="n">
        <v>0.1</v>
      </c>
      <c r="G1400" s="13" t="n">
        <f aca="false">N(INDEX('05 MATERIAL RATE LIBRARY'!$E$5:$E$400,MATCH("MAT-FSTOP",'05 MATERIAL RATE LIBRARY'!$A$5:$A$400,0)))</f>
        <v>350</v>
      </c>
      <c r="H1400" s="21" t="n">
        <v>0</v>
      </c>
      <c r="I1400" s="18" t="n">
        <f aca="false">F1400*(1+H1400)</f>
        <v>0.1</v>
      </c>
      <c r="J1400" s="13" t="n">
        <f aca="false">I1400*G1400</f>
        <v>35</v>
      </c>
      <c r="K1400" s="20" t="str">
        <f aca="false">IF(INDEX('05 MATERIAL RATE LIBRARY'!$M$5:$M$400,MATCH("MAT-FSTOP",'05 MATERIAL RATE LIBRARY'!$A$5:$A$400,0))=1,"",IF(INDEX('05 MATERIAL RATE LIBRARY'!$M$5:$M$400,MATCH("MAT-FSTOP",'05 MATERIAL RATE LIBRARY'!$A$5:$A$400,0))=2,"OLD RATE","NO RATE"))</f>
        <v/>
      </c>
    </row>
    <row r="1401" customFormat="false" ht="15" hidden="false" customHeight="true" outlineLevel="0" collapsed="false">
      <c r="A1401" s="9" t="s">
        <v>387</v>
      </c>
      <c r="B1401" s="9" t="s">
        <v>818</v>
      </c>
      <c r="C1401" s="9" t="s">
        <v>1074</v>
      </c>
      <c r="D1401" s="5" t="s">
        <v>1075</v>
      </c>
      <c r="E1401" s="9" t="s">
        <v>212</v>
      </c>
      <c r="F1401" s="18" t="n">
        <v>1</v>
      </c>
      <c r="G1401" s="13" t="n">
        <f aca="false">N(INDEX('07 EQUIPMENT RATE LIBRARY'!$D$5:$D$100,MATCH("EQ-CRADLE",'07 EQUIPMENT RATE LIBRARY'!$A$5:$A$100,0)))</f>
        <v>3.75</v>
      </c>
      <c r="H1401" s="21" t="n">
        <v>0</v>
      </c>
      <c r="I1401" s="18" t="n">
        <f aca="false">F1401*(1+H1401)</f>
        <v>1</v>
      </c>
      <c r="J1401" s="13" t="n">
        <f aca="false">I1401*G1401</f>
        <v>3.75</v>
      </c>
      <c r="K1401" s="20" t="str">
        <f aca="false">IF(INDEX('07 EQUIPMENT RATE LIBRARY'!$H$5:$H$100,MATCH("EQ-CRADLE",'07 EQUIPMENT RATE LIBRARY'!$A$5:$A$100,0))=1,"",IF(INDEX('07 EQUIPMENT RATE LIBRARY'!$H$5:$H$100,MATCH("EQ-CRADLE",'07 EQUIPMENT RATE LIBRARY'!$A$5:$A$100,0))=2,"OLD RATE","NO RATE"))</f>
        <v/>
      </c>
    </row>
    <row r="1402" customFormat="false" ht="15" hidden="false" customHeight="true" outlineLevel="0" collapsed="false">
      <c r="D1402" s="22" t="s">
        <v>825</v>
      </c>
      <c r="J1402" s="23" t="n">
        <f aca="false">SUMPRODUCT((B1399:B1401="Material")*F1399:F1401*G1399:G1401)</f>
        <v>4535</v>
      </c>
    </row>
    <row r="1403" customFormat="false" ht="15" hidden="false" customHeight="true" outlineLevel="0" collapsed="false">
      <c r="D1403" s="22" t="s">
        <v>826</v>
      </c>
      <c r="J1403" s="23" t="n">
        <f aca="false">SUMIF(B1399:B1401,"Material",J1399:J1401)-J1402</f>
        <v>0</v>
      </c>
    </row>
    <row r="1404" customFormat="false" ht="15" hidden="false" customHeight="true" outlineLevel="0" collapsed="false">
      <c r="D1404" s="24" t="s">
        <v>827</v>
      </c>
      <c r="J1404" s="14" t="n">
        <f aca="false">SUMIF(B1399:B1401,"Material",J1399:J1401)</f>
        <v>4535</v>
      </c>
    </row>
    <row r="1405" customFormat="false" ht="15" hidden="false" customHeight="true" outlineLevel="0" collapsed="false">
      <c r="D1405" s="24" t="s">
        <v>828</v>
      </c>
      <c r="J1405" s="14" t="n">
        <f aca="false">SUMIF(B1399:B1401,"Labour",J1399:J1401)</f>
        <v>0</v>
      </c>
    </row>
    <row r="1406" customFormat="false" ht="15" hidden="false" customHeight="true" outlineLevel="0" collapsed="false">
      <c r="D1406" s="24" t="s">
        <v>829</v>
      </c>
      <c r="J1406" s="14" t="n">
        <f aca="false">SUMIF(B1399:B1401,"Equipment",J1399:J1401)</f>
        <v>3.75</v>
      </c>
    </row>
    <row r="1407" customFormat="false" ht="15" hidden="false" customHeight="true" outlineLevel="0" collapsed="false">
      <c r="D1407" s="24" t="s">
        <v>830</v>
      </c>
      <c r="J1407" s="14" t="n">
        <f aca="false">SUMIF(B1399:B1401,"Transport",J1399:J1401)</f>
        <v>0</v>
      </c>
    </row>
    <row r="1408" customFormat="false" ht="15" hidden="false" customHeight="true" outlineLevel="0" collapsed="false">
      <c r="D1408" s="24" t="s">
        <v>831</v>
      </c>
      <c r="J1408" s="14" t="n">
        <f aca="false">J1404+J1405+J1406+J1407</f>
        <v>4538.75</v>
      </c>
    </row>
    <row r="1409" customFormat="false" ht="15" hidden="false" customHeight="true" outlineLevel="0" collapsed="false">
      <c r="D1409" s="22" t="s">
        <v>832</v>
      </c>
      <c r="J1409" s="23" t="n">
        <f aca="false">J1408*OH_Site</f>
        <v>136.1625</v>
      </c>
    </row>
    <row r="1410" customFormat="false" ht="15" hidden="false" customHeight="true" outlineLevel="0" collapsed="false">
      <c r="D1410" s="22" t="s">
        <v>833</v>
      </c>
      <c r="J1410" s="23" t="n">
        <f aca="false">J1408*OH_HO</f>
        <v>226.9375</v>
      </c>
    </row>
    <row r="1411" customFormat="false" ht="15" hidden="false" customHeight="true" outlineLevel="0" collapsed="false">
      <c r="D1411" s="22" t="s">
        <v>834</v>
      </c>
      <c r="J1411" s="23" t="n">
        <f aca="false">J1408*Profit</f>
        <v>453.875</v>
      </c>
    </row>
    <row r="1412" customFormat="false" ht="15" hidden="false" customHeight="true" outlineLevel="0" collapsed="false">
      <c r="D1412" s="24" t="s">
        <v>835</v>
      </c>
      <c r="J1412" s="14" t="n">
        <f aca="false">J1408+J1409+J1410+J1411</f>
        <v>5355.725</v>
      </c>
    </row>
    <row r="1413" customFormat="false" ht="15" hidden="false" customHeight="true" outlineLevel="0" collapsed="false">
      <c r="D1413" s="22" t="s">
        <v>836</v>
      </c>
      <c r="J1413" s="23" t="n">
        <f aca="false">IF(Tax_On="Yes",J1412*N(Tax_Rate),0)</f>
        <v>0</v>
      </c>
    </row>
    <row r="1414" customFormat="false" ht="15" hidden="false" customHeight="true" outlineLevel="0" collapsed="false">
      <c r="D1414" s="24" t="s">
        <v>895</v>
      </c>
      <c r="J1414" s="14" t="n">
        <f aca="false">ROUND(J1412+J1413,0)</f>
        <v>5356</v>
      </c>
    </row>
    <row r="1415" customFormat="false" ht="15" hidden="false" customHeight="true" outlineLevel="0" collapsed="false">
      <c r="D1415" s="25" t="s">
        <v>838</v>
      </c>
      <c r="J1415" s="26" t="n">
        <f aca="false">COUNTIF(K1399:K1401,"NO RATE")+COUNTIF(K1399:K1401,"OLD RATE")</f>
        <v>0</v>
      </c>
    </row>
    <row r="1417" customFormat="false" ht="39.75" hidden="false" customHeight="true" outlineLevel="0" collapsed="false">
      <c r="A1417" s="4" t="s">
        <v>393</v>
      </c>
      <c r="B1417" s="16" t="s">
        <v>396</v>
      </c>
      <c r="C1417" s="16"/>
      <c r="D1417" s="16"/>
      <c r="E1417" s="16"/>
      <c r="F1417" s="16"/>
      <c r="G1417" s="16"/>
      <c r="H1417" s="16"/>
      <c r="I1417" s="16"/>
      <c r="J1417" s="4" t="s">
        <v>890</v>
      </c>
      <c r="K1417" s="17"/>
    </row>
    <row r="1418" customFormat="false" ht="21.75" hidden="false" customHeight="true" outlineLevel="0" collapsed="false">
      <c r="A1418" s="12" t="s">
        <v>75</v>
      </c>
      <c r="B1418" s="12" t="s">
        <v>789</v>
      </c>
      <c r="C1418" s="12" t="s">
        <v>790</v>
      </c>
      <c r="D1418" s="12" t="s">
        <v>791</v>
      </c>
      <c r="E1418" s="12" t="s">
        <v>81</v>
      </c>
      <c r="F1418" s="12" t="s">
        <v>792</v>
      </c>
      <c r="G1418" s="12" t="s">
        <v>793</v>
      </c>
      <c r="H1418" s="12" t="s">
        <v>794</v>
      </c>
      <c r="I1418" s="12" t="s">
        <v>795</v>
      </c>
      <c r="J1418" s="12" t="s">
        <v>796</v>
      </c>
      <c r="K1418" s="12" t="s">
        <v>797</v>
      </c>
    </row>
    <row r="1419" customFormat="false" ht="15" hidden="false" customHeight="true" outlineLevel="0" collapsed="false">
      <c r="A1419" s="9" t="s">
        <v>393</v>
      </c>
      <c r="B1419" s="9" t="s">
        <v>798</v>
      </c>
      <c r="C1419" s="9" t="s">
        <v>1076</v>
      </c>
      <c r="D1419" s="5" t="s">
        <v>1077</v>
      </c>
      <c r="E1419" s="9" t="s">
        <v>212</v>
      </c>
      <c r="F1419" s="18" t="n">
        <v>1.15</v>
      </c>
      <c r="G1419" s="13" t="n">
        <f aca="false">N(INDEX('05 MATERIAL RATE LIBRARY'!$E$5:$E$400,MATCH("MAT-ACP",'05 MATERIAL RATE LIBRARY'!$A$5:$A$400,0)))</f>
        <v>500</v>
      </c>
      <c r="H1419" s="21" t="n">
        <v>0</v>
      </c>
      <c r="I1419" s="18" t="n">
        <f aca="false">F1419*(1+H1419)</f>
        <v>1.15</v>
      </c>
      <c r="J1419" s="13" t="n">
        <f aca="false">I1419*G1419</f>
        <v>575</v>
      </c>
      <c r="K1419" s="20" t="str">
        <f aca="false">IF(INDEX('05 MATERIAL RATE LIBRARY'!$M$5:$M$400,MATCH("MAT-ACP",'05 MATERIAL RATE LIBRARY'!$A$5:$A$400,0))=1,"",IF(INDEX('05 MATERIAL RATE LIBRARY'!$M$5:$M$400,MATCH("MAT-ACP",'05 MATERIAL RATE LIBRARY'!$A$5:$A$400,0))=2,"OLD RATE","NO RATE"))</f>
        <v/>
      </c>
    </row>
    <row r="1420" customFormat="false" ht="15" hidden="false" customHeight="true" outlineLevel="0" collapsed="false">
      <c r="A1420" s="9" t="s">
        <v>393</v>
      </c>
      <c r="B1420" s="9" t="s">
        <v>798</v>
      </c>
      <c r="C1420" s="9" t="s">
        <v>1078</v>
      </c>
      <c r="D1420" s="5" t="s">
        <v>1079</v>
      </c>
      <c r="E1420" s="9" t="s">
        <v>198</v>
      </c>
      <c r="F1420" s="18" t="n">
        <v>0.8</v>
      </c>
      <c r="G1420" s="13" t="n">
        <f aca="false">N(INDEX('05 MATERIAL RATE LIBRARY'!$E$5:$E$400,MATCH("MAT-ALSF",'05 MATERIAL RATE LIBRARY'!$A$5:$A$400,0)))</f>
        <v>1300</v>
      </c>
      <c r="H1420" s="21" t="n">
        <v>0</v>
      </c>
      <c r="I1420" s="18" t="n">
        <f aca="false">F1420*(1+H1420)</f>
        <v>0.8</v>
      </c>
      <c r="J1420" s="13" t="n">
        <f aca="false">I1420*G1420</f>
        <v>1040</v>
      </c>
      <c r="K1420" s="20" t="str">
        <f aca="false">IF(INDEX('05 MATERIAL RATE LIBRARY'!$M$5:$M$400,MATCH("MAT-ALSF",'05 MATERIAL RATE LIBRARY'!$A$5:$A$400,0))=1,"",IF(INDEX('05 MATERIAL RATE LIBRARY'!$M$5:$M$400,MATCH("MAT-ALSF",'05 MATERIAL RATE LIBRARY'!$A$5:$A$400,0))=2,"OLD RATE","NO RATE"))</f>
        <v/>
      </c>
    </row>
    <row r="1421" customFormat="false" ht="15" hidden="false" customHeight="true" outlineLevel="0" collapsed="false">
      <c r="A1421" s="9" t="s">
        <v>393</v>
      </c>
      <c r="B1421" s="9" t="s">
        <v>798</v>
      </c>
      <c r="C1421" s="9" t="s">
        <v>1080</v>
      </c>
      <c r="D1421" s="5" t="s">
        <v>1081</v>
      </c>
      <c r="E1421" s="9" t="s">
        <v>368</v>
      </c>
      <c r="F1421" s="18" t="n">
        <v>0.25</v>
      </c>
      <c r="G1421" s="13" t="n">
        <f aca="false">N(INDEX('05 MATERIAL RATE LIBRARY'!$E$5:$E$400,MATCH("MAT-BRKT",'05 MATERIAL RATE LIBRARY'!$A$5:$A$400,0)))</f>
        <v>350</v>
      </c>
      <c r="H1421" s="21" t="n">
        <v>0</v>
      </c>
      <c r="I1421" s="18" t="n">
        <f aca="false">F1421*(1+H1421)</f>
        <v>0.25</v>
      </c>
      <c r="J1421" s="13" t="n">
        <f aca="false">I1421*G1421</f>
        <v>87.5</v>
      </c>
      <c r="K1421" s="20" t="str">
        <f aca="false">IF(INDEX('05 MATERIAL RATE LIBRARY'!$M$5:$M$400,MATCH("MAT-BRKT",'05 MATERIAL RATE LIBRARY'!$A$5:$A$400,0))=1,"",IF(INDEX('05 MATERIAL RATE LIBRARY'!$M$5:$M$400,MATCH("MAT-BRKT",'05 MATERIAL RATE LIBRARY'!$A$5:$A$400,0))=2,"OLD RATE","NO RATE"))</f>
        <v/>
      </c>
    </row>
    <row r="1422" customFormat="false" ht="15" hidden="false" customHeight="true" outlineLevel="0" collapsed="false">
      <c r="A1422" s="9" t="s">
        <v>393</v>
      </c>
      <c r="B1422" s="9" t="s">
        <v>798</v>
      </c>
      <c r="C1422" s="9" t="s">
        <v>1055</v>
      </c>
      <c r="D1422" s="5" t="s">
        <v>1082</v>
      </c>
      <c r="E1422" s="9" t="s">
        <v>368</v>
      </c>
      <c r="F1422" s="18" t="n">
        <f aca="false">1/40</f>
        <v>0.025</v>
      </c>
      <c r="G1422" s="13" t="n">
        <f aca="false">N(INDEX('05 MATERIAL RATE LIBRARY'!$E$5:$E$400,MATCH("MAT-SIL",'05 MATERIAL RATE LIBRARY'!$A$5:$A$400,0)))</f>
        <v>445</v>
      </c>
      <c r="H1422" s="21" t="n">
        <v>0</v>
      </c>
      <c r="I1422" s="18" t="n">
        <f aca="false">F1422*(1+H1422)</f>
        <v>0.025</v>
      </c>
      <c r="J1422" s="13" t="n">
        <f aca="false">I1422*G1422</f>
        <v>11.125</v>
      </c>
      <c r="K1422" s="20" t="str">
        <f aca="false">IF(INDEX('05 MATERIAL RATE LIBRARY'!$M$5:$M$400,MATCH("MAT-SIL",'05 MATERIAL RATE LIBRARY'!$A$5:$A$400,0))=1,"",IF(INDEX('05 MATERIAL RATE LIBRARY'!$M$5:$M$400,MATCH("MAT-SIL",'05 MATERIAL RATE LIBRARY'!$A$5:$A$400,0))=2,"OLD RATE","NO RATE"))</f>
        <v/>
      </c>
    </row>
    <row r="1423" customFormat="false" ht="15" hidden="false" customHeight="true" outlineLevel="0" collapsed="false">
      <c r="A1423" s="9" t="s">
        <v>393</v>
      </c>
      <c r="B1423" s="9" t="s">
        <v>812</v>
      </c>
      <c r="C1423" s="9" t="s">
        <v>1083</v>
      </c>
      <c r="D1423" s="5" t="s">
        <v>1084</v>
      </c>
      <c r="E1423" s="9" t="s">
        <v>815</v>
      </c>
      <c r="F1423" s="18" t="n">
        <f aca="false">1/40</f>
        <v>0.025</v>
      </c>
      <c r="G1423" s="13" t="n">
        <f aca="false">N(INDEX('06 LABOUR RATE LIBRARY'!$D$5:$D$100,MATCH("LAB-CLD",'06 LABOUR RATE LIBRARY'!$A$5:$A$100,0)))</f>
        <v>2200</v>
      </c>
      <c r="H1423" s="21" t="n">
        <v>0</v>
      </c>
      <c r="I1423" s="18" t="n">
        <f aca="false">F1423*(1+H1423)</f>
        <v>0.025</v>
      </c>
      <c r="J1423" s="13" t="n">
        <f aca="false">I1423*G1423</f>
        <v>55</v>
      </c>
      <c r="K1423" s="20" t="str">
        <f aca="false">IF(INDEX('06 LABOUR RATE LIBRARY'!$L$5:$L$100,MATCH("LAB-CLD",'06 LABOUR RATE LIBRARY'!$A$5:$A$100,0))=1,"",IF(INDEX('06 LABOUR RATE LIBRARY'!$L$5:$L$100,MATCH("LAB-CLD",'06 LABOUR RATE LIBRARY'!$A$5:$A$100,0))=2,"OLD RATE","NO RATE"))</f>
        <v/>
      </c>
    </row>
    <row r="1424" customFormat="false" ht="15" hidden="false" customHeight="true" outlineLevel="0" collapsed="false">
      <c r="A1424" s="9" t="s">
        <v>393</v>
      </c>
      <c r="B1424" s="9" t="s">
        <v>812</v>
      </c>
      <c r="C1424" s="9" t="s">
        <v>816</v>
      </c>
      <c r="D1424" s="5" t="s">
        <v>1085</v>
      </c>
      <c r="E1424" s="9" t="s">
        <v>815</v>
      </c>
      <c r="F1424" s="18" t="n">
        <f aca="false">1/40</f>
        <v>0.025</v>
      </c>
      <c r="G1424" s="13" t="n">
        <f aca="false">N(INDEX('06 LABOUR RATE LIBRARY'!$D$5:$D$100,MATCH("LAB-HLP",'06 LABOUR RATE LIBRARY'!$A$5:$A$100,0)))</f>
        <v>1538</v>
      </c>
      <c r="H1424" s="21" t="n">
        <v>0</v>
      </c>
      <c r="I1424" s="18" t="n">
        <f aca="false">F1424*(1+H1424)</f>
        <v>0.025</v>
      </c>
      <c r="J1424" s="13" t="n">
        <f aca="false">I1424*G1424</f>
        <v>38.45</v>
      </c>
      <c r="K142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425" customFormat="false" ht="15" hidden="false" customHeight="true" outlineLevel="0" collapsed="false">
      <c r="A1425" s="9" t="s">
        <v>393</v>
      </c>
      <c r="B1425" s="9" t="s">
        <v>818</v>
      </c>
      <c r="C1425" s="9" t="s">
        <v>1074</v>
      </c>
      <c r="D1425" s="5" t="s">
        <v>1075</v>
      </c>
      <c r="E1425" s="9" t="s">
        <v>212</v>
      </c>
      <c r="F1425" s="18" t="n">
        <v>1</v>
      </c>
      <c r="G1425" s="13" t="n">
        <f aca="false">N(INDEX('07 EQUIPMENT RATE LIBRARY'!$D$5:$D$100,MATCH("EQ-CRADLE",'07 EQUIPMENT RATE LIBRARY'!$A$5:$A$100,0)))</f>
        <v>3.75</v>
      </c>
      <c r="H1425" s="21" t="n">
        <v>0</v>
      </c>
      <c r="I1425" s="18" t="n">
        <f aca="false">F1425*(1+H1425)</f>
        <v>1</v>
      </c>
      <c r="J1425" s="13" t="n">
        <f aca="false">I1425*G1425</f>
        <v>3.75</v>
      </c>
      <c r="K1425" s="20" t="str">
        <f aca="false">IF(INDEX('07 EQUIPMENT RATE LIBRARY'!$H$5:$H$100,MATCH("EQ-CRADLE",'07 EQUIPMENT RATE LIBRARY'!$A$5:$A$100,0))=1,"",IF(INDEX('07 EQUIPMENT RATE LIBRARY'!$H$5:$H$100,MATCH("EQ-CRADLE",'07 EQUIPMENT RATE LIBRARY'!$A$5:$A$100,0))=2,"OLD RATE","NO RATE"))</f>
        <v/>
      </c>
    </row>
    <row r="1426" customFormat="false" ht="15" hidden="false" customHeight="true" outlineLevel="0" collapsed="false">
      <c r="D1426" s="22" t="s">
        <v>825</v>
      </c>
      <c r="J1426" s="23" t="n">
        <f aca="false">SUMPRODUCT((B1419:B1425="Material")*F1419:F1425*G1419:G1425)</f>
        <v>1713.625</v>
      </c>
    </row>
    <row r="1427" customFormat="false" ht="15" hidden="false" customHeight="true" outlineLevel="0" collapsed="false">
      <c r="D1427" s="22" t="s">
        <v>826</v>
      </c>
      <c r="J1427" s="23" t="n">
        <f aca="false">SUMIF(B1419:B1425,"Material",J1419:J1425)-J1426</f>
        <v>0</v>
      </c>
    </row>
    <row r="1428" customFormat="false" ht="15" hidden="false" customHeight="true" outlineLevel="0" collapsed="false">
      <c r="D1428" s="24" t="s">
        <v>827</v>
      </c>
      <c r="J1428" s="14" t="n">
        <f aca="false">SUMIF(B1419:B1425,"Material",J1419:J1425)</f>
        <v>1713.625</v>
      </c>
    </row>
    <row r="1429" customFormat="false" ht="15" hidden="false" customHeight="true" outlineLevel="0" collapsed="false">
      <c r="D1429" s="24" t="s">
        <v>828</v>
      </c>
      <c r="J1429" s="14" t="n">
        <f aca="false">SUMIF(B1419:B1425,"Labour",J1419:J1425)</f>
        <v>93.45</v>
      </c>
    </row>
    <row r="1430" customFormat="false" ht="15" hidden="false" customHeight="true" outlineLevel="0" collapsed="false">
      <c r="D1430" s="24" t="s">
        <v>829</v>
      </c>
      <c r="J1430" s="14" t="n">
        <f aca="false">SUMIF(B1419:B1425,"Equipment",J1419:J1425)</f>
        <v>3.75</v>
      </c>
    </row>
    <row r="1431" customFormat="false" ht="15" hidden="false" customHeight="true" outlineLevel="0" collapsed="false">
      <c r="D1431" s="24" t="s">
        <v>830</v>
      </c>
      <c r="J1431" s="14" t="n">
        <f aca="false">SUMIF(B1419:B1425,"Transport",J1419:J1425)</f>
        <v>0</v>
      </c>
    </row>
    <row r="1432" customFormat="false" ht="15" hidden="false" customHeight="true" outlineLevel="0" collapsed="false">
      <c r="D1432" s="24" t="s">
        <v>831</v>
      </c>
      <c r="J1432" s="14" t="n">
        <f aca="false">J1428+J1429+J1430+J1431</f>
        <v>1810.825</v>
      </c>
    </row>
    <row r="1433" customFormat="false" ht="15" hidden="false" customHeight="true" outlineLevel="0" collapsed="false">
      <c r="D1433" s="22" t="s">
        <v>832</v>
      </c>
      <c r="J1433" s="23" t="n">
        <f aca="false">J1432*OH_Site</f>
        <v>54.32475</v>
      </c>
    </row>
    <row r="1434" customFormat="false" ht="15" hidden="false" customHeight="true" outlineLevel="0" collapsed="false">
      <c r="D1434" s="22" t="s">
        <v>833</v>
      </c>
      <c r="J1434" s="23" t="n">
        <f aca="false">J1432*OH_HO</f>
        <v>90.54125</v>
      </c>
    </row>
    <row r="1435" customFormat="false" ht="15" hidden="false" customHeight="true" outlineLevel="0" collapsed="false">
      <c r="D1435" s="22" t="s">
        <v>834</v>
      </c>
      <c r="J1435" s="23" t="n">
        <f aca="false">J1432*Profit</f>
        <v>181.0825</v>
      </c>
    </row>
    <row r="1436" customFormat="false" ht="15" hidden="false" customHeight="true" outlineLevel="0" collapsed="false">
      <c r="D1436" s="24" t="s">
        <v>835</v>
      </c>
      <c r="J1436" s="14" t="n">
        <f aca="false">J1432+J1433+J1434+J1435</f>
        <v>2136.7735</v>
      </c>
    </row>
    <row r="1437" customFormat="false" ht="15" hidden="false" customHeight="true" outlineLevel="0" collapsed="false">
      <c r="D1437" s="22" t="s">
        <v>836</v>
      </c>
      <c r="J1437" s="23" t="n">
        <f aca="false">IF(Tax_On="Yes",J1436*N(Tax_Rate),0)</f>
        <v>0</v>
      </c>
    </row>
    <row r="1438" customFormat="false" ht="15" hidden="false" customHeight="true" outlineLevel="0" collapsed="false">
      <c r="D1438" s="24" t="s">
        <v>895</v>
      </c>
      <c r="J1438" s="14" t="n">
        <f aca="false">ROUND(J1436+J1437,0)</f>
        <v>2137</v>
      </c>
    </row>
    <row r="1439" customFormat="false" ht="15" hidden="false" customHeight="true" outlineLevel="0" collapsed="false">
      <c r="D1439" s="25" t="s">
        <v>838</v>
      </c>
      <c r="J1439" s="26" t="n">
        <f aca="false">COUNTIF(K1419:K1425,"NO RATE")+COUNTIF(K1419:K1425,"OLD RATE")</f>
        <v>0</v>
      </c>
    </row>
    <row r="1441" customFormat="false" ht="39.75" hidden="false" customHeight="true" outlineLevel="0" collapsed="false">
      <c r="A1441" s="4" t="s">
        <v>398</v>
      </c>
      <c r="B1441" s="16" t="s">
        <v>400</v>
      </c>
      <c r="C1441" s="16"/>
      <c r="D1441" s="16"/>
      <c r="E1441" s="16"/>
      <c r="F1441" s="16"/>
      <c r="G1441" s="16"/>
      <c r="H1441" s="16"/>
      <c r="I1441" s="16"/>
      <c r="J1441" s="4" t="s">
        <v>890</v>
      </c>
      <c r="K1441" s="17"/>
    </row>
    <row r="1442" customFormat="false" ht="21.75" hidden="false" customHeight="true" outlineLevel="0" collapsed="false">
      <c r="A1442" s="12" t="s">
        <v>75</v>
      </c>
      <c r="B1442" s="12" t="s">
        <v>789</v>
      </c>
      <c r="C1442" s="12" t="s">
        <v>790</v>
      </c>
      <c r="D1442" s="12" t="s">
        <v>791</v>
      </c>
      <c r="E1442" s="12" t="s">
        <v>81</v>
      </c>
      <c r="F1442" s="12" t="s">
        <v>792</v>
      </c>
      <c r="G1442" s="12" t="s">
        <v>793</v>
      </c>
      <c r="H1442" s="12" t="s">
        <v>794</v>
      </c>
      <c r="I1442" s="12" t="s">
        <v>795</v>
      </c>
      <c r="J1442" s="12" t="s">
        <v>796</v>
      </c>
      <c r="K1442" s="12" t="s">
        <v>797</v>
      </c>
    </row>
    <row r="1443" customFormat="false" ht="15" hidden="false" customHeight="true" outlineLevel="0" collapsed="false">
      <c r="A1443" s="9" t="s">
        <v>398</v>
      </c>
      <c r="B1443" s="9" t="s">
        <v>798</v>
      </c>
      <c r="C1443" s="9" t="s">
        <v>1086</v>
      </c>
      <c r="D1443" s="5" t="s">
        <v>1087</v>
      </c>
      <c r="E1443" s="9" t="s">
        <v>212</v>
      </c>
      <c r="F1443" s="18" t="n">
        <v>1.07</v>
      </c>
      <c r="G1443" s="13" t="n">
        <f aca="false">N(INDEX('05 MATERIAL RATE LIBRARY'!$E$5:$E$400,MATCH("MAT-GRN",'05 MATERIAL RATE LIBRARY'!$A$5:$A$400,0)))</f>
        <v>1055.2</v>
      </c>
      <c r="H1443" s="21" t="n">
        <v>0</v>
      </c>
      <c r="I1443" s="18" t="n">
        <f aca="false">F1443*(1+H1443)</f>
        <v>1.07</v>
      </c>
      <c r="J1443" s="13" t="n">
        <f aca="false">I1443*G1443</f>
        <v>1129.064</v>
      </c>
      <c r="K1443" s="20" t="str">
        <f aca="false">IF(INDEX('05 MATERIAL RATE LIBRARY'!$M$5:$M$400,MATCH("MAT-GRN",'05 MATERIAL RATE LIBRARY'!$A$5:$A$400,0))=1,"",IF(INDEX('05 MATERIAL RATE LIBRARY'!$M$5:$M$400,MATCH("MAT-GRN",'05 MATERIAL RATE LIBRARY'!$A$5:$A$400,0))=2,"OLD RATE","NO RATE"))</f>
        <v/>
      </c>
    </row>
    <row r="1444" customFormat="false" ht="15" hidden="false" customHeight="true" outlineLevel="0" collapsed="false">
      <c r="A1444" s="9" t="s">
        <v>398</v>
      </c>
      <c r="B1444" s="9" t="s">
        <v>798</v>
      </c>
      <c r="C1444" s="9" t="s">
        <v>1088</v>
      </c>
      <c r="D1444" s="5" t="s">
        <v>1089</v>
      </c>
      <c r="E1444" s="9" t="s">
        <v>368</v>
      </c>
      <c r="F1444" s="18" t="n">
        <v>1</v>
      </c>
      <c r="G1444" s="13" t="n">
        <f aca="false">N(INDEX('05 MATERIAL RATE LIBRARY'!$E$5:$E$400,MATCH("MAT-SSANC",'05 MATERIAL RATE LIBRARY'!$A$5:$A$400,0)))</f>
        <v>450</v>
      </c>
      <c r="H1444" s="21" t="n">
        <v>0</v>
      </c>
      <c r="I1444" s="18" t="n">
        <f aca="false">F1444*(1+H1444)</f>
        <v>1</v>
      </c>
      <c r="J1444" s="13" t="n">
        <f aca="false">I1444*G1444</f>
        <v>450</v>
      </c>
      <c r="K1444" s="20" t="str">
        <f aca="false">IF(INDEX('05 MATERIAL RATE LIBRARY'!$M$5:$M$400,MATCH("MAT-SSANC",'05 MATERIAL RATE LIBRARY'!$A$5:$A$400,0))=1,"",IF(INDEX('05 MATERIAL RATE LIBRARY'!$M$5:$M$400,MATCH("MAT-SSANC",'05 MATERIAL RATE LIBRARY'!$A$5:$A$400,0))=2,"OLD RATE","NO RATE"))</f>
        <v/>
      </c>
    </row>
    <row r="1445" customFormat="false" ht="15" hidden="false" customHeight="true" outlineLevel="0" collapsed="false">
      <c r="A1445" s="9" t="s">
        <v>398</v>
      </c>
      <c r="B1445" s="9" t="s">
        <v>798</v>
      </c>
      <c r="C1445" s="9" t="s">
        <v>1055</v>
      </c>
      <c r="D1445" s="5" t="s">
        <v>1090</v>
      </c>
      <c r="E1445" s="9" t="s">
        <v>368</v>
      </c>
      <c r="F1445" s="18" t="n">
        <f aca="false">1/60</f>
        <v>0.0166666666666667</v>
      </c>
      <c r="G1445" s="13" t="n">
        <f aca="false">N(INDEX('05 MATERIAL RATE LIBRARY'!$E$5:$E$400,MATCH("MAT-SIL",'05 MATERIAL RATE LIBRARY'!$A$5:$A$400,0)))</f>
        <v>445</v>
      </c>
      <c r="H1445" s="21" t="n">
        <v>0</v>
      </c>
      <c r="I1445" s="18" t="n">
        <f aca="false">F1445*(1+H1445)</f>
        <v>0.0166666666666667</v>
      </c>
      <c r="J1445" s="13" t="n">
        <f aca="false">I1445*G1445</f>
        <v>7.41666666666667</v>
      </c>
      <c r="K1445" s="20" t="str">
        <f aca="false">IF(INDEX('05 MATERIAL RATE LIBRARY'!$M$5:$M$400,MATCH("MAT-SIL",'05 MATERIAL RATE LIBRARY'!$A$5:$A$400,0))=1,"",IF(INDEX('05 MATERIAL RATE LIBRARY'!$M$5:$M$400,MATCH("MAT-SIL",'05 MATERIAL RATE LIBRARY'!$A$5:$A$400,0))=2,"OLD RATE","NO RATE"))</f>
        <v/>
      </c>
    </row>
    <row r="1446" customFormat="false" ht="15" hidden="false" customHeight="true" outlineLevel="0" collapsed="false">
      <c r="A1446" s="9" t="s">
        <v>398</v>
      </c>
      <c r="B1446" s="9" t="s">
        <v>812</v>
      </c>
      <c r="C1446" s="9" t="s">
        <v>1083</v>
      </c>
      <c r="D1446" s="5" t="s">
        <v>1091</v>
      </c>
      <c r="E1446" s="9" t="s">
        <v>815</v>
      </c>
      <c r="F1446" s="18" t="n">
        <f aca="false">1/30</f>
        <v>0.0333333333333333</v>
      </c>
      <c r="G1446" s="13" t="n">
        <f aca="false">N(INDEX('06 LABOUR RATE LIBRARY'!$D$5:$D$100,MATCH("LAB-CLD",'06 LABOUR RATE LIBRARY'!$A$5:$A$100,0)))</f>
        <v>2200</v>
      </c>
      <c r="H1446" s="21" t="n">
        <v>0</v>
      </c>
      <c r="I1446" s="18" t="n">
        <f aca="false">F1446*(1+H1446)</f>
        <v>0.0333333333333333</v>
      </c>
      <c r="J1446" s="13" t="n">
        <f aca="false">I1446*G1446</f>
        <v>73.3333333333333</v>
      </c>
      <c r="K1446" s="20" t="str">
        <f aca="false">IF(INDEX('06 LABOUR RATE LIBRARY'!$L$5:$L$100,MATCH("LAB-CLD",'06 LABOUR RATE LIBRARY'!$A$5:$A$100,0))=1,"",IF(INDEX('06 LABOUR RATE LIBRARY'!$L$5:$L$100,MATCH("LAB-CLD",'06 LABOUR RATE LIBRARY'!$A$5:$A$100,0))=2,"OLD RATE","NO RATE"))</f>
        <v/>
      </c>
    </row>
    <row r="1447" customFormat="false" ht="15" hidden="false" customHeight="true" outlineLevel="0" collapsed="false">
      <c r="A1447" s="9" t="s">
        <v>398</v>
      </c>
      <c r="B1447" s="9" t="s">
        <v>812</v>
      </c>
      <c r="C1447" s="9" t="s">
        <v>816</v>
      </c>
      <c r="D1447" s="5" t="s">
        <v>1092</v>
      </c>
      <c r="E1447" s="9" t="s">
        <v>815</v>
      </c>
      <c r="F1447" s="18" t="n">
        <f aca="false">1/30</f>
        <v>0.0333333333333333</v>
      </c>
      <c r="G1447" s="13" t="n">
        <f aca="false">N(INDEX('06 LABOUR RATE LIBRARY'!$D$5:$D$100,MATCH("LAB-HLP",'06 LABOUR RATE LIBRARY'!$A$5:$A$100,0)))</f>
        <v>1538</v>
      </c>
      <c r="H1447" s="21" t="n">
        <v>0</v>
      </c>
      <c r="I1447" s="18" t="n">
        <f aca="false">F1447*(1+H1447)</f>
        <v>0.0333333333333333</v>
      </c>
      <c r="J1447" s="13" t="n">
        <f aca="false">I1447*G1447</f>
        <v>51.2666666666667</v>
      </c>
      <c r="K144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448" customFormat="false" ht="15" hidden="false" customHeight="true" outlineLevel="0" collapsed="false">
      <c r="A1448" s="9" t="s">
        <v>398</v>
      </c>
      <c r="B1448" s="9" t="s">
        <v>818</v>
      </c>
      <c r="C1448" s="9" t="s">
        <v>1074</v>
      </c>
      <c r="D1448" s="5" t="s">
        <v>1075</v>
      </c>
      <c r="E1448" s="9" t="s">
        <v>212</v>
      </c>
      <c r="F1448" s="18" t="n">
        <v>1</v>
      </c>
      <c r="G1448" s="13" t="n">
        <f aca="false">N(INDEX('07 EQUIPMENT RATE LIBRARY'!$D$5:$D$100,MATCH("EQ-CRADLE",'07 EQUIPMENT RATE LIBRARY'!$A$5:$A$100,0)))</f>
        <v>3.75</v>
      </c>
      <c r="H1448" s="21" t="n">
        <v>0</v>
      </c>
      <c r="I1448" s="18" t="n">
        <f aca="false">F1448*(1+H1448)</f>
        <v>1</v>
      </c>
      <c r="J1448" s="13" t="n">
        <f aca="false">I1448*G1448</f>
        <v>3.75</v>
      </c>
      <c r="K1448" s="20" t="str">
        <f aca="false">IF(INDEX('07 EQUIPMENT RATE LIBRARY'!$H$5:$H$100,MATCH("EQ-CRADLE",'07 EQUIPMENT RATE LIBRARY'!$A$5:$A$100,0))=1,"",IF(INDEX('07 EQUIPMENT RATE LIBRARY'!$H$5:$H$100,MATCH("EQ-CRADLE",'07 EQUIPMENT RATE LIBRARY'!$A$5:$A$100,0))=2,"OLD RATE","NO RATE"))</f>
        <v/>
      </c>
    </row>
    <row r="1449" customFormat="false" ht="15" hidden="false" customHeight="true" outlineLevel="0" collapsed="false">
      <c r="D1449" s="22" t="s">
        <v>825</v>
      </c>
      <c r="J1449" s="23" t="n">
        <f aca="false">SUMPRODUCT((B1443:B1448="Material")*F1443:F1448*G1443:G1448)</f>
        <v>1586.48066666667</v>
      </c>
    </row>
    <row r="1450" customFormat="false" ht="15" hidden="false" customHeight="true" outlineLevel="0" collapsed="false">
      <c r="D1450" s="22" t="s">
        <v>826</v>
      </c>
      <c r="J1450" s="23" t="n">
        <f aca="false">SUMIF(B1443:B1448,"Material",J1443:J1448)-J1449</f>
        <v>0</v>
      </c>
    </row>
    <row r="1451" customFormat="false" ht="15" hidden="false" customHeight="true" outlineLevel="0" collapsed="false">
      <c r="D1451" s="24" t="s">
        <v>827</v>
      </c>
      <c r="J1451" s="14" t="n">
        <f aca="false">SUMIF(B1443:B1448,"Material",J1443:J1448)</f>
        <v>1586.48066666667</v>
      </c>
    </row>
    <row r="1452" customFormat="false" ht="15" hidden="false" customHeight="true" outlineLevel="0" collapsed="false">
      <c r="D1452" s="24" t="s">
        <v>828</v>
      </c>
      <c r="J1452" s="14" t="n">
        <f aca="false">SUMIF(B1443:B1448,"Labour",J1443:J1448)</f>
        <v>124.6</v>
      </c>
    </row>
    <row r="1453" customFormat="false" ht="15" hidden="false" customHeight="true" outlineLevel="0" collapsed="false">
      <c r="D1453" s="24" t="s">
        <v>829</v>
      </c>
      <c r="J1453" s="14" t="n">
        <f aca="false">SUMIF(B1443:B1448,"Equipment",J1443:J1448)</f>
        <v>3.75</v>
      </c>
    </row>
    <row r="1454" customFormat="false" ht="15" hidden="false" customHeight="true" outlineLevel="0" collapsed="false">
      <c r="D1454" s="24" t="s">
        <v>830</v>
      </c>
      <c r="J1454" s="14" t="n">
        <f aca="false">SUMIF(B1443:B1448,"Transport",J1443:J1448)</f>
        <v>0</v>
      </c>
    </row>
    <row r="1455" customFormat="false" ht="15" hidden="false" customHeight="true" outlineLevel="0" collapsed="false">
      <c r="D1455" s="24" t="s">
        <v>831</v>
      </c>
      <c r="J1455" s="14" t="n">
        <f aca="false">J1451+J1452+J1453+J1454</f>
        <v>1714.83066666667</v>
      </c>
    </row>
    <row r="1456" customFormat="false" ht="15" hidden="false" customHeight="true" outlineLevel="0" collapsed="false">
      <c r="D1456" s="22" t="s">
        <v>832</v>
      </c>
      <c r="J1456" s="23" t="n">
        <f aca="false">J1455*OH_Site</f>
        <v>51.44492</v>
      </c>
    </row>
    <row r="1457" customFormat="false" ht="15" hidden="false" customHeight="true" outlineLevel="0" collapsed="false">
      <c r="D1457" s="22" t="s">
        <v>833</v>
      </c>
      <c r="J1457" s="23" t="n">
        <f aca="false">J1455*OH_HO</f>
        <v>85.7415333333333</v>
      </c>
    </row>
    <row r="1458" customFormat="false" ht="15" hidden="false" customHeight="true" outlineLevel="0" collapsed="false">
      <c r="D1458" s="22" t="s">
        <v>834</v>
      </c>
      <c r="J1458" s="23" t="n">
        <f aca="false">J1455*Profit</f>
        <v>171.483066666667</v>
      </c>
    </row>
    <row r="1459" customFormat="false" ht="15" hidden="false" customHeight="true" outlineLevel="0" collapsed="false">
      <c r="D1459" s="24" t="s">
        <v>835</v>
      </c>
      <c r="J1459" s="14" t="n">
        <f aca="false">J1455+J1456+J1457+J1458</f>
        <v>2023.50018666667</v>
      </c>
    </row>
    <row r="1460" customFormat="false" ht="15" hidden="false" customHeight="true" outlineLevel="0" collapsed="false">
      <c r="D1460" s="22" t="s">
        <v>836</v>
      </c>
      <c r="J1460" s="23" t="n">
        <f aca="false">IF(Tax_On="Yes",J1459*N(Tax_Rate),0)</f>
        <v>0</v>
      </c>
    </row>
    <row r="1461" customFormat="false" ht="15" hidden="false" customHeight="true" outlineLevel="0" collapsed="false">
      <c r="D1461" s="24" t="s">
        <v>895</v>
      </c>
      <c r="J1461" s="14" t="n">
        <f aca="false">ROUND(J1459+J1460,0)</f>
        <v>2024</v>
      </c>
    </row>
    <row r="1462" customFormat="false" ht="15" hidden="false" customHeight="true" outlineLevel="0" collapsed="false">
      <c r="D1462" s="25" t="s">
        <v>838</v>
      </c>
      <c r="J1462" s="26" t="n">
        <f aca="false">COUNTIF(K1443:K1448,"NO RATE")+COUNTIF(K1443:K1448,"OLD RATE")</f>
        <v>0</v>
      </c>
    </row>
    <row r="1464" customFormat="false" ht="39.75" hidden="false" customHeight="true" outlineLevel="0" collapsed="false">
      <c r="A1464" s="4" t="s">
        <v>402</v>
      </c>
      <c r="B1464" s="16" t="s">
        <v>406</v>
      </c>
      <c r="C1464" s="16"/>
      <c r="D1464" s="16"/>
      <c r="E1464" s="16"/>
      <c r="F1464" s="16"/>
      <c r="G1464" s="16"/>
      <c r="H1464" s="16"/>
      <c r="I1464" s="16"/>
      <c r="J1464" s="4" t="s">
        <v>890</v>
      </c>
      <c r="K1464" s="17"/>
    </row>
    <row r="1465" customFormat="false" ht="21.75" hidden="false" customHeight="true" outlineLevel="0" collapsed="false">
      <c r="A1465" s="12" t="s">
        <v>75</v>
      </c>
      <c r="B1465" s="12" t="s">
        <v>789</v>
      </c>
      <c r="C1465" s="12" t="s">
        <v>790</v>
      </c>
      <c r="D1465" s="12" t="s">
        <v>791</v>
      </c>
      <c r="E1465" s="12" t="s">
        <v>81</v>
      </c>
      <c r="F1465" s="12" t="s">
        <v>792</v>
      </c>
      <c r="G1465" s="12" t="s">
        <v>793</v>
      </c>
      <c r="H1465" s="12" t="s">
        <v>794</v>
      </c>
      <c r="I1465" s="12" t="s">
        <v>795</v>
      </c>
      <c r="J1465" s="12" t="s">
        <v>796</v>
      </c>
      <c r="K1465" s="12" t="s">
        <v>797</v>
      </c>
    </row>
    <row r="1466" customFormat="false" ht="15" hidden="false" customHeight="true" outlineLevel="0" collapsed="false">
      <c r="A1466" s="9" t="s">
        <v>402</v>
      </c>
      <c r="B1466" s="9" t="s">
        <v>798</v>
      </c>
      <c r="C1466" s="9" t="s">
        <v>1093</v>
      </c>
      <c r="D1466" s="5" t="s">
        <v>1094</v>
      </c>
      <c r="E1466" s="9" t="s">
        <v>212</v>
      </c>
      <c r="F1466" s="18" t="n">
        <v>1</v>
      </c>
      <c r="G1466" s="13" t="n">
        <f aca="false">N(INDEX('05 MATERIAL RATE LIBRARY'!$E$5:$E$400,MATCH("MAT-TUFF",'05 MATERIAL RATE LIBRARY'!$A$5:$A$400,0)))</f>
        <v>150</v>
      </c>
      <c r="H1466" s="19" t="n">
        <f aca="false">W_Tile</f>
        <v>0.07</v>
      </c>
      <c r="I1466" s="18" t="n">
        <f aca="false">F1466*(1+H1466)</f>
        <v>1.07</v>
      </c>
      <c r="J1466" s="13" t="n">
        <f aca="false">I1466*G1466</f>
        <v>160.5</v>
      </c>
      <c r="K1466" s="20" t="str">
        <f aca="false">IF(INDEX('05 MATERIAL RATE LIBRARY'!$M$5:$M$400,MATCH("MAT-TUFF",'05 MATERIAL RATE LIBRARY'!$A$5:$A$400,0))=1,"",IF(INDEX('05 MATERIAL RATE LIBRARY'!$M$5:$M$400,MATCH("MAT-TUFF",'05 MATERIAL RATE LIBRARY'!$A$5:$A$400,0))=2,"OLD RATE","NO RATE"))</f>
        <v/>
      </c>
    </row>
    <row r="1467" customFormat="false" ht="15" hidden="false" customHeight="true" outlineLevel="0" collapsed="false">
      <c r="A1467" s="9" t="s">
        <v>402</v>
      </c>
      <c r="B1467" s="9" t="s">
        <v>798</v>
      </c>
      <c r="C1467" s="9" t="s">
        <v>1024</v>
      </c>
      <c r="D1467" s="5" t="s">
        <v>1095</v>
      </c>
      <c r="E1467" s="9" t="s">
        <v>109</v>
      </c>
      <c r="F1467" s="18" t="n">
        <f aca="false">0.1667*1.2</f>
        <v>0.20004</v>
      </c>
      <c r="G1467" s="13" t="n">
        <f aca="false">N(INDEX('05 MATERIAL RATE LIBRARY'!$E$5:$E$400,MATCH("MAT-SND-RAV",'05 MATERIAL RATE LIBRARY'!$A$5:$A$400,0)))</f>
        <v>52</v>
      </c>
      <c r="H1467" s="21" t="n">
        <v>0</v>
      </c>
      <c r="I1467" s="18" t="n">
        <f aca="false">F1467*(1+H1467)</f>
        <v>0.20004</v>
      </c>
      <c r="J1467" s="13" t="n">
        <f aca="false">I1467*G1467</f>
        <v>10.40208</v>
      </c>
      <c r="K1467" s="20" t="str">
        <f aca="false">IF(INDEX('05 MATERIAL RATE LIBRARY'!$M$5:$M$400,MATCH("MAT-SND-RAV",'05 MATERIAL RATE LIBRARY'!$A$5:$A$400,0))=1,"",IF(INDEX('05 MATERIAL RATE LIBRARY'!$M$5:$M$400,MATCH("MAT-SND-RAV",'05 MATERIAL RATE LIBRARY'!$A$5:$A$400,0))=2,"OLD RATE","NO RATE"))</f>
        <v/>
      </c>
    </row>
    <row r="1468" customFormat="false" ht="15" hidden="false" customHeight="true" outlineLevel="0" collapsed="false">
      <c r="A1468" s="9" t="s">
        <v>402</v>
      </c>
      <c r="B1468" s="9" t="s">
        <v>812</v>
      </c>
      <c r="C1468" s="9" t="s">
        <v>813</v>
      </c>
      <c r="D1468" s="5" t="s">
        <v>1096</v>
      </c>
      <c r="E1468" s="9" t="s">
        <v>815</v>
      </c>
      <c r="F1468" s="18" t="n">
        <f aca="false">1/300</f>
        <v>0.00333333333333333</v>
      </c>
      <c r="G1468" s="13" t="n">
        <f aca="false">N(INDEX('06 LABOUR RATE LIBRARY'!$D$5:$D$100,MATCH("LAB-MSN",'06 LABOUR RATE LIBRARY'!$A$5:$A$100,0)))</f>
        <v>2200</v>
      </c>
      <c r="H1468" s="21" t="n">
        <v>0</v>
      </c>
      <c r="I1468" s="18" t="n">
        <f aca="false">F1468*(1+H1468)</f>
        <v>0.00333333333333333</v>
      </c>
      <c r="J1468" s="13" t="n">
        <f aca="false">I1468*G1468</f>
        <v>7.33333333333333</v>
      </c>
      <c r="K1468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469" customFormat="false" ht="15" hidden="false" customHeight="true" outlineLevel="0" collapsed="false">
      <c r="A1469" s="9" t="s">
        <v>402</v>
      </c>
      <c r="B1469" s="9" t="s">
        <v>812</v>
      </c>
      <c r="C1469" s="9" t="s">
        <v>816</v>
      </c>
      <c r="D1469" s="5" t="s">
        <v>1097</v>
      </c>
      <c r="E1469" s="9" t="s">
        <v>815</v>
      </c>
      <c r="F1469" s="18" t="n">
        <f aca="false">2/300</f>
        <v>0.00666666666666667</v>
      </c>
      <c r="G1469" s="13" t="n">
        <f aca="false">N(INDEX('06 LABOUR RATE LIBRARY'!$D$5:$D$100,MATCH("LAB-HLP",'06 LABOUR RATE LIBRARY'!$A$5:$A$100,0)))</f>
        <v>1538</v>
      </c>
      <c r="H1469" s="21" t="n">
        <v>0</v>
      </c>
      <c r="I1469" s="18" t="n">
        <f aca="false">F1469*(1+H1469)</f>
        <v>0.00666666666666667</v>
      </c>
      <c r="J1469" s="13" t="n">
        <f aca="false">I1469*G1469</f>
        <v>10.2533333333333</v>
      </c>
      <c r="K146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470" customFormat="false" ht="15" hidden="false" customHeight="true" outlineLevel="0" collapsed="false">
      <c r="A1470" s="9" t="s">
        <v>402</v>
      </c>
      <c r="B1470" s="9" t="s">
        <v>818</v>
      </c>
      <c r="C1470" s="9" t="s">
        <v>1022</v>
      </c>
      <c r="D1470" s="5" t="s">
        <v>1098</v>
      </c>
      <c r="E1470" s="9" t="s">
        <v>109</v>
      </c>
      <c r="F1470" s="18" t="n">
        <f aca="false">0.1667</f>
        <v>0.1667</v>
      </c>
      <c r="G1470" s="13" t="n">
        <f aca="false">N(INDEX('07 EQUIPMENT RATE LIBRARY'!$D$5:$D$100,MATCH("EQ-COMP",'07 EQUIPMENT RATE LIBRARY'!$A$5:$A$100,0)))</f>
        <v>2.011</v>
      </c>
      <c r="H1470" s="21" t="n">
        <v>0</v>
      </c>
      <c r="I1470" s="18" t="n">
        <f aca="false">F1470*(1+H1470)</f>
        <v>0.1667</v>
      </c>
      <c r="J1470" s="13" t="n">
        <f aca="false">I1470*G1470</f>
        <v>0.3352337</v>
      </c>
      <c r="K1470" s="20" t="str">
        <f aca="false">IF(INDEX('07 EQUIPMENT RATE LIBRARY'!$H$5:$H$100,MATCH("EQ-COMP",'07 EQUIPMENT RATE LIBRARY'!$A$5:$A$100,0))=1,"",IF(INDEX('07 EQUIPMENT RATE LIBRARY'!$H$5:$H$100,MATCH("EQ-COMP",'07 EQUIPMENT RATE LIBRARY'!$A$5:$A$100,0))=2,"OLD RATE","NO RATE"))</f>
        <v/>
      </c>
    </row>
    <row r="1471" customFormat="false" ht="15" hidden="false" customHeight="true" outlineLevel="0" collapsed="false">
      <c r="D1471" s="22" t="s">
        <v>825</v>
      </c>
      <c r="J1471" s="23" t="n">
        <f aca="false">SUMPRODUCT((B1466:B1470="Material")*F1466:F1470*G1466:G1470)</f>
        <v>160.40208</v>
      </c>
    </row>
    <row r="1472" customFormat="false" ht="15" hidden="false" customHeight="true" outlineLevel="0" collapsed="false">
      <c r="D1472" s="22" t="s">
        <v>826</v>
      </c>
      <c r="J1472" s="23" t="n">
        <f aca="false">SUMIF(B1466:B1470,"Material",J1466:J1470)-J1471</f>
        <v>10.5</v>
      </c>
    </row>
    <row r="1473" customFormat="false" ht="15" hidden="false" customHeight="true" outlineLevel="0" collapsed="false">
      <c r="D1473" s="24" t="s">
        <v>827</v>
      </c>
      <c r="J1473" s="14" t="n">
        <f aca="false">SUMIF(B1466:B1470,"Material",J1466:J1470)</f>
        <v>170.90208</v>
      </c>
    </row>
    <row r="1474" customFormat="false" ht="15" hidden="false" customHeight="true" outlineLevel="0" collapsed="false">
      <c r="D1474" s="24" t="s">
        <v>828</v>
      </c>
      <c r="J1474" s="14" t="n">
        <f aca="false">SUMIF(B1466:B1470,"Labour",J1466:J1470)</f>
        <v>17.5866666666667</v>
      </c>
    </row>
    <row r="1475" customFormat="false" ht="15" hidden="false" customHeight="true" outlineLevel="0" collapsed="false">
      <c r="D1475" s="24" t="s">
        <v>829</v>
      </c>
      <c r="J1475" s="14" t="n">
        <f aca="false">SUMIF(B1466:B1470,"Equipment",J1466:J1470)</f>
        <v>0.3352337</v>
      </c>
    </row>
    <row r="1476" customFormat="false" ht="15" hidden="false" customHeight="true" outlineLevel="0" collapsed="false">
      <c r="D1476" s="24" t="s">
        <v>830</v>
      </c>
      <c r="J1476" s="14" t="n">
        <f aca="false">SUMIF(B1466:B1470,"Transport",J1466:J1470)</f>
        <v>0</v>
      </c>
    </row>
    <row r="1477" customFormat="false" ht="15" hidden="false" customHeight="true" outlineLevel="0" collapsed="false">
      <c r="D1477" s="24" t="s">
        <v>831</v>
      </c>
      <c r="J1477" s="14" t="n">
        <f aca="false">J1473+J1474+J1475+J1476</f>
        <v>188.823980366667</v>
      </c>
    </row>
    <row r="1478" customFormat="false" ht="15" hidden="false" customHeight="true" outlineLevel="0" collapsed="false">
      <c r="D1478" s="22" t="s">
        <v>832</v>
      </c>
      <c r="J1478" s="23" t="n">
        <f aca="false">J1477*OH_Site</f>
        <v>5.664719411</v>
      </c>
    </row>
    <row r="1479" customFormat="false" ht="15" hidden="false" customHeight="true" outlineLevel="0" collapsed="false">
      <c r="D1479" s="22" t="s">
        <v>833</v>
      </c>
      <c r="J1479" s="23" t="n">
        <f aca="false">J1477*OH_HO</f>
        <v>9.44119901833333</v>
      </c>
    </row>
    <row r="1480" customFormat="false" ht="15" hidden="false" customHeight="true" outlineLevel="0" collapsed="false">
      <c r="D1480" s="22" t="s">
        <v>834</v>
      </c>
      <c r="J1480" s="23" t="n">
        <f aca="false">J1477*Profit</f>
        <v>18.8823980366667</v>
      </c>
    </row>
    <row r="1481" customFormat="false" ht="15" hidden="false" customHeight="true" outlineLevel="0" collapsed="false">
      <c r="D1481" s="24" t="s">
        <v>835</v>
      </c>
      <c r="J1481" s="14" t="n">
        <f aca="false">J1477+J1478+J1479+J1480</f>
        <v>222.812296832667</v>
      </c>
    </row>
    <row r="1482" customFormat="false" ht="15" hidden="false" customHeight="true" outlineLevel="0" collapsed="false">
      <c r="D1482" s="22" t="s">
        <v>836</v>
      </c>
      <c r="J1482" s="23" t="n">
        <f aca="false">IF(Tax_On="Yes",J1481*N(Tax_Rate),0)</f>
        <v>0</v>
      </c>
    </row>
    <row r="1483" customFormat="false" ht="15" hidden="false" customHeight="true" outlineLevel="0" collapsed="false">
      <c r="D1483" s="24" t="s">
        <v>895</v>
      </c>
      <c r="J1483" s="14" t="n">
        <f aca="false">ROUND(J1481+J1482,0)</f>
        <v>223</v>
      </c>
    </row>
    <row r="1484" customFormat="false" ht="15" hidden="false" customHeight="true" outlineLevel="0" collapsed="false">
      <c r="D1484" s="25" t="s">
        <v>838</v>
      </c>
      <c r="J1484" s="26" t="n">
        <f aca="false">COUNTIF(K1466:K1470,"NO RATE")+COUNTIF(K1466:K1470,"OLD RATE")</f>
        <v>0</v>
      </c>
    </row>
    <row r="1486" customFormat="false" ht="39.75" hidden="false" customHeight="true" outlineLevel="0" collapsed="false">
      <c r="A1486" s="4" t="s">
        <v>408</v>
      </c>
      <c r="B1486" s="16" t="s">
        <v>411</v>
      </c>
      <c r="C1486" s="16"/>
      <c r="D1486" s="16"/>
      <c r="E1486" s="16"/>
      <c r="F1486" s="16"/>
      <c r="G1486" s="16"/>
      <c r="H1486" s="16"/>
      <c r="I1486" s="16"/>
      <c r="J1486" s="4" t="s">
        <v>1061</v>
      </c>
      <c r="K1486" s="17"/>
    </row>
    <row r="1487" customFormat="false" ht="21.75" hidden="false" customHeight="true" outlineLevel="0" collapsed="false">
      <c r="A1487" s="12" t="s">
        <v>75</v>
      </c>
      <c r="B1487" s="12" t="s">
        <v>789</v>
      </c>
      <c r="C1487" s="12" t="s">
        <v>790</v>
      </c>
      <c r="D1487" s="12" t="s">
        <v>791</v>
      </c>
      <c r="E1487" s="12" t="s">
        <v>81</v>
      </c>
      <c r="F1487" s="12" t="s">
        <v>792</v>
      </c>
      <c r="G1487" s="12" t="s">
        <v>793</v>
      </c>
      <c r="H1487" s="12" t="s">
        <v>794</v>
      </c>
      <c r="I1487" s="12" t="s">
        <v>795</v>
      </c>
      <c r="J1487" s="12" t="s">
        <v>796</v>
      </c>
      <c r="K1487" s="12" t="s">
        <v>797</v>
      </c>
    </row>
    <row r="1488" customFormat="false" ht="15" hidden="false" customHeight="true" outlineLevel="0" collapsed="false">
      <c r="A1488" s="9" t="s">
        <v>408</v>
      </c>
      <c r="B1488" s="9" t="s">
        <v>798</v>
      </c>
      <c r="C1488" s="9" t="s">
        <v>1099</v>
      </c>
      <c r="D1488" s="5" t="s">
        <v>1100</v>
      </c>
      <c r="E1488" s="9" t="s">
        <v>386</v>
      </c>
      <c r="F1488" s="18" t="n">
        <v>1</v>
      </c>
      <c r="G1488" s="13" t="n">
        <f aca="false">N(INDEX('05 MATERIAL RATE LIBRARY'!$E$5:$E$400,MATCH("MAT-KERB",'05 MATERIAL RATE LIBRARY'!$A$5:$A$400,0)))</f>
        <v>468.5</v>
      </c>
      <c r="H1488" s="19" t="n">
        <f aca="false">W_Blk</f>
        <v>0.05</v>
      </c>
      <c r="I1488" s="18" t="n">
        <f aca="false">F1488*(1+H1488)</f>
        <v>1.05</v>
      </c>
      <c r="J1488" s="13" t="n">
        <f aca="false">I1488*G1488</f>
        <v>491.925</v>
      </c>
      <c r="K1488" s="20" t="str">
        <f aca="false">IF(INDEX('05 MATERIAL RATE LIBRARY'!$M$5:$M$400,MATCH("MAT-KERB",'05 MATERIAL RATE LIBRARY'!$A$5:$A$400,0))=1,"",IF(INDEX('05 MATERIAL RATE LIBRARY'!$M$5:$M$400,MATCH("MAT-KERB",'05 MATERIAL RATE LIBRARY'!$A$5:$A$400,0))=2,"OLD RATE","NO RATE"))</f>
        <v/>
      </c>
    </row>
    <row r="1489" customFormat="false" ht="15" hidden="false" customHeight="true" outlineLevel="0" collapsed="false">
      <c r="A1489" s="9" t="s">
        <v>408</v>
      </c>
      <c r="B1489" s="9" t="s">
        <v>798</v>
      </c>
      <c r="C1489" s="9" t="s">
        <v>799</v>
      </c>
      <c r="D1489" s="5" t="s">
        <v>1101</v>
      </c>
      <c r="E1489" s="9" t="s">
        <v>801</v>
      </c>
      <c r="F1489" s="18" t="n">
        <v>0</v>
      </c>
      <c r="G1489" s="13" t="n">
        <f aca="false">N(INDEX('05 MATERIAL RATE LIBRARY'!$E$5:$E$400,MATCH("MAT-CEM-OPC",'05 MATERIAL RATE LIBRARY'!$A$5:$A$400,0)))</f>
        <v>1575</v>
      </c>
      <c r="H1489" s="19" t="n">
        <f aca="false">W_Cem</f>
        <v>0.02</v>
      </c>
      <c r="I1489" s="18" t="n">
        <f aca="false">F1489*(1+H1489)</f>
        <v>0</v>
      </c>
      <c r="J1489" s="13" t="n">
        <f aca="false">I1489*G1489</f>
        <v>0</v>
      </c>
      <c r="K1489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490" customFormat="false" ht="15" hidden="false" customHeight="true" outlineLevel="0" collapsed="false">
      <c r="A1490" s="9" t="s">
        <v>408</v>
      </c>
      <c r="B1490" s="9" t="s">
        <v>798</v>
      </c>
      <c r="C1490" s="9" t="s">
        <v>864</v>
      </c>
      <c r="D1490" s="5" t="s">
        <v>1102</v>
      </c>
      <c r="E1490" s="9" t="s">
        <v>109</v>
      </c>
      <c r="F1490" s="18" t="n">
        <v>0</v>
      </c>
      <c r="G1490" s="13" t="n">
        <f aca="false">N(INDEX('05 MATERIAL RATE LIBRARY'!$E$5:$E$400,MATCH("MAT-SND-CHN",'05 MATERIAL RATE LIBRARY'!$A$5:$A$400,0)))</f>
        <v>80</v>
      </c>
      <c r="H1490" s="19" t="n">
        <f aca="false">W_Agg</f>
        <v>0.05</v>
      </c>
      <c r="I1490" s="18" t="n">
        <f aca="false">F1490*(1+H1490)</f>
        <v>0</v>
      </c>
      <c r="J1490" s="13" t="n">
        <f aca="false">I1490*G1490</f>
        <v>0</v>
      </c>
      <c r="K1490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1491" customFormat="false" ht="15" hidden="false" customHeight="true" outlineLevel="0" collapsed="false">
      <c r="A1491" s="9" t="s">
        <v>408</v>
      </c>
      <c r="B1491" s="9" t="s">
        <v>798</v>
      </c>
      <c r="C1491" s="9" t="s">
        <v>839</v>
      </c>
      <c r="D1491" s="5" t="s">
        <v>1103</v>
      </c>
      <c r="E1491" s="9" t="s">
        <v>109</v>
      </c>
      <c r="F1491" s="18" t="n">
        <v>0</v>
      </c>
      <c r="G1491" s="13" t="n">
        <f aca="false">N(INDEX('05 MATERIAL RATE LIBRARY'!$E$5:$E$400,MATCH("MAT-CRS-MGL",'05 MATERIAL RATE LIBRARY'!$A$5:$A$400,0)))</f>
        <v>180</v>
      </c>
      <c r="H1491" s="19" t="n">
        <f aca="false">W_Agg</f>
        <v>0.05</v>
      </c>
      <c r="I1491" s="18" t="n">
        <f aca="false">F1491*(1+H1491)</f>
        <v>0</v>
      </c>
      <c r="J1491" s="13" t="n">
        <f aca="false">I1491*G1491</f>
        <v>0</v>
      </c>
      <c r="K1491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492" customFormat="false" ht="15" hidden="false" customHeight="true" outlineLevel="0" collapsed="false">
      <c r="A1492" s="9" t="s">
        <v>408</v>
      </c>
      <c r="B1492" s="9" t="s">
        <v>812</v>
      </c>
      <c r="C1492" s="9" t="s">
        <v>813</v>
      </c>
      <c r="D1492" s="5" t="s">
        <v>1104</v>
      </c>
      <c r="E1492" s="9" t="s">
        <v>815</v>
      </c>
      <c r="F1492" s="18" t="n">
        <f aca="false">1/60</f>
        <v>0.0166666666666667</v>
      </c>
      <c r="G1492" s="13" t="n">
        <f aca="false">N(INDEX('06 LABOUR RATE LIBRARY'!$D$5:$D$100,MATCH("LAB-MSN",'06 LABOUR RATE LIBRARY'!$A$5:$A$100,0)))</f>
        <v>2200</v>
      </c>
      <c r="H1492" s="21" t="n">
        <v>0</v>
      </c>
      <c r="I1492" s="18" t="n">
        <f aca="false">F1492*(1+H1492)</f>
        <v>0.0166666666666667</v>
      </c>
      <c r="J1492" s="13" t="n">
        <f aca="false">I1492*G1492</f>
        <v>36.6666666666667</v>
      </c>
      <c r="K1492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493" customFormat="false" ht="15" hidden="false" customHeight="true" outlineLevel="0" collapsed="false">
      <c r="A1493" s="9" t="s">
        <v>408</v>
      </c>
      <c r="B1493" s="9" t="s">
        <v>812</v>
      </c>
      <c r="C1493" s="9" t="s">
        <v>816</v>
      </c>
      <c r="D1493" s="5" t="s">
        <v>1105</v>
      </c>
      <c r="E1493" s="9" t="s">
        <v>815</v>
      </c>
      <c r="F1493" s="18" t="n">
        <f aca="false">2/60</f>
        <v>0.0333333333333333</v>
      </c>
      <c r="G1493" s="13" t="n">
        <f aca="false">N(INDEX('06 LABOUR RATE LIBRARY'!$D$5:$D$100,MATCH("LAB-HLP",'06 LABOUR RATE LIBRARY'!$A$5:$A$100,0)))</f>
        <v>1538</v>
      </c>
      <c r="H1493" s="21" t="n">
        <v>0</v>
      </c>
      <c r="I1493" s="18" t="n">
        <f aca="false">F1493*(1+H1493)</f>
        <v>0.0333333333333333</v>
      </c>
      <c r="J1493" s="13" t="n">
        <f aca="false">I1493*G1493</f>
        <v>51.2666666666667</v>
      </c>
      <c r="K149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494" customFormat="false" ht="15" hidden="false" customHeight="true" outlineLevel="0" collapsed="false">
      <c r="D1494" s="22" t="s">
        <v>825</v>
      </c>
      <c r="J1494" s="23" t="n">
        <f aca="false">SUMPRODUCT((B1488:B1493="Material")*F1488:F1493*G1488:G1493)</f>
        <v>468.5</v>
      </c>
    </row>
    <row r="1495" customFormat="false" ht="15" hidden="false" customHeight="true" outlineLevel="0" collapsed="false">
      <c r="D1495" s="22" t="s">
        <v>826</v>
      </c>
      <c r="J1495" s="23" t="n">
        <f aca="false">SUMIF(B1488:B1493,"Material",J1488:J1493)-J1494</f>
        <v>23.425</v>
      </c>
    </row>
    <row r="1496" customFormat="false" ht="15" hidden="false" customHeight="true" outlineLevel="0" collapsed="false">
      <c r="D1496" s="24" t="s">
        <v>827</v>
      </c>
      <c r="J1496" s="14" t="n">
        <f aca="false">SUMIF(B1488:B1493,"Material",J1488:J1493)</f>
        <v>491.925</v>
      </c>
    </row>
    <row r="1497" customFormat="false" ht="15" hidden="false" customHeight="true" outlineLevel="0" collapsed="false">
      <c r="D1497" s="24" t="s">
        <v>828</v>
      </c>
      <c r="J1497" s="14" t="n">
        <f aca="false">SUMIF(B1488:B1493,"Labour",J1488:J1493)</f>
        <v>87.9333333333333</v>
      </c>
    </row>
    <row r="1498" customFormat="false" ht="15" hidden="false" customHeight="true" outlineLevel="0" collapsed="false">
      <c r="D1498" s="24" t="s">
        <v>829</v>
      </c>
      <c r="J1498" s="14" t="n">
        <f aca="false">SUMIF(B1488:B1493,"Equipment",J1488:J1493)</f>
        <v>0</v>
      </c>
    </row>
    <row r="1499" customFormat="false" ht="15" hidden="false" customHeight="true" outlineLevel="0" collapsed="false">
      <c r="D1499" s="24" t="s">
        <v>830</v>
      </c>
      <c r="J1499" s="14" t="n">
        <f aca="false">SUMIF(B1488:B1493,"Transport",J1488:J1493)</f>
        <v>0</v>
      </c>
    </row>
    <row r="1500" customFormat="false" ht="15" hidden="false" customHeight="true" outlineLevel="0" collapsed="false">
      <c r="D1500" s="24" t="s">
        <v>831</v>
      </c>
      <c r="J1500" s="14" t="n">
        <f aca="false">J1496+J1497+J1498+J1499</f>
        <v>579.858333333333</v>
      </c>
    </row>
    <row r="1501" customFormat="false" ht="15" hidden="false" customHeight="true" outlineLevel="0" collapsed="false">
      <c r="D1501" s="22" t="s">
        <v>832</v>
      </c>
      <c r="J1501" s="23" t="n">
        <f aca="false">J1500*OH_Site</f>
        <v>17.39575</v>
      </c>
    </row>
    <row r="1502" customFormat="false" ht="15" hidden="false" customHeight="true" outlineLevel="0" collapsed="false">
      <c r="D1502" s="22" t="s">
        <v>833</v>
      </c>
      <c r="J1502" s="23" t="n">
        <f aca="false">J1500*OH_HO</f>
        <v>28.9929166666667</v>
      </c>
    </row>
    <row r="1503" customFormat="false" ht="15" hidden="false" customHeight="true" outlineLevel="0" collapsed="false">
      <c r="D1503" s="22" t="s">
        <v>834</v>
      </c>
      <c r="J1503" s="23" t="n">
        <f aca="false">J1500*Profit</f>
        <v>57.9858333333333</v>
      </c>
    </row>
    <row r="1504" customFormat="false" ht="15" hidden="false" customHeight="true" outlineLevel="0" collapsed="false">
      <c r="D1504" s="24" t="s">
        <v>835</v>
      </c>
      <c r="J1504" s="14" t="n">
        <f aca="false">J1500+J1501+J1502+J1503</f>
        <v>684.232833333333</v>
      </c>
    </row>
    <row r="1505" customFormat="false" ht="15" hidden="false" customHeight="true" outlineLevel="0" collapsed="false">
      <c r="D1505" s="22" t="s">
        <v>836</v>
      </c>
      <c r="J1505" s="23" t="n">
        <f aca="false">IF(Tax_On="Yes",J1504*N(Tax_Rate),0)</f>
        <v>0</v>
      </c>
    </row>
    <row r="1506" customFormat="false" ht="15" hidden="false" customHeight="true" outlineLevel="0" collapsed="false">
      <c r="D1506" s="24" t="s">
        <v>1069</v>
      </c>
      <c r="J1506" s="14" t="n">
        <f aca="false">ROUND(J1504+J1505,0)</f>
        <v>684</v>
      </c>
    </row>
    <row r="1507" customFormat="false" ht="15" hidden="false" customHeight="true" outlineLevel="0" collapsed="false">
      <c r="D1507" s="25" t="s">
        <v>838</v>
      </c>
      <c r="J1507" s="26" t="n">
        <f aca="false">COUNTIF(K1488:K1493,"NO RATE")+COUNTIF(K1488:K1493,"OLD RATE")</f>
        <v>0</v>
      </c>
    </row>
    <row r="1509" customFormat="false" ht="39.75" hidden="false" customHeight="true" outlineLevel="0" collapsed="false">
      <c r="A1509" s="4" t="s">
        <v>413</v>
      </c>
      <c r="B1509" s="16" t="s">
        <v>416</v>
      </c>
      <c r="C1509" s="16"/>
      <c r="D1509" s="16"/>
      <c r="E1509" s="16"/>
      <c r="F1509" s="16"/>
      <c r="G1509" s="16"/>
      <c r="H1509" s="16"/>
      <c r="I1509" s="16"/>
      <c r="J1509" s="4" t="s">
        <v>788</v>
      </c>
      <c r="K1509" s="17"/>
    </row>
    <row r="1510" customFormat="false" ht="21.75" hidden="false" customHeight="true" outlineLevel="0" collapsed="false">
      <c r="A1510" s="12" t="s">
        <v>75</v>
      </c>
      <c r="B1510" s="12" t="s">
        <v>789</v>
      </c>
      <c r="C1510" s="12" t="s">
        <v>790</v>
      </c>
      <c r="D1510" s="12" t="s">
        <v>791</v>
      </c>
      <c r="E1510" s="12" t="s">
        <v>81</v>
      </c>
      <c r="F1510" s="12" t="s">
        <v>792</v>
      </c>
      <c r="G1510" s="12" t="s">
        <v>793</v>
      </c>
      <c r="H1510" s="12" t="s">
        <v>794</v>
      </c>
      <c r="I1510" s="12" t="s">
        <v>795</v>
      </c>
      <c r="J1510" s="12" t="s">
        <v>796</v>
      </c>
      <c r="K1510" s="12" t="s">
        <v>797</v>
      </c>
    </row>
    <row r="1511" customFormat="false" ht="15" hidden="false" customHeight="true" outlineLevel="0" collapsed="false">
      <c r="A1511" s="9" t="s">
        <v>413</v>
      </c>
      <c r="B1511" s="9" t="s">
        <v>798</v>
      </c>
      <c r="C1511" s="9" t="s">
        <v>1106</v>
      </c>
      <c r="D1511" s="5" t="s">
        <v>1107</v>
      </c>
      <c r="E1511" s="9" t="s">
        <v>109</v>
      </c>
      <c r="F1511" s="18" t="n">
        <v>1.25</v>
      </c>
      <c r="G1511" s="13" t="n">
        <f aca="false">N(INDEX('05 MATERIAL RATE LIBRARY'!$E$5:$E$400,MATCH("MAT-SUBB",'05 MATERIAL RATE LIBRARY'!$A$5:$A$400,0)))</f>
        <v>100</v>
      </c>
      <c r="H1511" s="21" t="n">
        <v>0</v>
      </c>
      <c r="I1511" s="18" t="n">
        <f aca="false">F1511*(1+H1511)</f>
        <v>1.25</v>
      </c>
      <c r="J1511" s="13" t="n">
        <f aca="false">I1511*G1511</f>
        <v>125</v>
      </c>
      <c r="K1511" s="20" t="str">
        <f aca="false">IF(INDEX('05 MATERIAL RATE LIBRARY'!$M$5:$M$400,MATCH("MAT-SUBB",'05 MATERIAL RATE LIBRARY'!$A$5:$A$400,0))=1,"",IF(INDEX('05 MATERIAL RATE LIBRARY'!$M$5:$M$400,MATCH("MAT-SUBB",'05 MATERIAL RATE LIBRARY'!$A$5:$A$400,0))=2,"OLD RATE","NO RATE"))</f>
        <v/>
      </c>
    </row>
    <row r="1512" customFormat="false" ht="15" hidden="false" customHeight="true" outlineLevel="0" collapsed="false">
      <c r="A1512" s="9" t="s">
        <v>413</v>
      </c>
      <c r="B1512" s="9" t="s">
        <v>798</v>
      </c>
      <c r="C1512" s="9" t="s">
        <v>809</v>
      </c>
      <c r="D1512" s="5" t="s">
        <v>1108</v>
      </c>
      <c r="E1512" s="9" t="s">
        <v>811</v>
      </c>
      <c r="F1512" s="18" t="n">
        <v>1.5</v>
      </c>
      <c r="G1512" s="13" t="n">
        <f aca="false">N(INDEX('05 MATERIAL RATE LIBRARY'!$E$5:$E$400,MATCH("MAT-WTR",'05 MATERIAL RATE LIBRARY'!$A$5:$A$400,0)))</f>
        <v>0.686</v>
      </c>
      <c r="H1512" s="21" t="n">
        <v>0</v>
      </c>
      <c r="I1512" s="18" t="n">
        <f aca="false">F1512*(1+H1512)</f>
        <v>1.5</v>
      </c>
      <c r="J1512" s="13" t="n">
        <f aca="false">I1512*G1512</f>
        <v>1.029</v>
      </c>
      <c r="K1512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1513" customFormat="false" ht="15" hidden="false" customHeight="true" outlineLevel="0" collapsed="false">
      <c r="A1513" s="9" t="s">
        <v>413</v>
      </c>
      <c r="B1513" s="9" t="s">
        <v>818</v>
      </c>
      <c r="C1513" s="9" t="s">
        <v>1109</v>
      </c>
      <c r="D1513" s="5" t="s">
        <v>1023</v>
      </c>
      <c r="E1513" s="9" t="s">
        <v>109</v>
      </c>
      <c r="F1513" s="18" t="n">
        <v>1</v>
      </c>
      <c r="G1513" s="13" t="n">
        <f aca="false">N(INDEX('07 EQUIPMENT RATE LIBRARY'!$D$5:$D$100,MATCH("EQ-ROL",'07 EQUIPMENT RATE LIBRARY'!$A$5:$A$100,0)))</f>
        <v>2.011</v>
      </c>
      <c r="H1513" s="21" t="n">
        <v>0</v>
      </c>
      <c r="I1513" s="18" t="n">
        <f aca="false">F1513*(1+H1513)</f>
        <v>1</v>
      </c>
      <c r="J1513" s="13" t="n">
        <f aca="false">I1513*G1513</f>
        <v>2.011</v>
      </c>
      <c r="K1513" s="20" t="str">
        <f aca="false">IF(INDEX('07 EQUIPMENT RATE LIBRARY'!$H$5:$H$100,MATCH("EQ-ROL",'07 EQUIPMENT RATE LIBRARY'!$A$5:$A$100,0))=1,"",IF(INDEX('07 EQUIPMENT RATE LIBRARY'!$H$5:$H$100,MATCH("EQ-ROL",'07 EQUIPMENT RATE LIBRARY'!$A$5:$A$100,0))=2,"OLD RATE","NO RATE"))</f>
        <v/>
      </c>
    </row>
    <row r="1514" customFormat="false" ht="15" hidden="false" customHeight="true" outlineLevel="0" collapsed="false">
      <c r="A1514" s="9" t="s">
        <v>413</v>
      </c>
      <c r="B1514" s="9" t="s">
        <v>812</v>
      </c>
      <c r="C1514" s="9" t="s">
        <v>816</v>
      </c>
      <c r="D1514" s="5" t="s">
        <v>1110</v>
      </c>
      <c r="E1514" s="9" t="s">
        <v>815</v>
      </c>
      <c r="F1514" s="18" t="n">
        <f aca="false">3/3000</f>
        <v>0.001</v>
      </c>
      <c r="G1514" s="13" t="n">
        <f aca="false">N(INDEX('06 LABOUR RATE LIBRARY'!$D$5:$D$100,MATCH("LAB-HLP",'06 LABOUR RATE LIBRARY'!$A$5:$A$100,0)))</f>
        <v>1538</v>
      </c>
      <c r="H1514" s="21" t="n">
        <v>0</v>
      </c>
      <c r="I1514" s="18" t="n">
        <f aca="false">F1514*(1+H1514)</f>
        <v>0.001</v>
      </c>
      <c r="J1514" s="13" t="n">
        <f aca="false">I1514*G1514</f>
        <v>1.538</v>
      </c>
      <c r="K151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515" customFormat="false" ht="15" hidden="false" customHeight="true" outlineLevel="0" collapsed="false">
      <c r="D1515" s="22" t="s">
        <v>825</v>
      </c>
      <c r="J1515" s="23" t="n">
        <f aca="false">SUMPRODUCT((B1511:B1514="Material")*F1511:F1514*G1511:G1514)</f>
        <v>126.029</v>
      </c>
    </row>
    <row r="1516" customFormat="false" ht="15" hidden="false" customHeight="true" outlineLevel="0" collapsed="false">
      <c r="D1516" s="22" t="s">
        <v>826</v>
      </c>
      <c r="J1516" s="23" t="n">
        <f aca="false">SUMIF(B1511:B1514,"Material",J1511:J1514)-J1515</f>
        <v>0</v>
      </c>
    </row>
    <row r="1517" customFormat="false" ht="15" hidden="false" customHeight="true" outlineLevel="0" collapsed="false">
      <c r="D1517" s="24" t="s">
        <v>827</v>
      </c>
      <c r="J1517" s="14" t="n">
        <f aca="false">SUMIF(B1511:B1514,"Material",J1511:J1514)</f>
        <v>126.029</v>
      </c>
    </row>
    <row r="1518" customFormat="false" ht="15" hidden="false" customHeight="true" outlineLevel="0" collapsed="false">
      <c r="D1518" s="24" t="s">
        <v>828</v>
      </c>
      <c r="J1518" s="14" t="n">
        <f aca="false">SUMIF(B1511:B1514,"Labour",J1511:J1514)</f>
        <v>1.538</v>
      </c>
    </row>
    <row r="1519" customFormat="false" ht="15" hidden="false" customHeight="true" outlineLevel="0" collapsed="false">
      <c r="D1519" s="24" t="s">
        <v>829</v>
      </c>
      <c r="J1519" s="14" t="n">
        <f aca="false">SUMIF(B1511:B1514,"Equipment",J1511:J1514)</f>
        <v>2.011</v>
      </c>
    </row>
    <row r="1520" customFormat="false" ht="15" hidden="false" customHeight="true" outlineLevel="0" collapsed="false">
      <c r="D1520" s="24" t="s">
        <v>830</v>
      </c>
      <c r="J1520" s="14" t="n">
        <f aca="false">SUMIF(B1511:B1514,"Transport",J1511:J1514)</f>
        <v>0</v>
      </c>
    </row>
    <row r="1521" customFormat="false" ht="15" hidden="false" customHeight="true" outlineLevel="0" collapsed="false">
      <c r="D1521" s="24" t="s">
        <v>831</v>
      </c>
      <c r="J1521" s="14" t="n">
        <f aca="false">J1517+J1518+J1519+J1520</f>
        <v>129.578</v>
      </c>
    </row>
    <row r="1522" customFormat="false" ht="15" hidden="false" customHeight="true" outlineLevel="0" collapsed="false">
      <c r="D1522" s="22" t="s">
        <v>832</v>
      </c>
      <c r="J1522" s="23" t="n">
        <f aca="false">J1521*OH_Site</f>
        <v>3.88734</v>
      </c>
    </row>
    <row r="1523" customFormat="false" ht="15" hidden="false" customHeight="true" outlineLevel="0" collapsed="false">
      <c r="D1523" s="22" t="s">
        <v>833</v>
      </c>
      <c r="J1523" s="23" t="n">
        <f aca="false">J1521*OH_HO</f>
        <v>6.4789</v>
      </c>
    </row>
    <row r="1524" customFormat="false" ht="15" hidden="false" customHeight="true" outlineLevel="0" collapsed="false">
      <c r="D1524" s="22" t="s">
        <v>834</v>
      </c>
      <c r="J1524" s="23" t="n">
        <f aca="false">J1521*Profit</f>
        <v>12.9578</v>
      </c>
    </row>
    <row r="1525" customFormat="false" ht="15" hidden="false" customHeight="true" outlineLevel="0" collapsed="false">
      <c r="D1525" s="24" t="s">
        <v>835</v>
      </c>
      <c r="J1525" s="14" t="n">
        <f aca="false">J1521+J1522+J1523+J1524</f>
        <v>152.90204</v>
      </c>
    </row>
    <row r="1526" customFormat="false" ht="15" hidden="false" customHeight="true" outlineLevel="0" collapsed="false">
      <c r="D1526" s="22" t="s">
        <v>836</v>
      </c>
      <c r="J1526" s="23" t="n">
        <f aca="false">IF(Tax_On="Yes",J1525*N(Tax_Rate),0)</f>
        <v>0</v>
      </c>
    </row>
    <row r="1527" customFormat="false" ht="15" hidden="false" customHeight="true" outlineLevel="0" collapsed="false">
      <c r="D1527" s="24" t="s">
        <v>837</v>
      </c>
      <c r="J1527" s="14" t="n">
        <f aca="false">ROUND(J1525+J1526,0)</f>
        <v>153</v>
      </c>
    </row>
    <row r="1528" customFormat="false" ht="15" hidden="false" customHeight="true" outlineLevel="0" collapsed="false">
      <c r="D1528" s="25" t="s">
        <v>838</v>
      </c>
      <c r="J1528" s="26" t="n">
        <f aca="false">COUNTIF(K1511:K1514,"NO RATE")+COUNTIF(K1511:K1514,"OLD RATE")</f>
        <v>0</v>
      </c>
    </row>
    <row r="1530" customFormat="false" ht="39.75" hidden="false" customHeight="true" outlineLevel="0" collapsed="false">
      <c r="A1530" s="4" t="s">
        <v>418</v>
      </c>
      <c r="B1530" s="16" t="s">
        <v>420</v>
      </c>
      <c r="C1530" s="16"/>
      <c r="D1530" s="16"/>
      <c r="E1530" s="16"/>
      <c r="F1530" s="16"/>
      <c r="G1530" s="16"/>
      <c r="H1530" s="16"/>
      <c r="I1530" s="16"/>
      <c r="J1530" s="4" t="s">
        <v>890</v>
      </c>
      <c r="K1530" s="17"/>
    </row>
    <row r="1531" customFormat="false" ht="21.75" hidden="false" customHeight="true" outlineLevel="0" collapsed="false">
      <c r="A1531" s="12" t="s">
        <v>75</v>
      </c>
      <c r="B1531" s="12" t="s">
        <v>789</v>
      </c>
      <c r="C1531" s="12" t="s">
        <v>790</v>
      </c>
      <c r="D1531" s="12" t="s">
        <v>791</v>
      </c>
      <c r="E1531" s="12" t="s">
        <v>81</v>
      </c>
      <c r="F1531" s="12" t="s">
        <v>792</v>
      </c>
      <c r="G1531" s="12" t="s">
        <v>793</v>
      </c>
      <c r="H1531" s="12" t="s">
        <v>794</v>
      </c>
      <c r="I1531" s="12" t="s">
        <v>795</v>
      </c>
      <c r="J1531" s="12" t="s">
        <v>796</v>
      </c>
      <c r="K1531" s="12" t="s">
        <v>797</v>
      </c>
    </row>
    <row r="1532" customFormat="false" ht="15" hidden="false" customHeight="true" outlineLevel="0" collapsed="false">
      <c r="A1532" s="9" t="s">
        <v>418</v>
      </c>
      <c r="B1532" s="9" t="s">
        <v>798</v>
      </c>
      <c r="C1532" s="9" t="s">
        <v>1111</v>
      </c>
      <c r="D1532" s="5" t="s">
        <v>1112</v>
      </c>
      <c r="E1532" s="9" t="s">
        <v>212</v>
      </c>
      <c r="F1532" s="18" t="n">
        <v>1</v>
      </c>
      <c r="G1532" s="13" t="n">
        <f aca="false">N(INDEX('05 MATERIAL RATE LIBRARY'!$E$5:$E$400,MATCH("MAT-ASPH",'05 MATERIAL RATE LIBRARY'!$A$5:$A$400,0)))</f>
        <v>142.31</v>
      </c>
      <c r="H1532" s="21" t="n">
        <v>0</v>
      </c>
      <c r="I1532" s="18" t="n">
        <f aca="false">F1532*(1+H1532)</f>
        <v>1</v>
      </c>
      <c r="J1532" s="13" t="n">
        <f aca="false">I1532*G1532</f>
        <v>142.31</v>
      </c>
      <c r="K1532" s="20" t="str">
        <f aca="false">IF(INDEX('05 MATERIAL RATE LIBRARY'!$M$5:$M$400,MATCH("MAT-ASPH",'05 MATERIAL RATE LIBRARY'!$A$5:$A$400,0))=1,"",IF(INDEX('05 MATERIAL RATE LIBRARY'!$M$5:$M$400,MATCH("MAT-ASPH",'05 MATERIAL RATE LIBRARY'!$A$5:$A$400,0))=2,"OLD RATE","NO RATE"))</f>
        <v/>
      </c>
    </row>
    <row r="1533" customFormat="false" ht="15" hidden="false" customHeight="true" outlineLevel="0" collapsed="false">
      <c r="D1533" s="22" t="s">
        <v>825</v>
      </c>
      <c r="J1533" s="23" t="n">
        <f aca="false">SUMPRODUCT((B1532:B1532="Material")*F1532:F1532*G1532:G1532)</f>
        <v>142.31</v>
      </c>
    </row>
    <row r="1534" customFormat="false" ht="15" hidden="false" customHeight="true" outlineLevel="0" collapsed="false">
      <c r="D1534" s="22" t="s">
        <v>826</v>
      </c>
      <c r="J1534" s="23" t="n">
        <f aca="false">SUMIF(B1532:B1532,"Material",J1532:J1532)-J1533</f>
        <v>0</v>
      </c>
    </row>
    <row r="1535" customFormat="false" ht="15" hidden="false" customHeight="true" outlineLevel="0" collapsed="false">
      <c r="D1535" s="24" t="s">
        <v>827</v>
      </c>
      <c r="J1535" s="14" t="n">
        <f aca="false">SUMIF(B1532:B1532,"Material",J1532:J1532)</f>
        <v>142.31</v>
      </c>
    </row>
    <row r="1536" customFormat="false" ht="15" hidden="false" customHeight="true" outlineLevel="0" collapsed="false">
      <c r="D1536" s="24" t="s">
        <v>828</v>
      </c>
      <c r="J1536" s="14" t="n">
        <f aca="false">SUMIF(B1532:B1532,"Labour",J1532:J1532)</f>
        <v>0</v>
      </c>
    </row>
    <row r="1537" customFormat="false" ht="15" hidden="false" customHeight="true" outlineLevel="0" collapsed="false">
      <c r="D1537" s="24" t="s">
        <v>829</v>
      </c>
      <c r="J1537" s="14" t="n">
        <f aca="false">SUMIF(B1532:B1532,"Equipment",J1532:J1532)</f>
        <v>0</v>
      </c>
    </row>
    <row r="1538" customFormat="false" ht="15" hidden="false" customHeight="true" outlineLevel="0" collapsed="false">
      <c r="D1538" s="24" t="s">
        <v>830</v>
      </c>
      <c r="J1538" s="14" t="n">
        <f aca="false">SUMIF(B1532:B1532,"Transport",J1532:J1532)</f>
        <v>0</v>
      </c>
    </row>
    <row r="1539" customFormat="false" ht="15" hidden="false" customHeight="true" outlineLevel="0" collapsed="false">
      <c r="D1539" s="24" t="s">
        <v>831</v>
      </c>
      <c r="J1539" s="14" t="n">
        <f aca="false">J1535+J1536+J1537+J1538</f>
        <v>142.31</v>
      </c>
    </row>
    <row r="1540" customFormat="false" ht="15" hidden="false" customHeight="true" outlineLevel="0" collapsed="false">
      <c r="D1540" s="22" t="s">
        <v>832</v>
      </c>
      <c r="J1540" s="23" t="n">
        <f aca="false">J1539*OH_Site</f>
        <v>4.2693</v>
      </c>
    </row>
    <row r="1541" customFormat="false" ht="15" hidden="false" customHeight="true" outlineLevel="0" collapsed="false">
      <c r="D1541" s="22" t="s">
        <v>833</v>
      </c>
      <c r="J1541" s="23" t="n">
        <f aca="false">J1539*OH_HO</f>
        <v>7.1155</v>
      </c>
    </row>
    <row r="1542" customFormat="false" ht="15" hidden="false" customHeight="true" outlineLevel="0" collapsed="false">
      <c r="D1542" s="22" t="s">
        <v>834</v>
      </c>
      <c r="J1542" s="23" t="n">
        <f aca="false">J1539*Profit</f>
        <v>14.231</v>
      </c>
    </row>
    <row r="1543" customFormat="false" ht="15" hidden="false" customHeight="true" outlineLevel="0" collapsed="false">
      <c r="D1543" s="24" t="s">
        <v>835</v>
      </c>
      <c r="J1543" s="14" t="n">
        <f aca="false">J1539+J1540+J1541+J1542</f>
        <v>167.9258</v>
      </c>
    </row>
    <row r="1544" customFormat="false" ht="15" hidden="false" customHeight="true" outlineLevel="0" collapsed="false">
      <c r="D1544" s="22" t="s">
        <v>836</v>
      </c>
      <c r="J1544" s="23" t="n">
        <f aca="false">IF(Tax_On="Yes",J1543*N(Tax_Rate),0)</f>
        <v>0</v>
      </c>
    </row>
    <row r="1545" customFormat="false" ht="15" hidden="false" customHeight="true" outlineLevel="0" collapsed="false">
      <c r="D1545" s="24" t="s">
        <v>895</v>
      </c>
      <c r="J1545" s="14" t="n">
        <f aca="false">ROUND(J1543+J1544,0)</f>
        <v>168</v>
      </c>
    </row>
    <row r="1546" customFormat="false" ht="15" hidden="false" customHeight="true" outlineLevel="0" collapsed="false">
      <c r="D1546" s="25" t="s">
        <v>838</v>
      </c>
      <c r="J1546" s="26" t="n">
        <f aca="false">COUNTIF(K1532:K1532,"NO RATE")+COUNTIF(K1532:K1532,"OLD RATE")</f>
        <v>0</v>
      </c>
    </row>
    <row r="1548" customFormat="false" ht="39.75" hidden="false" customHeight="true" outlineLevel="0" collapsed="false">
      <c r="A1548" s="4" t="s">
        <v>422</v>
      </c>
      <c r="B1548" s="16" t="s">
        <v>425</v>
      </c>
      <c r="C1548" s="16"/>
      <c r="D1548" s="16"/>
      <c r="E1548" s="16"/>
      <c r="F1548" s="16"/>
      <c r="G1548" s="16"/>
      <c r="H1548" s="16"/>
      <c r="I1548" s="16"/>
      <c r="J1548" s="4" t="s">
        <v>1032</v>
      </c>
      <c r="K1548" s="17"/>
    </row>
    <row r="1549" customFormat="false" ht="21.75" hidden="false" customHeight="true" outlineLevel="0" collapsed="false">
      <c r="A1549" s="12" t="s">
        <v>75</v>
      </c>
      <c r="B1549" s="12" t="s">
        <v>789</v>
      </c>
      <c r="C1549" s="12" t="s">
        <v>790</v>
      </c>
      <c r="D1549" s="12" t="s">
        <v>791</v>
      </c>
      <c r="E1549" s="12" t="s">
        <v>81</v>
      </c>
      <c r="F1549" s="12" t="s">
        <v>792</v>
      </c>
      <c r="G1549" s="12" t="s">
        <v>793</v>
      </c>
      <c r="H1549" s="12" t="s">
        <v>794</v>
      </c>
      <c r="I1549" s="12" t="s">
        <v>795</v>
      </c>
      <c r="J1549" s="12" t="s">
        <v>796</v>
      </c>
      <c r="K1549" s="12" t="s">
        <v>797</v>
      </c>
    </row>
    <row r="1550" customFormat="false" ht="15" hidden="false" customHeight="true" outlineLevel="0" collapsed="false">
      <c r="A1550" s="9" t="s">
        <v>422</v>
      </c>
      <c r="B1550" s="9" t="s">
        <v>798</v>
      </c>
      <c r="C1550" s="9" t="s">
        <v>884</v>
      </c>
      <c r="D1550" s="5" t="s">
        <v>1113</v>
      </c>
      <c r="E1550" s="9" t="s">
        <v>368</v>
      </c>
      <c r="F1550" s="18" t="n">
        <f aca="false">13.5*56.25</f>
        <v>759.375</v>
      </c>
      <c r="G1550" s="13" t="n">
        <f aca="false">N(INDEX('05 MATERIAL RATE LIBRARY'!$E$5:$E$400,MATCH("MAT-BRK-A",'05 MATERIAL RATE LIBRARY'!$A$5:$A$400,0)))</f>
        <v>17.5</v>
      </c>
      <c r="H1550" s="19" t="n">
        <f aca="false">W_Brk</f>
        <v>0.05</v>
      </c>
      <c r="I1550" s="18" t="n">
        <f aca="false">F1550*(1+H1550)</f>
        <v>797.34375</v>
      </c>
      <c r="J1550" s="13" t="n">
        <f aca="false">I1550*G1550</f>
        <v>13953.515625</v>
      </c>
      <c r="K1550" s="20" t="str">
        <f aca="false">IF(INDEX('05 MATERIAL RATE LIBRARY'!$M$5:$M$400,MATCH("MAT-BRK-A",'05 MATERIAL RATE LIBRARY'!$A$5:$A$400,0))=1,"",IF(INDEX('05 MATERIAL RATE LIBRARY'!$M$5:$M$400,MATCH("MAT-BRK-A",'05 MATERIAL RATE LIBRARY'!$A$5:$A$400,0))=2,"OLD RATE","NO RATE"))</f>
        <v/>
      </c>
    </row>
    <row r="1551" customFormat="false" ht="15" hidden="false" customHeight="true" outlineLevel="0" collapsed="false">
      <c r="A1551" s="9" t="s">
        <v>422</v>
      </c>
      <c r="B1551" s="9" t="s">
        <v>798</v>
      </c>
      <c r="C1551" s="9" t="s">
        <v>799</v>
      </c>
      <c r="D1551" s="5" t="s">
        <v>1114</v>
      </c>
      <c r="E1551" s="9" t="s">
        <v>801</v>
      </c>
      <c r="F1551" s="18" t="n">
        <f aca="false">56.25*0.25*DryF_Mortar/7/Bag_cft+13.78*DryF_Conc/13/Bag_cft+69*(0.5/12)*1.2*DryF_Mortar/4/Bag_cft</f>
        <v>4.29220571428571</v>
      </c>
      <c r="G1551" s="13" t="n">
        <f aca="false">N(INDEX('05 MATERIAL RATE LIBRARY'!$E$5:$E$400,MATCH("MAT-CEM-OPC",'05 MATERIAL RATE LIBRARY'!$A$5:$A$400,0)))</f>
        <v>1575</v>
      </c>
      <c r="H1551" s="19" t="n">
        <f aca="false">W_Cem</f>
        <v>0.02</v>
      </c>
      <c r="I1551" s="18" t="n">
        <f aca="false">F1551*(1+H1551)</f>
        <v>4.37804982857143</v>
      </c>
      <c r="J1551" s="13" t="n">
        <f aca="false">I1551*G1551</f>
        <v>6895.42848</v>
      </c>
      <c r="K1551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1552" customFormat="false" ht="15" hidden="false" customHeight="true" outlineLevel="0" collapsed="false">
      <c r="A1552" s="9" t="s">
        <v>422</v>
      </c>
      <c r="B1552" s="9" t="s">
        <v>798</v>
      </c>
      <c r="C1552" s="9" t="s">
        <v>864</v>
      </c>
      <c r="D1552" s="5" t="s">
        <v>1115</v>
      </c>
      <c r="E1552" s="9" t="s">
        <v>109</v>
      </c>
      <c r="F1552" s="18" t="n">
        <f aca="false">56.25*0.25*DryF_Mortar*6/7+13.78*DryF_Conc*4/13+69*(0.5/12)*1.2*DryF_Mortar*3/4</f>
        <v>25.5629928571429</v>
      </c>
      <c r="G1552" s="13" t="n">
        <f aca="false">N(INDEX('05 MATERIAL RATE LIBRARY'!$E$5:$E$400,MATCH("MAT-SND-CHN",'05 MATERIAL RATE LIBRARY'!$A$5:$A$400,0)))</f>
        <v>80</v>
      </c>
      <c r="H1552" s="19" t="n">
        <f aca="false">W_Agg</f>
        <v>0.05</v>
      </c>
      <c r="I1552" s="18" t="n">
        <f aca="false">F1552*(1+H1552)</f>
        <v>26.8411425</v>
      </c>
      <c r="J1552" s="13" t="n">
        <f aca="false">I1552*G1552</f>
        <v>2147.2914</v>
      </c>
      <c r="K1552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1553" customFormat="false" ht="15" hidden="false" customHeight="true" outlineLevel="0" collapsed="false">
      <c r="A1553" s="9" t="s">
        <v>422</v>
      </c>
      <c r="B1553" s="9" t="s">
        <v>798</v>
      </c>
      <c r="C1553" s="9" t="s">
        <v>839</v>
      </c>
      <c r="D1553" s="5" t="s">
        <v>1116</v>
      </c>
      <c r="E1553" s="9" t="s">
        <v>109</v>
      </c>
      <c r="F1553" s="18" t="n">
        <f aca="false">13.78*DryF_Conc*8/13</f>
        <v>13.0592</v>
      </c>
      <c r="G1553" s="13" t="n">
        <f aca="false">N(INDEX('05 MATERIAL RATE LIBRARY'!$E$5:$E$400,MATCH("MAT-CRS-MGL",'05 MATERIAL RATE LIBRARY'!$A$5:$A$400,0)))</f>
        <v>180</v>
      </c>
      <c r="H1553" s="19" t="n">
        <f aca="false">W_Agg</f>
        <v>0.05</v>
      </c>
      <c r="I1553" s="18" t="n">
        <f aca="false">F1553*(1+H1553)</f>
        <v>13.71216</v>
      </c>
      <c r="J1553" s="13" t="n">
        <f aca="false">I1553*G1553</f>
        <v>2468.1888</v>
      </c>
      <c r="K1553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1554" customFormat="false" ht="15" hidden="false" customHeight="true" outlineLevel="0" collapsed="false">
      <c r="A1554" s="9" t="s">
        <v>422</v>
      </c>
      <c r="B1554" s="9" t="s">
        <v>798</v>
      </c>
      <c r="C1554" s="9" t="s">
        <v>1117</v>
      </c>
      <c r="D1554" s="5" t="s">
        <v>1118</v>
      </c>
      <c r="E1554" s="9" t="s">
        <v>368</v>
      </c>
      <c r="F1554" s="18" t="n">
        <v>1</v>
      </c>
      <c r="G1554" s="13" t="n">
        <f aca="false">N(INDEX('05 MATERIAL RATE LIBRARY'!$E$5:$E$400,MATCH("MAT-MHC",'05 MATERIAL RATE LIBRARY'!$A$5:$A$400,0)))</f>
        <v>6089.85</v>
      </c>
      <c r="H1554" s="21" t="n">
        <v>0</v>
      </c>
      <c r="I1554" s="18" t="n">
        <f aca="false">F1554*(1+H1554)</f>
        <v>1</v>
      </c>
      <c r="J1554" s="13" t="n">
        <f aca="false">I1554*G1554</f>
        <v>6089.85</v>
      </c>
      <c r="K1554" s="20" t="str">
        <f aca="false">IF(INDEX('05 MATERIAL RATE LIBRARY'!$M$5:$M$400,MATCH("MAT-MHC",'05 MATERIAL RATE LIBRARY'!$A$5:$A$400,0))=1,"",IF(INDEX('05 MATERIAL RATE LIBRARY'!$M$5:$M$400,MATCH("MAT-MHC",'05 MATERIAL RATE LIBRARY'!$A$5:$A$400,0))=2,"OLD RATE","NO RATE"))</f>
        <v/>
      </c>
    </row>
    <row r="1555" customFormat="false" ht="15" hidden="false" customHeight="true" outlineLevel="0" collapsed="false">
      <c r="A1555" s="9" t="s">
        <v>422</v>
      </c>
      <c r="B1555" s="9" t="s">
        <v>812</v>
      </c>
      <c r="C1555" s="9" t="s">
        <v>813</v>
      </c>
      <c r="D1555" s="5" t="s">
        <v>1119</v>
      </c>
      <c r="E1555" s="9" t="s">
        <v>815</v>
      </c>
      <c r="F1555" s="18" t="n">
        <f aca="false">3</f>
        <v>3</v>
      </c>
      <c r="G1555" s="13" t="n">
        <f aca="false">N(INDEX('06 LABOUR RATE LIBRARY'!$D$5:$D$100,MATCH("LAB-MSN",'06 LABOUR RATE LIBRARY'!$A$5:$A$100,0)))</f>
        <v>2200</v>
      </c>
      <c r="H1555" s="21" t="n">
        <v>0</v>
      </c>
      <c r="I1555" s="18" t="n">
        <f aca="false">F1555*(1+H1555)</f>
        <v>3</v>
      </c>
      <c r="J1555" s="13" t="n">
        <f aca="false">I1555*G1555</f>
        <v>6600</v>
      </c>
      <c r="K1555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1556" customFormat="false" ht="15" hidden="false" customHeight="true" outlineLevel="0" collapsed="false">
      <c r="A1556" s="9" t="s">
        <v>422</v>
      </c>
      <c r="B1556" s="9" t="s">
        <v>812</v>
      </c>
      <c r="C1556" s="9" t="s">
        <v>816</v>
      </c>
      <c r="D1556" s="5" t="s">
        <v>1120</v>
      </c>
      <c r="E1556" s="9" t="s">
        <v>815</v>
      </c>
      <c r="F1556" s="18" t="n">
        <f aca="false">6</f>
        <v>6</v>
      </c>
      <c r="G1556" s="13" t="n">
        <f aca="false">N(INDEX('06 LABOUR RATE LIBRARY'!$D$5:$D$100,MATCH("LAB-HLP",'06 LABOUR RATE LIBRARY'!$A$5:$A$100,0)))</f>
        <v>1538</v>
      </c>
      <c r="H1556" s="21" t="n">
        <v>0</v>
      </c>
      <c r="I1556" s="18" t="n">
        <f aca="false">F1556*(1+H1556)</f>
        <v>6</v>
      </c>
      <c r="J1556" s="13" t="n">
        <f aca="false">I1556*G1556</f>
        <v>9228</v>
      </c>
      <c r="K1556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557" customFormat="false" ht="15" hidden="false" customHeight="true" outlineLevel="0" collapsed="false">
      <c r="D1557" s="22" t="s">
        <v>825</v>
      </c>
      <c r="J1557" s="23" t="n">
        <f aca="false">SUMPRODUCT((B1550:B1556="Material")*F1550:F1556*G1550:G1556)</f>
        <v>30534.8319285714</v>
      </c>
    </row>
    <row r="1558" customFormat="false" ht="15" hidden="false" customHeight="true" outlineLevel="0" collapsed="false">
      <c r="D1558" s="22" t="s">
        <v>826</v>
      </c>
      <c r="J1558" s="23" t="n">
        <f aca="false">SUMIF(B1550:B1556,"Material",J1550:J1556)-J1557</f>
        <v>1019.44237642857</v>
      </c>
    </row>
    <row r="1559" customFormat="false" ht="15" hidden="false" customHeight="true" outlineLevel="0" collapsed="false">
      <c r="D1559" s="24" t="s">
        <v>827</v>
      </c>
      <c r="J1559" s="14" t="n">
        <f aca="false">SUMIF(B1550:B1556,"Material",J1550:J1556)</f>
        <v>31554.274305</v>
      </c>
    </row>
    <row r="1560" customFormat="false" ht="15" hidden="false" customHeight="true" outlineLevel="0" collapsed="false">
      <c r="D1560" s="24" t="s">
        <v>828</v>
      </c>
      <c r="J1560" s="14" t="n">
        <f aca="false">SUMIF(B1550:B1556,"Labour",J1550:J1556)</f>
        <v>15828</v>
      </c>
    </row>
    <row r="1561" customFormat="false" ht="15" hidden="false" customHeight="true" outlineLevel="0" collapsed="false">
      <c r="D1561" s="24" t="s">
        <v>829</v>
      </c>
      <c r="J1561" s="14" t="n">
        <f aca="false">SUMIF(B1550:B1556,"Equipment",J1550:J1556)</f>
        <v>0</v>
      </c>
    </row>
    <row r="1562" customFormat="false" ht="15" hidden="false" customHeight="true" outlineLevel="0" collapsed="false">
      <c r="D1562" s="24" t="s">
        <v>830</v>
      </c>
      <c r="J1562" s="14" t="n">
        <f aca="false">SUMIF(B1550:B1556,"Transport",J1550:J1556)</f>
        <v>0</v>
      </c>
    </row>
    <row r="1563" customFormat="false" ht="15" hidden="false" customHeight="true" outlineLevel="0" collapsed="false">
      <c r="D1563" s="24" t="s">
        <v>831</v>
      </c>
      <c r="J1563" s="14" t="n">
        <f aca="false">J1559+J1560+J1561+J1562</f>
        <v>47382.274305</v>
      </c>
    </row>
    <row r="1564" customFormat="false" ht="15" hidden="false" customHeight="true" outlineLevel="0" collapsed="false">
      <c r="D1564" s="22" t="s">
        <v>832</v>
      </c>
      <c r="J1564" s="23" t="n">
        <f aca="false">J1563*OH_Site</f>
        <v>1421.46822915</v>
      </c>
    </row>
    <row r="1565" customFormat="false" ht="15" hidden="false" customHeight="true" outlineLevel="0" collapsed="false">
      <c r="D1565" s="22" t="s">
        <v>833</v>
      </c>
      <c r="J1565" s="23" t="n">
        <f aca="false">J1563*OH_HO</f>
        <v>2369.11371525</v>
      </c>
    </row>
    <row r="1566" customFormat="false" ht="15" hidden="false" customHeight="true" outlineLevel="0" collapsed="false">
      <c r="D1566" s="22" t="s">
        <v>834</v>
      </c>
      <c r="J1566" s="23" t="n">
        <f aca="false">J1563*Profit</f>
        <v>4738.2274305</v>
      </c>
    </row>
    <row r="1567" customFormat="false" ht="15" hidden="false" customHeight="true" outlineLevel="0" collapsed="false">
      <c r="D1567" s="24" t="s">
        <v>835</v>
      </c>
      <c r="J1567" s="14" t="n">
        <f aca="false">J1563+J1564+J1565+J1566</f>
        <v>55911.0836799</v>
      </c>
    </row>
    <row r="1568" customFormat="false" ht="15" hidden="false" customHeight="true" outlineLevel="0" collapsed="false">
      <c r="D1568" s="22" t="s">
        <v>836</v>
      </c>
      <c r="J1568" s="23" t="n">
        <f aca="false">IF(Tax_On="Yes",J1567*N(Tax_Rate),0)</f>
        <v>0</v>
      </c>
    </row>
    <row r="1569" customFormat="false" ht="15" hidden="false" customHeight="true" outlineLevel="0" collapsed="false">
      <c r="D1569" s="24" t="s">
        <v>1048</v>
      </c>
      <c r="J1569" s="14" t="n">
        <f aca="false">ROUND(J1567+J1568,0)</f>
        <v>55911</v>
      </c>
    </row>
    <row r="1570" customFormat="false" ht="15" hidden="false" customHeight="true" outlineLevel="0" collapsed="false">
      <c r="D1570" s="25" t="s">
        <v>838</v>
      </c>
      <c r="J1570" s="26" t="n">
        <f aca="false">COUNTIF(K1550:K1556,"NO RATE")+COUNTIF(K1550:K1556,"OLD RATE")</f>
        <v>0</v>
      </c>
    </row>
    <row r="1572" customFormat="false" ht="39.75" hidden="false" customHeight="true" outlineLevel="0" collapsed="false">
      <c r="A1572" s="4" t="s">
        <v>427</v>
      </c>
      <c r="B1572" s="16" t="s">
        <v>430</v>
      </c>
      <c r="C1572" s="16"/>
      <c r="D1572" s="16"/>
      <c r="E1572" s="16"/>
      <c r="F1572" s="16"/>
      <c r="G1572" s="16"/>
      <c r="H1572" s="16"/>
      <c r="I1572" s="16"/>
      <c r="J1572" s="4" t="s">
        <v>890</v>
      </c>
      <c r="K1572" s="17"/>
    </row>
    <row r="1573" customFormat="false" ht="21.75" hidden="false" customHeight="true" outlineLevel="0" collapsed="false">
      <c r="A1573" s="12" t="s">
        <v>75</v>
      </c>
      <c r="B1573" s="12" t="s">
        <v>789</v>
      </c>
      <c r="C1573" s="12" t="s">
        <v>790</v>
      </c>
      <c r="D1573" s="12" t="s">
        <v>791</v>
      </c>
      <c r="E1573" s="12" t="s">
        <v>81</v>
      </c>
      <c r="F1573" s="12" t="s">
        <v>792</v>
      </c>
      <c r="G1573" s="12" t="s">
        <v>793</v>
      </c>
      <c r="H1573" s="12" t="s">
        <v>794</v>
      </c>
      <c r="I1573" s="12" t="s">
        <v>795</v>
      </c>
      <c r="J1573" s="12" t="s">
        <v>796</v>
      </c>
      <c r="K1573" s="12" t="s">
        <v>797</v>
      </c>
    </row>
    <row r="1574" customFormat="false" ht="15" hidden="false" customHeight="true" outlineLevel="0" collapsed="false">
      <c r="A1574" s="9" t="s">
        <v>427</v>
      </c>
      <c r="B1574" s="9" t="s">
        <v>798</v>
      </c>
      <c r="C1574" s="9" t="s">
        <v>1121</v>
      </c>
      <c r="D1574" s="5" t="s">
        <v>1122</v>
      </c>
      <c r="E1574" s="9" t="s">
        <v>212</v>
      </c>
      <c r="F1574" s="18" t="n">
        <v>1.05</v>
      </c>
      <c r="G1574" s="13" t="n">
        <f aca="false">N(INDEX('05 MATERIAL RATE LIBRARY'!$E$5:$E$400,MATCH("MAT-TURF",'05 MATERIAL RATE LIBRARY'!$A$5:$A$400,0)))</f>
        <v>9</v>
      </c>
      <c r="H1574" s="21" t="n">
        <v>0</v>
      </c>
      <c r="I1574" s="18" t="n">
        <f aca="false">F1574*(1+H1574)</f>
        <v>1.05</v>
      </c>
      <c r="J1574" s="13" t="n">
        <f aca="false">I1574*G1574</f>
        <v>9.45</v>
      </c>
      <c r="K1574" s="20" t="str">
        <f aca="false">IF(INDEX('05 MATERIAL RATE LIBRARY'!$M$5:$M$400,MATCH("MAT-TURF",'05 MATERIAL RATE LIBRARY'!$A$5:$A$400,0))=1,"",IF(INDEX('05 MATERIAL RATE LIBRARY'!$M$5:$M$400,MATCH("MAT-TURF",'05 MATERIAL RATE LIBRARY'!$A$5:$A$400,0))=2,"OLD RATE","NO RATE"))</f>
        <v/>
      </c>
    </row>
    <row r="1575" customFormat="false" ht="15" hidden="false" customHeight="true" outlineLevel="0" collapsed="false">
      <c r="A1575" s="9" t="s">
        <v>427</v>
      </c>
      <c r="B1575" s="9" t="s">
        <v>812</v>
      </c>
      <c r="C1575" s="9" t="s">
        <v>816</v>
      </c>
      <c r="D1575" s="5" t="s">
        <v>1123</v>
      </c>
      <c r="E1575" s="9" t="s">
        <v>815</v>
      </c>
      <c r="F1575" s="18" t="n">
        <f aca="false">1/500</f>
        <v>0.002</v>
      </c>
      <c r="G1575" s="13" t="n">
        <f aca="false">N(INDEX('06 LABOUR RATE LIBRARY'!$D$5:$D$100,MATCH("LAB-HLP",'06 LABOUR RATE LIBRARY'!$A$5:$A$100,0)))</f>
        <v>1538</v>
      </c>
      <c r="H1575" s="21" t="n">
        <v>0</v>
      </c>
      <c r="I1575" s="18" t="n">
        <f aca="false">F1575*(1+H1575)</f>
        <v>0.002</v>
      </c>
      <c r="J1575" s="13" t="n">
        <f aca="false">I1575*G1575</f>
        <v>3.076</v>
      </c>
      <c r="K157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576" customFormat="false" ht="15" hidden="false" customHeight="true" outlineLevel="0" collapsed="false">
      <c r="D1576" s="22" t="s">
        <v>825</v>
      </c>
      <c r="J1576" s="23" t="n">
        <f aca="false">SUMPRODUCT((B1574:B1575="Material")*F1574:F1575*G1574:G1575)</f>
        <v>9.45</v>
      </c>
    </row>
    <row r="1577" customFormat="false" ht="15" hidden="false" customHeight="true" outlineLevel="0" collapsed="false">
      <c r="D1577" s="22" t="s">
        <v>826</v>
      </c>
      <c r="J1577" s="23" t="n">
        <f aca="false">SUMIF(B1574:B1575,"Material",J1574:J1575)-J1576</f>
        <v>0</v>
      </c>
    </row>
    <row r="1578" customFormat="false" ht="15" hidden="false" customHeight="true" outlineLevel="0" collapsed="false">
      <c r="D1578" s="24" t="s">
        <v>827</v>
      </c>
      <c r="J1578" s="14" t="n">
        <f aca="false">SUMIF(B1574:B1575,"Material",J1574:J1575)</f>
        <v>9.45</v>
      </c>
    </row>
    <row r="1579" customFormat="false" ht="15" hidden="false" customHeight="true" outlineLevel="0" collapsed="false">
      <c r="D1579" s="24" t="s">
        <v>828</v>
      </c>
      <c r="J1579" s="14" t="n">
        <f aca="false">SUMIF(B1574:B1575,"Labour",J1574:J1575)</f>
        <v>3.076</v>
      </c>
    </row>
    <row r="1580" customFormat="false" ht="15" hidden="false" customHeight="true" outlineLevel="0" collapsed="false">
      <c r="D1580" s="24" t="s">
        <v>829</v>
      </c>
      <c r="J1580" s="14" t="n">
        <f aca="false">SUMIF(B1574:B1575,"Equipment",J1574:J1575)</f>
        <v>0</v>
      </c>
    </row>
    <row r="1581" customFormat="false" ht="15" hidden="false" customHeight="true" outlineLevel="0" collapsed="false">
      <c r="D1581" s="24" t="s">
        <v>830</v>
      </c>
      <c r="J1581" s="14" t="n">
        <f aca="false">SUMIF(B1574:B1575,"Transport",J1574:J1575)</f>
        <v>0</v>
      </c>
    </row>
    <row r="1582" customFormat="false" ht="15" hidden="false" customHeight="true" outlineLevel="0" collapsed="false">
      <c r="D1582" s="24" t="s">
        <v>831</v>
      </c>
      <c r="J1582" s="14" t="n">
        <f aca="false">J1578+J1579+J1580+J1581</f>
        <v>12.526</v>
      </c>
    </row>
    <row r="1583" customFormat="false" ht="15" hidden="false" customHeight="true" outlineLevel="0" collapsed="false">
      <c r="D1583" s="22" t="s">
        <v>832</v>
      </c>
      <c r="J1583" s="23" t="n">
        <f aca="false">J1582*OH_Site</f>
        <v>0.37578</v>
      </c>
    </row>
    <row r="1584" customFormat="false" ht="15" hidden="false" customHeight="true" outlineLevel="0" collapsed="false">
      <c r="D1584" s="22" t="s">
        <v>833</v>
      </c>
      <c r="J1584" s="23" t="n">
        <f aca="false">J1582*OH_HO</f>
        <v>0.6263</v>
      </c>
    </row>
    <row r="1585" customFormat="false" ht="15" hidden="false" customHeight="true" outlineLevel="0" collapsed="false">
      <c r="D1585" s="22" t="s">
        <v>834</v>
      </c>
      <c r="J1585" s="23" t="n">
        <f aca="false">J1582*Profit</f>
        <v>1.2526</v>
      </c>
    </row>
    <row r="1586" customFormat="false" ht="15" hidden="false" customHeight="true" outlineLevel="0" collapsed="false">
      <c r="D1586" s="24" t="s">
        <v>835</v>
      </c>
      <c r="J1586" s="14" t="n">
        <f aca="false">J1582+J1583+J1584+J1585</f>
        <v>14.78068</v>
      </c>
    </row>
    <row r="1587" customFormat="false" ht="15" hidden="false" customHeight="true" outlineLevel="0" collapsed="false">
      <c r="D1587" s="22" t="s">
        <v>836</v>
      </c>
      <c r="J1587" s="23" t="n">
        <f aca="false">IF(Tax_On="Yes",J1586*N(Tax_Rate),0)</f>
        <v>0</v>
      </c>
    </row>
    <row r="1588" customFormat="false" ht="15" hidden="false" customHeight="true" outlineLevel="0" collapsed="false">
      <c r="D1588" s="24" t="s">
        <v>895</v>
      </c>
      <c r="J1588" s="14" t="n">
        <f aca="false">ROUND(J1586+J1587,0)</f>
        <v>15</v>
      </c>
    </row>
    <row r="1589" customFormat="false" ht="15" hidden="false" customHeight="true" outlineLevel="0" collapsed="false">
      <c r="D1589" s="25" t="s">
        <v>838</v>
      </c>
      <c r="J1589" s="26" t="n">
        <f aca="false">COUNTIF(K1574:K1575,"NO RATE")+COUNTIF(K1574:K1575,"OLD RATE")</f>
        <v>0</v>
      </c>
    </row>
    <row r="1591" customFormat="false" ht="39.75" hidden="false" customHeight="true" outlineLevel="0" collapsed="false">
      <c r="A1591" s="4" t="s">
        <v>432</v>
      </c>
      <c r="B1591" s="16" t="s">
        <v>436</v>
      </c>
      <c r="C1591" s="16"/>
      <c r="D1591" s="16"/>
      <c r="E1591" s="16"/>
      <c r="F1591" s="16"/>
      <c r="G1591" s="16"/>
      <c r="H1591" s="16"/>
      <c r="I1591" s="16"/>
      <c r="J1591" s="4" t="s">
        <v>1061</v>
      </c>
      <c r="K1591" s="17"/>
    </row>
    <row r="1592" customFormat="false" ht="21.75" hidden="false" customHeight="true" outlineLevel="0" collapsed="false">
      <c r="A1592" s="12" t="s">
        <v>75</v>
      </c>
      <c r="B1592" s="12" t="s">
        <v>789</v>
      </c>
      <c r="C1592" s="12" t="s">
        <v>790</v>
      </c>
      <c r="D1592" s="12" t="s">
        <v>791</v>
      </c>
      <c r="E1592" s="12" t="s">
        <v>81</v>
      </c>
      <c r="F1592" s="12" t="s">
        <v>792</v>
      </c>
      <c r="G1592" s="12" t="s">
        <v>793</v>
      </c>
      <c r="H1592" s="12" t="s">
        <v>794</v>
      </c>
      <c r="I1592" s="12" t="s">
        <v>795</v>
      </c>
      <c r="J1592" s="12" t="s">
        <v>796</v>
      </c>
      <c r="K1592" s="12" t="s">
        <v>797</v>
      </c>
    </row>
    <row r="1593" customFormat="false" ht="15" hidden="false" customHeight="true" outlineLevel="0" collapsed="false">
      <c r="A1593" s="9" t="s">
        <v>432</v>
      </c>
      <c r="B1593" s="9" t="s">
        <v>798</v>
      </c>
      <c r="C1593" s="9" t="s">
        <v>1124</v>
      </c>
      <c r="D1593" s="5" t="s">
        <v>1125</v>
      </c>
      <c r="E1593" s="9" t="s">
        <v>386</v>
      </c>
      <c r="F1593" s="18" t="n">
        <v>1</v>
      </c>
      <c r="G1593" s="13" t="n">
        <f aca="false">N(INDEX('05 MATERIAL RATE LIBRARY'!$E$5:$E$400,MATCH("MAT-PPR-075",'05 MATERIAL RATE LIBRARY'!$A$5:$A$400,0)))</f>
        <v>98.75</v>
      </c>
      <c r="H1593" s="19" t="n">
        <f aca="false">W_Pipe</f>
        <v>0.05</v>
      </c>
      <c r="I1593" s="18" t="n">
        <f aca="false">F1593*(1+H1593)</f>
        <v>1.05</v>
      </c>
      <c r="J1593" s="13" t="n">
        <f aca="false">I1593*G1593</f>
        <v>103.6875</v>
      </c>
      <c r="K1593" s="20" t="str">
        <f aca="false">IF(INDEX('05 MATERIAL RATE LIBRARY'!$M$5:$M$400,MATCH("MAT-PPR-075",'05 MATERIAL RATE LIBRARY'!$A$5:$A$400,0))=1,"",IF(INDEX('05 MATERIAL RATE LIBRARY'!$M$5:$M$400,MATCH("MAT-PPR-075",'05 MATERIAL RATE LIBRARY'!$A$5:$A$400,0))=2,"OLD RATE","NO RATE"))</f>
        <v/>
      </c>
    </row>
    <row r="1594" customFormat="false" ht="15" hidden="false" customHeight="true" outlineLevel="0" collapsed="false">
      <c r="A1594" s="9" t="s">
        <v>432</v>
      </c>
      <c r="B1594" s="9" t="s">
        <v>798</v>
      </c>
      <c r="C1594" s="9" t="s">
        <v>1126</v>
      </c>
      <c r="D1594" s="5" t="s">
        <v>1127</v>
      </c>
      <c r="E1594" s="9" t="s">
        <v>368</v>
      </c>
      <c r="F1594" s="18" t="n">
        <v>0.15</v>
      </c>
      <c r="G1594" s="13" t="n">
        <f aca="false">N(INDEX('05 MATERIAL RATE LIBRARY'!$E$5:$E$400,MATCH("MAT-PPR-075-EL",'05 MATERIAL RATE LIBRARY'!$A$5:$A$400,0)))</f>
        <v>38</v>
      </c>
      <c r="H1594" s="21" t="n">
        <v>0</v>
      </c>
      <c r="I1594" s="18" t="n">
        <f aca="false">F1594*(1+H1594)</f>
        <v>0.15</v>
      </c>
      <c r="J1594" s="13" t="n">
        <f aca="false">I1594*G1594</f>
        <v>5.7</v>
      </c>
      <c r="K1594" s="20" t="str">
        <f aca="false">IF(INDEX('05 MATERIAL RATE LIBRARY'!$M$5:$M$400,MATCH("MAT-PPR-075-EL",'05 MATERIAL RATE LIBRARY'!$A$5:$A$400,0))=1,"",IF(INDEX('05 MATERIAL RATE LIBRARY'!$M$5:$M$400,MATCH("MAT-PPR-075-EL",'05 MATERIAL RATE LIBRARY'!$A$5:$A$400,0))=2,"OLD RATE","NO RATE"))</f>
        <v/>
      </c>
    </row>
    <row r="1595" customFormat="false" ht="15" hidden="false" customHeight="true" outlineLevel="0" collapsed="false">
      <c r="A1595" s="9" t="s">
        <v>432</v>
      </c>
      <c r="B1595" s="9" t="s">
        <v>798</v>
      </c>
      <c r="C1595" s="9" t="s">
        <v>1128</v>
      </c>
      <c r="D1595" s="5" t="s">
        <v>1129</v>
      </c>
      <c r="E1595" s="9" t="s">
        <v>368</v>
      </c>
      <c r="F1595" s="18" t="n">
        <f aca="false">1/13.12</f>
        <v>0.076219512195122</v>
      </c>
      <c r="G1595" s="13" t="n">
        <f aca="false">N(INDEX('05 MATERIAL RATE LIBRARY'!$E$5:$E$400,MATCH("MAT-PPR-075-SO",'05 MATERIAL RATE LIBRARY'!$A$5:$A$400,0)))</f>
        <v>27</v>
      </c>
      <c r="H1595" s="21" t="n">
        <v>0</v>
      </c>
      <c r="I1595" s="18" t="n">
        <f aca="false">F1595*(1+H1595)</f>
        <v>0.076219512195122</v>
      </c>
      <c r="J1595" s="13" t="n">
        <f aca="false">I1595*G1595</f>
        <v>2.05792682926829</v>
      </c>
      <c r="K1595" s="20" t="str">
        <f aca="false">IF(INDEX('05 MATERIAL RATE LIBRARY'!$M$5:$M$400,MATCH("MAT-PPR-075-SO",'05 MATERIAL RATE LIBRARY'!$A$5:$A$400,0))=1,"",IF(INDEX('05 MATERIAL RATE LIBRARY'!$M$5:$M$400,MATCH("MAT-PPR-075-SO",'05 MATERIAL RATE LIBRARY'!$A$5:$A$400,0))=2,"OLD RATE","NO RATE"))</f>
        <v/>
      </c>
    </row>
    <row r="1596" customFormat="false" ht="15" hidden="false" customHeight="true" outlineLevel="0" collapsed="false">
      <c r="A1596" s="9" t="s">
        <v>432</v>
      </c>
      <c r="B1596" s="9" t="s">
        <v>798</v>
      </c>
      <c r="C1596" s="9" t="s">
        <v>1130</v>
      </c>
      <c r="D1596" s="5" t="s">
        <v>1131</v>
      </c>
      <c r="E1596" s="9" t="s">
        <v>368</v>
      </c>
      <c r="F1596" s="18" t="n">
        <v>0.08</v>
      </c>
      <c r="G1596" s="13" t="n">
        <f aca="false">N(INDEX('05 MATERIAL RATE LIBRARY'!$E$5:$E$400,MATCH("MAT-PPR-075-TE",'05 MATERIAL RATE LIBRARY'!$A$5:$A$400,0)))</f>
        <v>50</v>
      </c>
      <c r="H1596" s="21" t="n">
        <v>0</v>
      </c>
      <c r="I1596" s="18" t="n">
        <f aca="false">F1596*(1+H1596)</f>
        <v>0.08</v>
      </c>
      <c r="J1596" s="13" t="n">
        <f aca="false">I1596*G1596</f>
        <v>4</v>
      </c>
      <c r="K1596" s="20" t="str">
        <f aca="false">IF(INDEX('05 MATERIAL RATE LIBRARY'!$M$5:$M$400,MATCH("MAT-PPR-075-TE",'05 MATERIAL RATE LIBRARY'!$A$5:$A$400,0))=1,"",IF(INDEX('05 MATERIAL RATE LIBRARY'!$M$5:$M$400,MATCH("MAT-PPR-075-TE",'05 MATERIAL RATE LIBRARY'!$A$5:$A$400,0))=2,"OLD RATE","NO RATE"))</f>
        <v/>
      </c>
    </row>
    <row r="1597" customFormat="false" ht="15" hidden="false" customHeight="true" outlineLevel="0" collapsed="false">
      <c r="A1597" s="9" t="s">
        <v>432</v>
      </c>
      <c r="B1597" s="9" t="s">
        <v>798</v>
      </c>
      <c r="C1597" s="9" t="s">
        <v>1132</v>
      </c>
      <c r="D1597" s="5" t="s">
        <v>1133</v>
      </c>
      <c r="E1597" s="9" t="s">
        <v>368</v>
      </c>
      <c r="F1597" s="18" t="n">
        <f aca="false">1/3</f>
        <v>0.333333333333333</v>
      </c>
      <c r="G1597" s="13" t="n">
        <f aca="false">N(INDEX('05 MATERIAL RATE LIBRARY'!$E$5:$E$400,MATCH("MAT-CLMP",'05 MATERIAL RATE LIBRARY'!$A$5:$A$400,0)))</f>
        <v>123.1</v>
      </c>
      <c r="H1597" s="21" t="n">
        <v>0</v>
      </c>
      <c r="I1597" s="18" t="n">
        <f aca="false">F1597*(1+H1597)</f>
        <v>0.333333333333333</v>
      </c>
      <c r="J1597" s="13" t="n">
        <f aca="false">I1597*G1597</f>
        <v>41.0333333333333</v>
      </c>
      <c r="K1597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598" customFormat="false" ht="15" hidden="false" customHeight="true" outlineLevel="0" collapsed="false">
      <c r="A1598" s="9" t="s">
        <v>432</v>
      </c>
      <c r="B1598" s="9" t="s">
        <v>812</v>
      </c>
      <c r="C1598" s="9" t="s">
        <v>1134</v>
      </c>
      <c r="D1598" s="5" t="s">
        <v>1135</v>
      </c>
      <c r="E1598" s="9" t="s">
        <v>815</v>
      </c>
      <c r="F1598" s="18" t="n">
        <f aca="false">'13 PRODUCTIVITY LIBRARY'!E37/'13 PRODUCTIVITY LIBRARY'!D37</f>
        <v>0.0222222222222222</v>
      </c>
      <c r="G1598" s="13" t="n">
        <f aca="false">N(INDEX('06 LABOUR RATE LIBRARY'!$D$5:$D$100,MATCH("LAB-PLB",'06 LABOUR RATE LIBRARY'!$A$5:$A$100,0)))</f>
        <v>2600</v>
      </c>
      <c r="H1598" s="21" t="n">
        <v>0</v>
      </c>
      <c r="I1598" s="18" t="n">
        <f aca="false">F1598*(1+H1598)</f>
        <v>0.0222222222222222</v>
      </c>
      <c r="J1598" s="13" t="n">
        <f aca="false">I1598*G1598</f>
        <v>57.7777777777778</v>
      </c>
      <c r="K1598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599" customFormat="false" ht="15" hidden="false" customHeight="true" outlineLevel="0" collapsed="false">
      <c r="A1599" s="9" t="s">
        <v>432</v>
      </c>
      <c r="B1599" s="9" t="s">
        <v>812</v>
      </c>
      <c r="C1599" s="9" t="s">
        <v>816</v>
      </c>
      <c r="D1599" s="5" t="s">
        <v>1136</v>
      </c>
      <c r="E1599" s="9" t="s">
        <v>815</v>
      </c>
      <c r="F1599" s="18" t="n">
        <f aca="false">'13 PRODUCTIVITY LIBRARY'!F37/'13 PRODUCTIVITY LIBRARY'!D37</f>
        <v>0.0222222222222222</v>
      </c>
      <c r="G1599" s="13" t="n">
        <f aca="false">N(INDEX('06 LABOUR RATE LIBRARY'!$D$5:$D$100,MATCH("LAB-HLP",'06 LABOUR RATE LIBRARY'!$A$5:$A$100,0)))</f>
        <v>1538</v>
      </c>
      <c r="H1599" s="21" t="n">
        <v>0</v>
      </c>
      <c r="I1599" s="18" t="n">
        <f aca="false">F1599*(1+H1599)</f>
        <v>0.0222222222222222</v>
      </c>
      <c r="J1599" s="13" t="n">
        <f aca="false">I1599*G1599</f>
        <v>34.1777777777778</v>
      </c>
      <c r="K159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600" customFormat="false" ht="15" hidden="false" customHeight="true" outlineLevel="0" collapsed="false">
      <c r="D1600" s="22" t="s">
        <v>825</v>
      </c>
      <c r="J1600" s="23" t="n">
        <f aca="false">SUMPRODUCT((B1593:B1599="Material")*F1593:F1599*G1593:G1599)</f>
        <v>151.541260162602</v>
      </c>
    </row>
    <row r="1601" customFormat="false" ht="15" hidden="false" customHeight="true" outlineLevel="0" collapsed="false">
      <c r="D1601" s="22" t="s">
        <v>826</v>
      </c>
      <c r="J1601" s="23" t="n">
        <f aca="false">SUMIF(B1593:B1599,"Material",J1593:J1599)-J1600</f>
        <v>4.9375</v>
      </c>
    </row>
    <row r="1602" customFormat="false" ht="15" hidden="false" customHeight="true" outlineLevel="0" collapsed="false">
      <c r="D1602" s="24" t="s">
        <v>827</v>
      </c>
      <c r="J1602" s="14" t="n">
        <f aca="false">SUMIF(B1593:B1599,"Material",J1593:J1599)</f>
        <v>156.478760162602</v>
      </c>
    </row>
    <row r="1603" customFormat="false" ht="15" hidden="false" customHeight="true" outlineLevel="0" collapsed="false">
      <c r="D1603" s="24" t="s">
        <v>828</v>
      </c>
      <c r="J1603" s="14" t="n">
        <f aca="false">SUMIF(B1593:B1599,"Labour",J1593:J1599)</f>
        <v>91.9555555555556</v>
      </c>
    </row>
    <row r="1604" customFormat="false" ht="15" hidden="false" customHeight="true" outlineLevel="0" collapsed="false">
      <c r="D1604" s="24" t="s">
        <v>829</v>
      </c>
      <c r="J1604" s="14" t="n">
        <f aca="false">SUMIF(B1593:B1599,"Equipment",J1593:J1599)</f>
        <v>0</v>
      </c>
    </row>
    <row r="1605" customFormat="false" ht="15" hidden="false" customHeight="true" outlineLevel="0" collapsed="false">
      <c r="D1605" s="24" t="s">
        <v>830</v>
      </c>
      <c r="J1605" s="14" t="n">
        <f aca="false">SUMIF(B1593:B1599,"Transport",J1593:J1599)</f>
        <v>0</v>
      </c>
    </row>
    <row r="1606" customFormat="false" ht="15" hidden="false" customHeight="true" outlineLevel="0" collapsed="false">
      <c r="D1606" s="24" t="s">
        <v>831</v>
      </c>
      <c r="J1606" s="14" t="n">
        <f aca="false">J1602+J1603+J1604+J1605</f>
        <v>248.434315718157</v>
      </c>
    </row>
    <row r="1607" customFormat="false" ht="15" hidden="false" customHeight="true" outlineLevel="0" collapsed="false">
      <c r="D1607" s="22" t="s">
        <v>832</v>
      </c>
      <c r="J1607" s="23" t="n">
        <f aca="false">J1606*OH_Site</f>
        <v>7.45302947154471</v>
      </c>
    </row>
    <row r="1608" customFormat="false" ht="15" hidden="false" customHeight="true" outlineLevel="0" collapsed="false">
      <c r="D1608" s="22" t="s">
        <v>833</v>
      </c>
      <c r="J1608" s="23" t="n">
        <f aca="false">J1606*OH_HO</f>
        <v>12.4217157859079</v>
      </c>
    </row>
    <row r="1609" customFormat="false" ht="15" hidden="false" customHeight="true" outlineLevel="0" collapsed="false">
      <c r="D1609" s="22" t="s">
        <v>834</v>
      </c>
      <c r="J1609" s="23" t="n">
        <f aca="false">J1606*Profit</f>
        <v>24.8434315718157</v>
      </c>
    </row>
    <row r="1610" customFormat="false" ht="15" hidden="false" customHeight="true" outlineLevel="0" collapsed="false">
      <c r="D1610" s="24" t="s">
        <v>835</v>
      </c>
      <c r="J1610" s="14" t="n">
        <f aca="false">J1606+J1607+J1608+J1609</f>
        <v>293.152492547425</v>
      </c>
    </row>
    <row r="1611" customFormat="false" ht="15" hidden="false" customHeight="true" outlineLevel="0" collapsed="false">
      <c r="D1611" s="22" t="s">
        <v>836</v>
      </c>
      <c r="J1611" s="23" t="n">
        <f aca="false">IF(Tax_On="Yes",J1610*N(Tax_Rate),0)</f>
        <v>0</v>
      </c>
    </row>
    <row r="1612" customFormat="false" ht="15" hidden="false" customHeight="true" outlineLevel="0" collapsed="false">
      <c r="D1612" s="24" t="s">
        <v>1069</v>
      </c>
      <c r="J1612" s="14" t="n">
        <f aca="false">ROUND(J1610+J1611,0)</f>
        <v>293</v>
      </c>
    </row>
    <row r="1613" customFormat="false" ht="15" hidden="false" customHeight="true" outlineLevel="0" collapsed="false">
      <c r="D1613" s="25" t="s">
        <v>838</v>
      </c>
      <c r="J1613" s="26" t="n">
        <f aca="false">COUNTIF(K1593:K1599,"NO RATE")+COUNTIF(K1593:K1599,"OLD RATE")</f>
        <v>1</v>
      </c>
    </row>
    <row r="1615" customFormat="false" ht="39.75" hidden="false" customHeight="true" outlineLevel="0" collapsed="false">
      <c r="A1615" s="4" t="s">
        <v>438</v>
      </c>
      <c r="B1615" s="16" t="s">
        <v>440</v>
      </c>
      <c r="C1615" s="16"/>
      <c r="D1615" s="16"/>
      <c r="E1615" s="16"/>
      <c r="F1615" s="16"/>
      <c r="G1615" s="16"/>
      <c r="H1615" s="16"/>
      <c r="I1615" s="16"/>
      <c r="J1615" s="4" t="s">
        <v>1061</v>
      </c>
      <c r="K1615" s="17"/>
    </row>
    <row r="1616" customFormat="false" ht="21.75" hidden="false" customHeight="true" outlineLevel="0" collapsed="false">
      <c r="A1616" s="12" t="s">
        <v>75</v>
      </c>
      <c r="B1616" s="12" t="s">
        <v>789</v>
      </c>
      <c r="C1616" s="12" t="s">
        <v>790</v>
      </c>
      <c r="D1616" s="12" t="s">
        <v>791</v>
      </c>
      <c r="E1616" s="12" t="s">
        <v>81</v>
      </c>
      <c r="F1616" s="12" t="s">
        <v>792</v>
      </c>
      <c r="G1616" s="12" t="s">
        <v>793</v>
      </c>
      <c r="H1616" s="12" t="s">
        <v>794</v>
      </c>
      <c r="I1616" s="12" t="s">
        <v>795</v>
      </c>
      <c r="J1616" s="12" t="s">
        <v>796</v>
      </c>
      <c r="K1616" s="12" t="s">
        <v>797</v>
      </c>
    </row>
    <row r="1617" customFormat="false" ht="15" hidden="false" customHeight="true" outlineLevel="0" collapsed="false">
      <c r="A1617" s="9" t="s">
        <v>438</v>
      </c>
      <c r="B1617" s="9" t="s">
        <v>798</v>
      </c>
      <c r="C1617" s="9" t="s">
        <v>1137</v>
      </c>
      <c r="D1617" s="5" t="s">
        <v>1138</v>
      </c>
      <c r="E1617" s="9" t="s">
        <v>386</v>
      </c>
      <c r="F1617" s="18" t="n">
        <v>1</v>
      </c>
      <c r="G1617" s="13" t="n">
        <f aca="false">N(INDEX('05 MATERIAL RATE LIBRARY'!$E$5:$E$400,MATCH("MAT-PPR-100",'05 MATERIAL RATE LIBRARY'!$A$5:$A$400,0)))</f>
        <v>145.38</v>
      </c>
      <c r="H1617" s="19" t="n">
        <f aca="false">W_Pipe</f>
        <v>0.05</v>
      </c>
      <c r="I1617" s="18" t="n">
        <f aca="false">F1617*(1+H1617)</f>
        <v>1.05</v>
      </c>
      <c r="J1617" s="13" t="n">
        <f aca="false">I1617*G1617</f>
        <v>152.649</v>
      </c>
      <c r="K1617" s="20" t="str">
        <f aca="false">IF(INDEX('05 MATERIAL RATE LIBRARY'!$M$5:$M$400,MATCH("MAT-PPR-100",'05 MATERIAL RATE LIBRARY'!$A$5:$A$400,0))=1,"",IF(INDEX('05 MATERIAL RATE LIBRARY'!$M$5:$M$400,MATCH("MAT-PPR-100",'05 MATERIAL RATE LIBRARY'!$A$5:$A$400,0))=2,"OLD RATE","NO RATE"))</f>
        <v/>
      </c>
    </row>
    <row r="1618" customFormat="false" ht="15" hidden="false" customHeight="true" outlineLevel="0" collapsed="false">
      <c r="A1618" s="9" t="s">
        <v>438</v>
      </c>
      <c r="B1618" s="9" t="s">
        <v>798</v>
      </c>
      <c r="C1618" s="9" t="s">
        <v>1139</v>
      </c>
      <c r="D1618" s="5" t="s">
        <v>1127</v>
      </c>
      <c r="E1618" s="9" t="s">
        <v>368</v>
      </c>
      <c r="F1618" s="18" t="n">
        <v>0.15</v>
      </c>
      <c r="G1618" s="13" t="n">
        <f aca="false">N(INDEX('05 MATERIAL RATE LIBRARY'!$E$5:$E$400,MATCH("MAT-PPR-100-EL",'05 MATERIAL RATE LIBRARY'!$A$5:$A$400,0)))</f>
        <v>54.5</v>
      </c>
      <c r="H1618" s="21" t="n">
        <v>0</v>
      </c>
      <c r="I1618" s="18" t="n">
        <f aca="false">F1618*(1+H1618)</f>
        <v>0.15</v>
      </c>
      <c r="J1618" s="13" t="n">
        <f aca="false">I1618*G1618</f>
        <v>8.175</v>
      </c>
      <c r="K1618" s="20" t="str">
        <f aca="false">IF(INDEX('05 MATERIAL RATE LIBRARY'!$M$5:$M$400,MATCH("MAT-PPR-100-EL",'05 MATERIAL RATE LIBRARY'!$A$5:$A$400,0))=1,"",IF(INDEX('05 MATERIAL RATE LIBRARY'!$M$5:$M$400,MATCH("MAT-PPR-100-EL",'05 MATERIAL RATE LIBRARY'!$A$5:$A$400,0))=2,"OLD RATE","NO RATE"))</f>
        <v/>
      </c>
    </row>
    <row r="1619" customFormat="false" ht="15" hidden="false" customHeight="true" outlineLevel="0" collapsed="false">
      <c r="A1619" s="9" t="s">
        <v>438</v>
      </c>
      <c r="B1619" s="9" t="s">
        <v>798</v>
      </c>
      <c r="C1619" s="9" t="s">
        <v>1140</v>
      </c>
      <c r="D1619" s="5" t="s">
        <v>1129</v>
      </c>
      <c r="E1619" s="9" t="s">
        <v>368</v>
      </c>
      <c r="F1619" s="18" t="n">
        <f aca="false">1/13.12</f>
        <v>0.076219512195122</v>
      </c>
      <c r="G1619" s="13" t="n">
        <f aca="false">N(INDEX('05 MATERIAL RATE LIBRARY'!$E$5:$E$400,MATCH("MAT-PPR-100-SO",'05 MATERIAL RATE LIBRARY'!$A$5:$A$400,0)))</f>
        <v>38.5</v>
      </c>
      <c r="H1619" s="21" t="n">
        <v>0</v>
      </c>
      <c r="I1619" s="18" t="n">
        <f aca="false">F1619*(1+H1619)</f>
        <v>0.076219512195122</v>
      </c>
      <c r="J1619" s="13" t="n">
        <f aca="false">I1619*G1619</f>
        <v>2.9344512195122</v>
      </c>
      <c r="K1619" s="20" t="str">
        <f aca="false">IF(INDEX('05 MATERIAL RATE LIBRARY'!$M$5:$M$400,MATCH("MAT-PPR-100-SO",'05 MATERIAL RATE LIBRARY'!$A$5:$A$400,0))=1,"",IF(INDEX('05 MATERIAL RATE LIBRARY'!$M$5:$M$400,MATCH("MAT-PPR-100-SO",'05 MATERIAL RATE LIBRARY'!$A$5:$A$400,0))=2,"OLD RATE","NO RATE"))</f>
        <v/>
      </c>
    </row>
    <row r="1620" customFormat="false" ht="15" hidden="false" customHeight="true" outlineLevel="0" collapsed="false">
      <c r="A1620" s="9" t="s">
        <v>438</v>
      </c>
      <c r="B1620" s="9" t="s">
        <v>798</v>
      </c>
      <c r="C1620" s="9" t="s">
        <v>1141</v>
      </c>
      <c r="D1620" s="5" t="s">
        <v>1131</v>
      </c>
      <c r="E1620" s="9" t="s">
        <v>368</v>
      </c>
      <c r="F1620" s="18" t="n">
        <v>0.08</v>
      </c>
      <c r="G1620" s="13" t="n">
        <f aca="false">N(INDEX('05 MATERIAL RATE LIBRARY'!$E$5:$E$400,MATCH("MAT-PPR-100-TE",'05 MATERIAL RATE LIBRARY'!$A$5:$A$400,0)))</f>
        <v>71.5</v>
      </c>
      <c r="H1620" s="21" t="n">
        <v>0</v>
      </c>
      <c r="I1620" s="18" t="n">
        <f aca="false">F1620*(1+H1620)</f>
        <v>0.08</v>
      </c>
      <c r="J1620" s="13" t="n">
        <f aca="false">I1620*G1620</f>
        <v>5.72</v>
      </c>
      <c r="K1620" s="20" t="str">
        <f aca="false">IF(INDEX('05 MATERIAL RATE LIBRARY'!$M$5:$M$400,MATCH("MAT-PPR-100-TE",'05 MATERIAL RATE LIBRARY'!$A$5:$A$400,0))=1,"",IF(INDEX('05 MATERIAL RATE LIBRARY'!$M$5:$M$400,MATCH("MAT-PPR-100-TE",'05 MATERIAL RATE LIBRARY'!$A$5:$A$400,0))=2,"OLD RATE","NO RATE"))</f>
        <v/>
      </c>
    </row>
    <row r="1621" customFormat="false" ht="15" hidden="false" customHeight="true" outlineLevel="0" collapsed="false">
      <c r="A1621" s="9" t="s">
        <v>438</v>
      </c>
      <c r="B1621" s="9" t="s">
        <v>798</v>
      </c>
      <c r="C1621" s="9" t="s">
        <v>1132</v>
      </c>
      <c r="D1621" s="5" t="s">
        <v>1133</v>
      </c>
      <c r="E1621" s="9" t="s">
        <v>368</v>
      </c>
      <c r="F1621" s="18" t="n">
        <f aca="false">1/3</f>
        <v>0.333333333333333</v>
      </c>
      <c r="G1621" s="13" t="n">
        <f aca="false">N(INDEX('05 MATERIAL RATE LIBRARY'!$E$5:$E$400,MATCH("MAT-CLMP",'05 MATERIAL RATE LIBRARY'!$A$5:$A$400,0)))</f>
        <v>123.1</v>
      </c>
      <c r="H1621" s="21" t="n">
        <v>0</v>
      </c>
      <c r="I1621" s="18" t="n">
        <f aca="false">F1621*(1+H1621)</f>
        <v>0.333333333333333</v>
      </c>
      <c r="J1621" s="13" t="n">
        <f aca="false">I1621*G1621</f>
        <v>41.0333333333333</v>
      </c>
      <c r="K1621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622" customFormat="false" ht="15" hidden="false" customHeight="true" outlineLevel="0" collapsed="false">
      <c r="A1622" s="9" t="s">
        <v>438</v>
      </c>
      <c r="B1622" s="9" t="s">
        <v>812</v>
      </c>
      <c r="C1622" s="9" t="s">
        <v>1134</v>
      </c>
      <c r="D1622" s="5" t="s">
        <v>1135</v>
      </c>
      <c r="E1622" s="9" t="s">
        <v>815</v>
      </c>
      <c r="F1622" s="18" t="n">
        <f aca="false">'13 PRODUCTIVITY LIBRARY'!E37/'13 PRODUCTIVITY LIBRARY'!D37</f>
        <v>0.0222222222222222</v>
      </c>
      <c r="G1622" s="13" t="n">
        <f aca="false">N(INDEX('06 LABOUR RATE LIBRARY'!$D$5:$D$100,MATCH("LAB-PLB",'06 LABOUR RATE LIBRARY'!$A$5:$A$100,0)))</f>
        <v>2600</v>
      </c>
      <c r="H1622" s="21" t="n">
        <v>0</v>
      </c>
      <c r="I1622" s="18" t="n">
        <f aca="false">F1622*(1+H1622)</f>
        <v>0.0222222222222222</v>
      </c>
      <c r="J1622" s="13" t="n">
        <f aca="false">I1622*G1622</f>
        <v>57.7777777777778</v>
      </c>
      <c r="K1622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623" customFormat="false" ht="15" hidden="false" customHeight="true" outlineLevel="0" collapsed="false">
      <c r="A1623" s="9" t="s">
        <v>438</v>
      </c>
      <c r="B1623" s="9" t="s">
        <v>812</v>
      </c>
      <c r="C1623" s="9" t="s">
        <v>816</v>
      </c>
      <c r="D1623" s="5" t="s">
        <v>1136</v>
      </c>
      <c r="E1623" s="9" t="s">
        <v>815</v>
      </c>
      <c r="F1623" s="18" t="n">
        <f aca="false">'13 PRODUCTIVITY LIBRARY'!F37/'13 PRODUCTIVITY LIBRARY'!D37</f>
        <v>0.0222222222222222</v>
      </c>
      <c r="G1623" s="13" t="n">
        <f aca="false">N(INDEX('06 LABOUR RATE LIBRARY'!$D$5:$D$100,MATCH("LAB-HLP",'06 LABOUR RATE LIBRARY'!$A$5:$A$100,0)))</f>
        <v>1538</v>
      </c>
      <c r="H1623" s="21" t="n">
        <v>0</v>
      </c>
      <c r="I1623" s="18" t="n">
        <f aca="false">F1623*(1+H1623)</f>
        <v>0.0222222222222222</v>
      </c>
      <c r="J1623" s="13" t="n">
        <f aca="false">I1623*G1623</f>
        <v>34.1777777777778</v>
      </c>
      <c r="K162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624" customFormat="false" ht="15" hidden="false" customHeight="true" outlineLevel="0" collapsed="false">
      <c r="D1624" s="22" t="s">
        <v>825</v>
      </c>
      <c r="J1624" s="23" t="n">
        <f aca="false">SUMPRODUCT((B1617:B1623="Material")*F1617:F1623*G1617:G1623)</f>
        <v>203.242784552846</v>
      </c>
    </row>
    <row r="1625" customFormat="false" ht="15" hidden="false" customHeight="true" outlineLevel="0" collapsed="false">
      <c r="D1625" s="22" t="s">
        <v>826</v>
      </c>
      <c r="J1625" s="23" t="n">
        <f aca="false">SUMIF(B1617:B1623,"Material",J1617:J1623)-J1624</f>
        <v>7.26900000000001</v>
      </c>
    </row>
    <row r="1626" customFormat="false" ht="15" hidden="false" customHeight="true" outlineLevel="0" collapsed="false">
      <c r="D1626" s="24" t="s">
        <v>827</v>
      </c>
      <c r="J1626" s="14" t="n">
        <f aca="false">SUMIF(B1617:B1623,"Material",J1617:J1623)</f>
        <v>210.511784552846</v>
      </c>
    </row>
    <row r="1627" customFormat="false" ht="15" hidden="false" customHeight="true" outlineLevel="0" collapsed="false">
      <c r="D1627" s="24" t="s">
        <v>828</v>
      </c>
      <c r="J1627" s="14" t="n">
        <f aca="false">SUMIF(B1617:B1623,"Labour",J1617:J1623)</f>
        <v>91.9555555555556</v>
      </c>
    </row>
    <row r="1628" customFormat="false" ht="15" hidden="false" customHeight="true" outlineLevel="0" collapsed="false">
      <c r="D1628" s="24" t="s">
        <v>829</v>
      </c>
      <c r="J1628" s="14" t="n">
        <f aca="false">SUMIF(B1617:B1623,"Equipment",J1617:J1623)</f>
        <v>0</v>
      </c>
    </row>
    <row r="1629" customFormat="false" ht="15" hidden="false" customHeight="true" outlineLevel="0" collapsed="false">
      <c r="D1629" s="24" t="s">
        <v>830</v>
      </c>
      <c r="J1629" s="14" t="n">
        <f aca="false">SUMIF(B1617:B1623,"Transport",J1617:J1623)</f>
        <v>0</v>
      </c>
    </row>
    <row r="1630" customFormat="false" ht="15" hidden="false" customHeight="true" outlineLevel="0" collapsed="false">
      <c r="D1630" s="24" t="s">
        <v>831</v>
      </c>
      <c r="J1630" s="14" t="n">
        <f aca="false">J1626+J1627+J1628+J1629</f>
        <v>302.467340108401</v>
      </c>
    </row>
    <row r="1631" customFormat="false" ht="15" hidden="false" customHeight="true" outlineLevel="0" collapsed="false">
      <c r="D1631" s="22" t="s">
        <v>832</v>
      </c>
      <c r="J1631" s="23" t="n">
        <f aca="false">J1630*OH_Site</f>
        <v>9.07402020325203</v>
      </c>
    </row>
    <row r="1632" customFormat="false" ht="15" hidden="false" customHeight="true" outlineLevel="0" collapsed="false">
      <c r="D1632" s="22" t="s">
        <v>833</v>
      </c>
      <c r="J1632" s="23" t="n">
        <f aca="false">J1630*OH_HO</f>
        <v>15.1233670054201</v>
      </c>
    </row>
    <row r="1633" customFormat="false" ht="15" hidden="false" customHeight="true" outlineLevel="0" collapsed="false">
      <c r="D1633" s="22" t="s">
        <v>834</v>
      </c>
      <c r="J1633" s="23" t="n">
        <f aca="false">J1630*Profit</f>
        <v>30.2467340108401</v>
      </c>
    </row>
    <row r="1634" customFormat="false" ht="15" hidden="false" customHeight="true" outlineLevel="0" collapsed="false">
      <c r="D1634" s="24" t="s">
        <v>835</v>
      </c>
      <c r="J1634" s="14" t="n">
        <f aca="false">J1630+J1631+J1632+J1633</f>
        <v>356.911461327913</v>
      </c>
    </row>
    <row r="1635" customFormat="false" ht="15" hidden="false" customHeight="true" outlineLevel="0" collapsed="false">
      <c r="D1635" s="22" t="s">
        <v>836</v>
      </c>
      <c r="J1635" s="23" t="n">
        <f aca="false">IF(Tax_On="Yes",J1634*N(Tax_Rate),0)</f>
        <v>0</v>
      </c>
    </row>
    <row r="1636" customFormat="false" ht="15" hidden="false" customHeight="true" outlineLevel="0" collapsed="false">
      <c r="D1636" s="24" t="s">
        <v>1069</v>
      </c>
      <c r="J1636" s="14" t="n">
        <f aca="false">ROUND(J1634+J1635,0)</f>
        <v>357</v>
      </c>
    </row>
    <row r="1637" customFormat="false" ht="15" hidden="false" customHeight="true" outlineLevel="0" collapsed="false">
      <c r="D1637" s="25" t="s">
        <v>838</v>
      </c>
      <c r="J1637" s="26" t="n">
        <f aca="false">COUNTIF(K1617:K1623,"NO RATE")+COUNTIF(K1617:K1623,"OLD RATE")</f>
        <v>1</v>
      </c>
    </row>
    <row r="1639" customFormat="false" ht="39.75" hidden="false" customHeight="true" outlineLevel="0" collapsed="false">
      <c r="A1639" s="4" t="s">
        <v>441</v>
      </c>
      <c r="B1639" s="16" t="s">
        <v>443</v>
      </c>
      <c r="C1639" s="16"/>
      <c r="D1639" s="16"/>
      <c r="E1639" s="16"/>
      <c r="F1639" s="16"/>
      <c r="G1639" s="16"/>
      <c r="H1639" s="16"/>
      <c r="I1639" s="16"/>
      <c r="J1639" s="4" t="s">
        <v>1061</v>
      </c>
      <c r="K1639" s="17"/>
    </row>
    <row r="1640" customFormat="false" ht="21.75" hidden="false" customHeight="true" outlineLevel="0" collapsed="false">
      <c r="A1640" s="12" t="s">
        <v>75</v>
      </c>
      <c r="B1640" s="12" t="s">
        <v>789</v>
      </c>
      <c r="C1640" s="12" t="s">
        <v>790</v>
      </c>
      <c r="D1640" s="12" t="s">
        <v>791</v>
      </c>
      <c r="E1640" s="12" t="s">
        <v>81</v>
      </c>
      <c r="F1640" s="12" t="s">
        <v>792</v>
      </c>
      <c r="G1640" s="12" t="s">
        <v>793</v>
      </c>
      <c r="H1640" s="12" t="s">
        <v>794</v>
      </c>
      <c r="I1640" s="12" t="s">
        <v>795</v>
      </c>
      <c r="J1640" s="12" t="s">
        <v>796</v>
      </c>
      <c r="K1640" s="12" t="s">
        <v>797</v>
      </c>
    </row>
    <row r="1641" customFormat="false" ht="15" hidden="false" customHeight="true" outlineLevel="0" collapsed="false">
      <c r="A1641" s="9" t="s">
        <v>441</v>
      </c>
      <c r="B1641" s="9" t="s">
        <v>798</v>
      </c>
      <c r="C1641" s="9" t="s">
        <v>1142</v>
      </c>
      <c r="D1641" s="5" t="s">
        <v>1143</v>
      </c>
      <c r="E1641" s="9" t="s">
        <v>386</v>
      </c>
      <c r="F1641" s="18" t="n">
        <v>1</v>
      </c>
      <c r="G1641" s="13" t="n">
        <f aca="false">N(INDEX('05 MATERIAL RATE LIBRARY'!$E$5:$E$400,MATCH("MAT-PPR-125",'05 MATERIAL RATE LIBRARY'!$A$5:$A$400,0)))</f>
        <v>242.61</v>
      </c>
      <c r="H1641" s="19" t="n">
        <f aca="false">W_Pipe</f>
        <v>0.05</v>
      </c>
      <c r="I1641" s="18" t="n">
        <f aca="false">F1641*(1+H1641)</f>
        <v>1.05</v>
      </c>
      <c r="J1641" s="13" t="n">
        <f aca="false">I1641*G1641</f>
        <v>254.7405</v>
      </c>
      <c r="K1641" s="20" t="str">
        <f aca="false">IF(INDEX('05 MATERIAL RATE LIBRARY'!$M$5:$M$400,MATCH("MAT-PPR-125",'05 MATERIAL RATE LIBRARY'!$A$5:$A$400,0))=1,"",IF(INDEX('05 MATERIAL RATE LIBRARY'!$M$5:$M$400,MATCH("MAT-PPR-125",'05 MATERIAL RATE LIBRARY'!$A$5:$A$400,0))=2,"OLD RATE","NO RATE"))</f>
        <v/>
      </c>
    </row>
    <row r="1642" customFormat="false" ht="15" hidden="false" customHeight="true" outlineLevel="0" collapsed="false">
      <c r="A1642" s="9" t="s">
        <v>441</v>
      </c>
      <c r="B1642" s="9" t="s">
        <v>798</v>
      </c>
      <c r="C1642" s="9" t="s">
        <v>1144</v>
      </c>
      <c r="D1642" s="5" t="s">
        <v>1127</v>
      </c>
      <c r="E1642" s="9" t="s">
        <v>368</v>
      </c>
      <c r="F1642" s="18" t="n">
        <v>0.15</v>
      </c>
      <c r="G1642" s="13" t="n">
        <f aca="false">N(INDEX('05 MATERIAL RATE LIBRARY'!$E$5:$E$400,MATCH("MAT-PPR-125-EL",'05 MATERIAL RATE LIBRARY'!$A$5:$A$400,0)))</f>
        <v>93</v>
      </c>
      <c r="H1642" s="21" t="n">
        <v>0</v>
      </c>
      <c r="I1642" s="18" t="n">
        <f aca="false">F1642*(1+H1642)</f>
        <v>0.15</v>
      </c>
      <c r="J1642" s="13" t="n">
        <f aca="false">I1642*G1642</f>
        <v>13.95</v>
      </c>
      <c r="K1642" s="20" t="str">
        <f aca="false">IF(INDEX('05 MATERIAL RATE LIBRARY'!$M$5:$M$400,MATCH("MAT-PPR-125-EL",'05 MATERIAL RATE LIBRARY'!$A$5:$A$400,0))=1,"",IF(INDEX('05 MATERIAL RATE LIBRARY'!$M$5:$M$400,MATCH("MAT-PPR-125-EL",'05 MATERIAL RATE LIBRARY'!$A$5:$A$400,0))=2,"OLD RATE","NO RATE"))</f>
        <v/>
      </c>
    </row>
    <row r="1643" customFormat="false" ht="15" hidden="false" customHeight="true" outlineLevel="0" collapsed="false">
      <c r="A1643" s="9" t="s">
        <v>441</v>
      </c>
      <c r="B1643" s="9" t="s">
        <v>798</v>
      </c>
      <c r="C1643" s="9" t="s">
        <v>1145</v>
      </c>
      <c r="D1643" s="5" t="s">
        <v>1129</v>
      </c>
      <c r="E1643" s="9" t="s">
        <v>368</v>
      </c>
      <c r="F1643" s="18" t="n">
        <f aca="false">1/13.12</f>
        <v>0.076219512195122</v>
      </c>
      <c r="G1643" s="13" t="n">
        <f aca="false">N(INDEX('05 MATERIAL RATE LIBRARY'!$E$5:$E$400,MATCH("MAT-PPR-125-SO",'05 MATERIAL RATE LIBRARY'!$A$5:$A$400,0)))</f>
        <v>64.5</v>
      </c>
      <c r="H1643" s="21" t="n">
        <v>0</v>
      </c>
      <c r="I1643" s="18" t="n">
        <f aca="false">F1643*(1+H1643)</f>
        <v>0.076219512195122</v>
      </c>
      <c r="J1643" s="13" t="n">
        <f aca="false">I1643*G1643</f>
        <v>4.91615853658537</v>
      </c>
      <c r="K1643" s="20" t="str">
        <f aca="false">IF(INDEX('05 MATERIAL RATE LIBRARY'!$M$5:$M$400,MATCH("MAT-PPR-125-SO",'05 MATERIAL RATE LIBRARY'!$A$5:$A$400,0))=1,"",IF(INDEX('05 MATERIAL RATE LIBRARY'!$M$5:$M$400,MATCH("MAT-PPR-125-SO",'05 MATERIAL RATE LIBRARY'!$A$5:$A$400,0))=2,"OLD RATE","NO RATE"))</f>
        <v/>
      </c>
    </row>
    <row r="1644" customFormat="false" ht="15" hidden="false" customHeight="true" outlineLevel="0" collapsed="false">
      <c r="A1644" s="9" t="s">
        <v>441</v>
      </c>
      <c r="B1644" s="9" t="s">
        <v>798</v>
      </c>
      <c r="C1644" s="9" t="s">
        <v>1146</v>
      </c>
      <c r="D1644" s="5" t="s">
        <v>1131</v>
      </c>
      <c r="E1644" s="9" t="s">
        <v>368</v>
      </c>
      <c r="F1644" s="18" t="n">
        <v>0.08</v>
      </c>
      <c r="G1644" s="13" t="n">
        <f aca="false">N(INDEX('05 MATERIAL RATE LIBRARY'!$E$5:$E$400,MATCH("MAT-PPR-125-TE",'05 MATERIAL RATE LIBRARY'!$A$5:$A$400,0)))</f>
        <v>139</v>
      </c>
      <c r="H1644" s="21" t="n">
        <v>0</v>
      </c>
      <c r="I1644" s="18" t="n">
        <f aca="false">F1644*(1+H1644)</f>
        <v>0.08</v>
      </c>
      <c r="J1644" s="13" t="n">
        <f aca="false">I1644*G1644</f>
        <v>11.12</v>
      </c>
      <c r="K1644" s="20" t="str">
        <f aca="false">IF(INDEX('05 MATERIAL RATE LIBRARY'!$M$5:$M$400,MATCH("MAT-PPR-125-TE",'05 MATERIAL RATE LIBRARY'!$A$5:$A$400,0))=1,"",IF(INDEX('05 MATERIAL RATE LIBRARY'!$M$5:$M$400,MATCH("MAT-PPR-125-TE",'05 MATERIAL RATE LIBRARY'!$A$5:$A$400,0))=2,"OLD RATE","NO RATE"))</f>
        <v/>
      </c>
    </row>
    <row r="1645" customFormat="false" ht="15" hidden="false" customHeight="true" outlineLevel="0" collapsed="false">
      <c r="A1645" s="9" t="s">
        <v>441</v>
      </c>
      <c r="B1645" s="9" t="s">
        <v>798</v>
      </c>
      <c r="C1645" s="9" t="s">
        <v>1132</v>
      </c>
      <c r="D1645" s="5" t="s">
        <v>1133</v>
      </c>
      <c r="E1645" s="9" t="s">
        <v>368</v>
      </c>
      <c r="F1645" s="18" t="n">
        <f aca="false">1/3</f>
        <v>0.333333333333333</v>
      </c>
      <c r="G1645" s="13" t="n">
        <f aca="false">N(INDEX('05 MATERIAL RATE LIBRARY'!$E$5:$E$400,MATCH("MAT-CLMP",'05 MATERIAL RATE LIBRARY'!$A$5:$A$400,0)))</f>
        <v>123.1</v>
      </c>
      <c r="H1645" s="21" t="n">
        <v>0</v>
      </c>
      <c r="I1645" s="18" t="n">
        <f aca="false">F1645*(1+H1645)</f>
        <v>0.333333333333333</v>
      </c>
      <c r="J1645" s="13" t="n">
        <f aca="false">I1645*G1645</f>
        <v>41.0333333333333</v>
      </c>
      <c r="K1645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646" customFormat="false" ht="15" hidden="false" customHeight="true" outlineLevel="0" collapsed="false">
      <c r="A1646" s="9" t="s">
        <v>441</v>
      </c>
      <c r="B1646" s="9" t="s">
        <v>812</v>
      </c>
      <c r="C1646" s="9" t="s">
        <v>1134</v>
      </c>
      <c r="D1646" s="5" t="s">
        <v>1135</v>
      </c>
      <c r="E1646" s="9" t="s">
        <v>815</v>
      </c>
      <c r="F1646" s="18" t="n">
        <f aca="false">'13 PRODUCTIVITY LIBRARY'!E37/'13 PRODUCTIVITY LIBRARY'!D37</f>
        <v>0.0222222222222222</v>
      </c>
      <c r="G1646" s="13" t="n">
        <f aca="false">N(INDEX('06 LABOUR RATE LIBRARY'!$D$5:$D$100,MATCH("LAB-PLB",'06 LABOUR RATE LIBRARY'!$A$5:$A$100,0)))</f>
        <v>2600</v>
      </c>
      <c r="H1646" s="21" t="n">
        <v>0</v>
      </c>
      <c r="I1646" s="18" t="n">
        <f aca="false">F1646*(1+H1646)</f>
        <v>0.0222222222222222</v>
      </c>
      <c r="J1646" s="13" t="n">
        <f aca="false">I1646*G1646</f>
        <v>57.7777777777778</v>
      </c>
      <c r="K1646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647" customFormat="false" ht="15" hidden="false" customHeight="true" outlineLevel="0" collapsed="false">
      <c r="A1647" s="9" t="s">
        <v>441</v>
      </c>
      <c r="B1647" s="9" t="s">
        <v>812</v>
      </c>
      <c r="C1647" s="9" t="s">
        <v>816</v>
      </c>
      <c r="D1647" s="5" t="s">
        <v>1136</v>
      </c>
      <c r="E1647" s="9" t="s">
        <v>815</v>
      </c>
      <c r="F1647" s="18" t="n">
        <f aca="false">'13 PRODUCTIVITY LIBRARY'!F37/'13 PRODUCTIVITY LIBRARY'!D37</f>
        <v>0.0222222222222222</v>
      </c>
      <c r="G1647" s="13" t="n">
        <f aca="false">N(INDEX('06 LABOUR RATE LIBRARY'!$D$5:$D$100,MATCH("LAB-HLP",'06 LABOUR RATE LIBRARY'!$A$5:$A$100,0)))</f>
        <v>1538</v>
      </c>
      <c r="H1647" s="21" t="n">
        <v>0</v>
      </c>
      <c r="I1647" s="18" t="n">
        <f aca="false">F1647*(1+H1647)</f>
        <v>0.0222222222222222</v>
      </c>
      <c r="J1647" s="13" t="n">
        <f aca="false">I1647*G1647</f>
        <v>34.1777777777778</v>
      </c>
      <c r="K164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648" customFormat="false" ht="15" hidden="false" customHeight="true" outlineLevel="0" collapsed="false">
      <c r="D1648" s="22" t="s">
        <v>825</v>
      </c>
      <c r="J1648" s="23" t="n">
        <f aca="false">SUMPRODUCT((B1641:B1647="Material")*F1641:F1647*G1641:G1647)</f>
        <v>313.629491869919</v>
      </c>
    </row>
    <row r="1649" customFormat="false" ht="15" hidden="false" customHeight="true" outlineLevel="0" collapsed="false">
      <c r="D1649" s="22" t="s">
        <v>826</v>
      </c>
      <c r="J1649" s="23" t="n">
        <f aca="false">SUMIF(B1641:B1647,"Material",J1641:J1647)-J1648</f>
        <v>12.1305</v>
      </c>
    </row>
    <row r="1650" customFormat="false" ht="15" hidden="false" customHeight="true" outlineLevel="0" collapsed="false">
      <c r="D1650" s="24" t="s">
        <v>827</v>
      </c>
      <c r="J1650" s="14" t="n">
        <f aca="false">SUMIF(B1641:B1647,"Material",J1641:J1647)</f>
        <v>325.759991869919</v>
      </c>
    </row>
    <row r="1651" customFormat="false" ht="15" hidden="false" customHeight="true" outlineLevel="0" collapsed="false">
      <c r="D1651" s="24" t="s">
        <v>828</v>
      </c>
      <c r="J1651" s="14" t="n">
        <f aca="false">SUMIF(B1641:B1647,"Labour",J1641:J1647)</f>
        <v>91.9555555555556</v>
      </c>
    </row>
    <row r="1652" customFormat="false" ht="15" hidden="false" customHeight="true" outlineLevel="0" collapsed="false">
      <c r="D1652" s="24" t="s">
        <v>829</v>
      </c>
      <c r="J1652" s="14" t="n">
        <f aca="false">SUMIF(B1641:B1647,"Equipment",J1641:J1647)</f>
        <v>0</v>
      </c>
    </row>
    <row r="1653" customFormat="false" ht="15" hidden="false" customHeight="true" outlineLevel="0" collapsed="false">
      <c r="D1653" s="24" t="s">
        <v>830</v>
      </c>
      <c r="J1653" s="14" t="n">
        <f aca="false">SUMIF(B1641:B1647,"Transport",J1641:J1647)</f>
        <v>0</v>
      </c>
    </row>
    <row r="1654" customFormat="false" ht="15" hidden="false" customHeight="true" outlineLevel="0" collapsed="false">
      <c r="D1654" s="24" t="s">
        <v>831</v>
      </c>
      <c r="J1654" s="14" t="n">
        <f aca="false">J1650+J1651+J1652+J1653</f>
        <v>417.715547425474</v>
      </c>
    </row>
    <row r="1655" customFormat="false" ht="15" hidden="false" customHeight="true" outlineLevel="0" collapsed="false">
      <c r="D1655" s="22" t="s">
        <v>832</v>
      </c>
      <c r="J1655" s="23" t="n">
        <f aca="false">J1654*OH_Site</f>
        <v>12.5314664227642</v>
      </c>
    </row>
    <row r="1656" customFormat="false" ht="15" hidden="false" customHeight="true" outlineLevel="0" collapsed="false">
      <c r="D1656" s="22" t="s">
        <v>833</v>
      </c>
      <c r="J1656" s="23" t="n">
        <f aca="false">J1654*OH_HO</f>
        <v>20.8857773712737</v>
      </c>
    </row>
    <row r="1657" customFormat="false" ht="15" hidden="false" customHeight="true" outlineLevel="0" collapsed="false">
      <c r="D1657" s="22" t="s">
        <v>834</v>
      </c>
      <c r="J1657" s="23" t="n">
        <f aca="false">J1654*Profit</f>
        <v>41.7715547425474</v>
      </c>
    </row>
    <row r="1658" customFormat="false" ht="15" hidden="false" customHeight="true" outlineLevel="0" collapsed="false">
      <c r="D1658" s="24" t="s">
        <v>835</v>
      </c>
      <c r="J1658" s="14" t="n">
        <f aca="false">J1654+J1655+J1656+J1657</f>
        <v>492.90434596206</v>
      </c>
    </row>
    <row r="1659" customFormat="false" ht="15" hidden="false" customHeight="true" outlineLevel="0" collapsed="false">
      <c r="D1659" s="22" t="s">
        <v>836</v>
      </c>
      <c r="J1659" s="23" t="n">
        <f aca="false">IF(Tax_On="Yes",J1658*N(Tax_Rate),0)</f>
        <v>0</v>
      </c>
    </row>
    <row r="1660" customFormat="false" ht="15" hidden="false" customHeight="true" outlineLevel="0" collapsed="false">
      <c r="D1660" s="24" t="s">
        <v>1069</v>
      </c>
      <c r="J1660" s="14" t="n">
        <f aca="false">ROUND(J1658+J1659,0)</f>
        <v>493</v>
      </c>
    </row>
    <row r="1661" customFormat="false" ht="15" hidden="false" customHeight="true" outlineLevel="0" collapsed="false">
      <c r="D1661" s="25" t="s">
        <v>838</v>
      </c>
      <c r="J1661" s="26" t="n">
        <f aca="false">COUNTIF(K1641:K1647,"NO RATE")+COUNTIF(K1641:K1647,"OLD RATE")</f>
        <v>1</v>
      </c>
    </row>
    <row r="1663" customFormat="false" ht="39.75" hidden="false" customHeight="true" outlineLevel="0" collapsed="false">
      <c r="A1663" s="4" t="s">
        <v>444</v>
      </c>
      <c r="B1663" s="16" t="s">
        <v>446</v>
      </c>
      <c r="C1663" s="16"/>
      <c r="D1663" s="16"/>
      <c r="E1663" s="16"/>
      <c r="F1663" s="16"/>
      <c r="G1663" s="16"/>
      <c r="H1663" s="16"/>
      <c r="I1663" s="16"/>
      <c r="J1663" s="4" t="s">
        <v>1061</v>
      </c>
      <c r="K1663" s="17"/>
    </row>
    <row r="1664" customFormat="false" ht="21.75" hidden="false" customHeight="true" outlineLevel="0" collapsed="false">
      <c r="A1664" s="12" t="s">
        <v>75</v>
      </c>
      <c r="B1664" s="12" t="s">
        <v>789</v>
      </c>
      <c r="C1664" s="12" t="s">
        <v>790</v>
      </c>
      <c r="D1664" s="12" t="s">
        <v>791</v>
      </c>
      <c r="E1664" s="12" t="s">
        <v>81</v>
      </c>
      <c r="F1664" s="12" t="s">
        <v>792</v>
      </c>
      <c r="G1664" s="12" t="s">
        <v>793</v>
      </c>
      <c r="H1664" s="12" t="s">
        <v>794</v>
      </c>
      <c r="I1664" s="12" t="s">
        <v>795</v>
      </c>
      <c r="J1664" s="12" t="s">
        <v>796</v>
      </c>
      <c r="K1664" s="12" t="s">
        <v>797</v>
      </c>
    </row>
    <row r="1665" customFormat="false" ht="15" hidden="false" customHeight="true" outlineLevel="0" collapsed="false">
      <c r="A1665" s="9" t="s">
        <v>444</v>
      </c>
      <c r="B1665" s="9" t="s">
        <v>798</v>
      </c>
      <c r="C1665" s="9" t="s">
        <v>1147</v>
      </c>
      <c r="D1665" s="5" t="s">
        <v>1148</v>
      </c>
      <c r="E1665" s="9" t="s">
        <v>386</v>
      </c>
      <c r="F1665" s="18" t="n">
        <v>1</v>
      </c>
      <c r="G1665" s="13" t="n">
        <f aca="false">N(INDEX('05 MATERIAL RATE LIBRARY'!$E$5:$E$400,MATCH("MAT-PPR-150",'05 MATERIAL RATE LIBRARY'!$A$5:$A$400,0)))</f>
        <v>366.96</v>
      </c>
      <c r="H1665" s="19" t="n">
        <f aca="false">W_Pipe</f>
        <v>0.05</v>
      </c>
      <c r="I1665" s="18" t="n">
        <f aca="false">F1665*(1+H1665)</f>
        <v>1.05</v>
      </c>
      <c r="J1665" s="13" t="n">
        <f aca="false">I1665*G1665</f>
        <v>385.308</v>
      </c>
      <c r="K1665" s="20" t="str">
        <f aca="false">IF(INDEX('05 MATERIAL RATE LIBRARY'!$M$5:$M$400,MATCH("MAT-PPR-150",'05 MATERIAL RATE LIBRARY'!$A$5:$A$400,0))=1,"",IF(INDEX('05 MATERIAL RATE LIBRARY'!$M$5:$M$400,MATCH("MAT-PPR-150",'05 MATERIAL RATE LIBRARY'!$A$5:$A$400,0))=2,"OLD RATE","NO RATE"))</f>
        <v/>
      </c>
    </row>
    <row r="1666" customFormat="false" ht="15" hidden="false" customHeight="true" outlineLevel="0" collapsed="false">
      <c r="A1666" s="9" t="s">
        <v>444</v>
      </c>
      <c r="B1666" s="9" t="s">
        <v>798</v>
      </c>
      <c r="C1666" s="9" t="s">
        <v>1149</v>
      </c>
      <c r="D1666" s="5" t="s">
        <v>1127</v>
      </c>
      <c r="E1666" s="9" t="s">
        <v>368</v>
      </c>
      <c r="F1666" s="18" t="n">
        <v>0.15</v>
      </c>
      <c r="G1666" s="13" t="n">
        <f aca="false">N(INDEX('05 MATERIAL RATE LIBRARY'!$E$5:$E$400,MATCH("MAT-PPR-150-EL",'05 MATERIAL RATE LIBRARY'!$A$5:$A$400,0)))</f>
        <v>160</v>
      </c>
      <c r="H1666" s="21" t="n">
        <v>0</v>
      </c>
      <c r="I1666" s="18" t="n">
        <f aca="false">F1666*(1+H1666)</f>
        <v>0.15</v>
      </c>
      <c r="J1666" s="13" t="n">
        <f aca="false">I1666*G1666</f>
        <v>24</v>
      </c>
      <c r="K1666" s="20" t="str">
        <f aca="false">IF(INDEX('05 MATERIAL RATE LIBRARY'!$M$5:$M$400,MATCH("MAT-PPR-150-EL",'05 MATERIAL RATE LIBRARY'!$A$5:$A$400,0))=1,"",IF(INDEX('05 MATERIAL RATE LIBRARY'!$M$5:$M$400,MATCH("MAT-PPR-150-EL",'05 MATERIAL RATE LIBRARY'!$A$5:$A$400,0))=2,"OLD RATE","NO RATE"))</f>
        <v/>
      </c>
    </row>
    <row r="1667" customFormat="false" ht="15" hidden="false" customHeight="true" outlineLevel="0" collapsed="false">
      <c r="A1667" s="9" t="s">
        <v>444</v>
      </c>
      <c r="B1667" s="9" t="s">
        <v>798</v>
      </c>
      <c r="C1667" s="9" t="s">
        <v>1150</v>
      </c>
      <c r="D1667" s="5" t="s">
        <v>1129</v>
      </c>
      <c r="E1667" s="9" t="s">
        <v>368</v>
      </c>
      <c r="F1667" s="18" t="n">
        <f aca="false">1/13.12</f>
        <v>0.076219512195122</v>
      </c>
      <c r="G1667" s="13" t="n">
        <f aca="false">N(INDEX('05 MATERIAL RATE LIBRARY'!$E$5:$E$400,MATCH("MAT-PPR-150-SO",'05 MATERIAL RATE LIBRARY'!$A$5:$A$400,0)))</f>
        <v>111</v>
      </c>
      <c r="H1667" s="21" t="n">
        <v>0</v>
      </c>
      <c r="I1667" s="18" t="n">
        <f aca="false">F1667*(1+H1667)</f>
        <v>0.076219512195122</v>
      </c>
      <c r="J1667" s="13" t="n">
        <f aca="false">I1667*G1667</f>
        <v>8.46036585365854</v>
      </c>
      <c r="K1667" s="20" t="str">
        <f aca="false">IF(INDEX('05 MATERIAL RATE LIBRARY'!$M$5:$M$400,MATCH("MAT-PPR-150-SO",'05 MATERIAL RATE LIBRARY'!$A$5:$A$400,0))=1,"",IF(INDEX('05 MATERIAL RATE LIBRARY'!$M$5:$M$400,MATCH("MAT-PPR-150-SO",'05 MATERIAL RATE LIBRARY'!$A$5:$A$400,0))=2,"OLD RATE","NO RATE"))</f>
        <v/>
      </c>
    </row>
    <row r="1668" customFormat="false" ht="15" hidden="false" customHeight="true" outlineLevel="0" collapsed="false">
      <c r="A1668" s="9" t="s">
        <v>444</v>
      </c>
      <c r="B1668" s="9" t="s">
        <v>798</v>
      </c>
      <c r="C1668" s="9" t="s">
        <v>1151</v>
      </c>
      <c r="D1668" s="5" t="s">
        <v>1131</v>
      </c>
      <c r="E1668" s="9" t="s">
        <v>368</v>
      </c>
      <c r="F1668" s="18" t="n">
        <v>0.08</v>
      </c>
      <c r="G1668" s="13" t="n">
        <f aca="false">N(INDEX('05 MATERIAL RATE LIBRARY'!$E$5:$E$400,MATCH("MAT-PPR-150-TE",'05 MATERIAL RATE LIBRARY'!$A$5:$A$400,0)))</f>
        <v>203</v>
      </c>
      <c r="H1668" s="21" t="n">
        <v>0</v>
      </c>
      <c r="I1668" s="18" t="n">
        <f aca="false">F1668*(1+H1668)</f>
        <v>0.08</v>
      </c>
      <c r="J1668" s="13" t="n">
        <f aca="false">I1668*G1668</f>
        <v>16.24</v>
      </c>
      <c r="K1668" s="20" t="str">
        <f aca="false">IF(INDEX('05 MATERIAL RATE LIBRARY'!$M$5:$M$400,MATCH("MAT-PPR-150-TE",'05 MATERIAL RATE LIBRARY'!$A$5:$A$400,0))=1,"",IF(INDEX('05 MATERIAL RATE LIBRARY'!$M$5:$M$400,MATCH("MAT-PPR-150-TE",'05 MATERIAL RATE LIBRARY'!$A$5:$A$400,0))=2,"OLD RATE","NO RATE"))</f>
        <v/>
      </c>
    </row>
    <row r="1669" customFormat="false" ht="15" hidden="false" customHeight="true" outlineLevel="0" collapsed="false">
      <c r="A1669" s="9" t="s">
        <v>444</v>
      </c>
      <c r="B1669" s="9" t="s">
        <v>798</v>
      </c>
      <c r="C1669" s="9" t="s">
        <v>1132</v>
      </c>
      <c r="D1669" s="5" t="s">
        <v>1133</v>
      </c>
      <c r="E1669" s="9" t="s">
        <v>368</v>
      </c>
      <c r="F1669" s="18" t="n">
        <f aca="false">1/3</f>
        <v>0.333333333333333</v>
      </c>
      <c r="G1669" s="13" t="n">
        <f aca="false">N(INDEX('05 MATERIAL RATE LIBRARY'!$E$5:$E$400,MATCH("MAT-CLMP",'05 MATERIAL RATE LIBRARY'!$A$5:$A$400,0)))</f>
        <v>123.1</v>
      </c>
      <c r="H1669" s="21" t="n">
        <v>0</v>
      </c>
      <c r="I1669" s="18" t="n">
        <f aca="false">F1669*(1+H1669)</f>
        <v>0.333333333333333</v>
      </c>
      <c r="J1669" s="13" t="n">
        <f aca="false">I1669*G1669</f>
        <v>41.0333333333333</v>
      </c>
      <c r="K1669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670" customFormat="false" ht="15" hidden="false" customHeight="true" outlineLevel="0" collapsed="false">
      <c r="A1670" s="9" t="s">
        <v>444</v>
      </c>
      <c r="B1670" s="9" t="s">
        <v>812</v>
      </c>
      <c r="C1670" s="9" t="s">
        <v>1134</v>
      </c>
      <c r="D1670" s="5" t="s">
        <v>1152</v>
      </c>
      <c r="E1670" s="9" t="s">
        <v>815</v>
      </c>
      <c r="F1670" s="18" t="n">
        <f aca="false">'13 PRODUCTIVITY LIBRARY'!E38/'13 PRODUCTIVITY LIBRARY'!D38</f>
        <v>0.0285714285714286</v>
      </c>
      <c r="G1670" s="13" t="n">
        <f aca="false">N(INDEX('06 LABOUR RATE LIBRARY'!$D$5:$D$100,MATCH("LAB-PLB",'06 LABOUR RATE LIBRARY'!$A$5:$A$100,0)))</f>
        <v>2600</v>
      </c>
      <c r="H1670" s="21" t="n">
        <v>0</v>
      </c>
      <c r="I1670" s="18" t="n">
        <f aca="false">F1670*(1+H1670)</f>
        <v>0.0285714285714286</v>
      </c>
      <c r="J1670" s="13" t="n">
        <f aca="false">I1670*G1670</f>
        <v>74.2857142857143</v>
      </c>
      <c r="K1670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671" customFormat="false" ht="15" hidden="false" customHeight="true" outlineLevel="0" collapsed="false">
      <c r="A1671" s="9" t="s">
        <v>444</v>
      </c>
      <c r="B1671" s="9" t="s">
        <v>812</v>
      </c>
      <c r="C1671" s="9" t="s">
        <v>816</v>
      </c>
      <c r="D1671" s="5" t="s">
        <v>1153</v>
      </c>
      <c r="E1671" s="9" t="s">
        <v>815</v>
      </c>
      <c r="F1671" s="18" t="n">
        <f aca="false">'13 PRODUCTIVITY LIBRARY'!F38/'13 PRODUCTIVITY LIBRARY'!D38</f>
        <v>0.0285714285714286</v>
      </c>
      <c r="G1671" s="13" t="n">
        <f aca="false">N(INDEX('06 LABOUR RATE LIBRARY'!$D$5:$D$100,MATCH("LAB-HLP",'06 LABOUR RATE LIBRARY'!$A$5:$A$100,0)))</f>
        <v>1538</v>
      </c>
      <c r="H1671" s="21" t="n">
        <v>0</v>
      </c>
      <c r="I1671" s="18" t="n">
        <f aca="false">F1671*(1+H1671)</f>
        <v>0.0285714285714286</v>
      </c>
      <c r="J1671" s="13" t="n">
        <f aca="false">I1671*G1671</f>
        <v>43.9428571428571</v>
      </c>
      <c r="K167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672" customFormat="false" ht="15" hidden="false" customHeight="true" outlineLevel="0" collapsed="false">
      <c r="D1672" s="22" t="s">
        <v>825</v>
      </c>
      <c r="J1672" s="23" t="n">
        <f aca="false">SUMPRODUCT((B1665:B1671="Material")*F1665:F1671*G1665:G1671)</f>
        <v>456.693699186992</v>
      </c>
    </row>
    <row r="1673" customFormat="false" ht="15" hidden="false" customHeight="true" outlineLevel="0" collapsed="false">
      <c r="D1673" s="22" t="s">
        <v>826</v>
      </c>
      <c r="J1673" s="23" t="n">
        <f aca="false">SUMIF(B1665:B1671,"Material",J1665:J1671)-J1672</f>
        <v>18.348</v>
      </c>
    </row>
    <row r="1674" customFormat="false" ht="15" hidden="false" customHeight="true" outlineLevel="0" collapsed="false">
      <c r="D1674" s="24" t="s">
        <v>827</v>
      </c>
      <c r="J1674" s="14" t="n">
        <f aca="false">SUMIF(B1665:B1671,"Material",J1665:J1671)</f>
        <v>475.041699186992</v>
      </c>
    </row>
    <row r="1675" customFormat="false" ht="15" hidden="false" customHeight="true" outlineLevel="0" collapsed="false">
      <c r="D1675" s="24" t="s">
        <v>828</v>
      </c>
      <c r="J1675" s="14" t="n">
        <f aca="false">SUMIF(B1665:B1671,"Labour",J1665:J1671)</f>
        <v>118.228571428571</v>
      </c>
    </row>
    <row r="1676" customFormat="false" ht="15" hidden="false" customHeight="true" outlineLevel="0" collapsed="false">
      <c r="D1676" s="24" t="s">
        <v>829</v>
      </c>
      <c r="J1676" s="14" t="n">
        <f aca="false">SUMIF(B1665:B1671,"Equipment",J1665:J1671)</f>
        <v>0</v>
      </c>
    </row>
    <row r="1677" customFormat="false" ht="15" hidden="false" customHeight="true" outlineLevel="0" collapsed="false">
      <c r="D1677" s="24" t="s">
        <v>830</v>
      </c>
      <c r="J1677" s="14" t="n">
        <f aca="false">SUMIF(B1665:B1671,"Transport",J1665:J1671)</f>
        <v>0</v>
      </c>
    </row>
    <row r="1678" customFormat="false" ht="15" hidden="false" customHeight="true" outlineLevel="0" collapsed="false">
      <c r="D1678" s="24" t="s">
        <v>831</v>
      </c>
      <c r="J1678" s="14" t="n">
        <f aca="false">J1674+J1675+J1676+J1677</f>
        <v>593.270270615563</v>
      </c>
    </row>
    <row r="1679" customFormat="false" ht="15" hidden="false" customHeight="true" outlineLevel="0" collapsed="false">
      <c r="D1679" s="22" t="s">
        <v>832</v>
      </c>
      <c r="J1679" s="23" t="n">
        <f aca="false">J1678*OH_Site</f>
        <v>17.7981081184669</v>
      </c>
    </row>
    <row r="1680" customFormat="false" ht="15" hidden="false" customHeight="true" outlineLevel="0" collapsed="false">
      <c r="D1680" s="22" t="s">
        <v>833</v>
      </c>
      <c r="J1680" s="23" t="n">
        <f aca="false">J1678*OH_HO</f>
        <v>29.6635135307782</v>
      </c>
    </row>
    <row r="1681" customFormat="false" ht="15" hidden="false" customHeight="true" outlineLevel="0" collapsed="false">
      <c r="D1681" s="22" t="s">
        <v>834</v>
      </c>
      <c r="J1681" s="23" t="n">
        <f aca="false">J1678*Profit</f>
        <v>59.3270270615563</v>
      </c>
    </row>
    <row r="1682" customFormat="false" ht="15" hidden="false" customHeight="true" outlineLevel="0" collapsed="false">
      <c r="D1682" s="24" t="s">
        <v>835</v>
      </c>
      <c r="J1682" s="14" t="n">
        <f aca="false">J1678+J1679+J1680+J1681</f>
        <v>700.058919326365</v>
      </c>
    </row>
    <row r="1683" customFormat="false" ht="15" hidden="false" customHeight="true" outlineLevel="0" collapsed="false">
      <c r="D1683" s="22" t="s">
        <v>836</v>
      </c>
      <c r="J1683" s="23" t="n">
        <f aca="false">IF(Tax_On="Yes",J1682*N(Tax_Rate),0)</f>
        <v>0</v>
      </c>
    </row>
    <row r="1684" customFormat="false" ht="15" hidden="false" customHeight="true" outlineLevel="0" collapsed="false">
      <c r="D1684" s="24" t="s">
        <v>1069</v>
      </c>
      <c r="J1684" s="14" t="n">
        <f aca="false">ROUND(J1682+J1683,0)</f>
        <v>700</v>
      </c>
    </row>
    <row r="1685" customFormat="false" ht="15" hidden="false" customHeight="true" outlineLevel="0" collapsed="false">
      <c r="D1685" s="25" t="s">
        <v>838</v>
      </c>
      <c r="J1685" s="26" t="n">
        <f aca="false">COUNTIF(K1665:K1671,"NO RATE")+COUNTIF(K1665:K1671,"OLD RATE")</f>
        <v>1</v>
      </c>
    </row>
    <row r="1687" customFormat="false" ht="39.75" hidden="false" customHeight="true" outlineLevel="0" collapsed="false">
      <c r="A1687" s="4" t="s">
        <v>447</v>
      </c>
      <c r="B1687" s="16" t="s">
        <v>449</v>
      </c>
      <c r="C1687" s="16"/>
      <c r="D1687" s="16"/>
      <c r="E1687" s="16"/>
      <c r="F1687" s="16"/>
      <c r="G1687" s="16"/>
      <c r="H1687" s="16"/>
      <c r="I1687" s="16"/>
      <c r="J1687" s="4" t="s">
        <v>1061</v>
      </c>
      <c r="K1687" s="17"/>
    </row>
    <row r="1688" customFormat="false" ht="21.75" hidden="false" customHeight="true" outlineLevel="0" collapsed="false">
      <c r="A1688" s="12" t="s">
        <v>75</v>
      </c>
      <c r="B1688" s="12" t="s">
        <v>789</v>
      </c>
      <c r="C1688" s="12" t="s">
        <v>790</v>
      </c>
      <c r="D1688" s="12" t="s">
        <v>791</v>
      </c>
      <c r="E1688" s="12" t="s">
        <v>81</v>
      </c>
      <c r="F1688" s="12" t="s">
        <v>792</v>
      </c>
      <c r="G1688" s="12" t="s">
        <v>793</v>
      </c>
      <c r="H1688" s="12" t="s">
        <v>794</v>
      </c>
      <c r="I1688" s="12" t="s">
        <v>795</v>
      </c>
      <c r="J1688" s="12" t="s">
        <v>796</v>
      </c>
      <c r="K1688" s="12" t="s">
        <v>797</v>
      </c>
    </row>
    <row r="1689" customFormat="false" ht="15" hidden="false" customHeight="true" outlineLevel="0" collapsed="false">
      <c r="A1689" s="9" t="s">
        <v>447</v>
      </c>
      <c r="B1689" s="9" t="s">
        <v>798</v>
      </c>
      <c r="C1689" s="9" t="s">
        <v>1154</v>
      </c>
      <c r="D1689" s="5" t="s">
        <v>1155</v>
      </c>
      <c r="E1689" s="9" t="s">
        <v>386</v>
      </c>
      <c r="F1689" s="18" t="n">
        <v>1</v>
      </c>
      <c r="G1689" s="13" t="n">
        <f aca="false">N(INDEX('05 MATERIAL RATE LIBRARY'!$E$5:$E$400,MATCH("MAT-PPR-175",'05 MATERIAL RATE LIBRARY'!$A$5:$A$400,0)))</f>
        <v>583.05</v>
      </c>
      <c r="H1689" s="19" t="n">
        <f aca="false">W_Pipe</f>
        <v>0.05</v>
      </c>
      <c r="I1689" s="18" t="n">
        <f aca="false">F1689*(1+H1689)</f>
        <v>1.05</v>
      </c>
      <c r="J1689" s="13" t="n">
        <f aca="false">I1689*G1689</f>
        <v>612.2025</v>
      </c>
      <c r="K1689" s="20" t="str">
        <f aca="false">IF(INDEX('05 MATERIAL RATE LIBRARY'!$M$5:$M$400,MATCH("MAT-PPR-175",'05 MATERIAL RATE LIBRARY'!$A$5:$A$400,0))=1,"",IF(INDEX('05 MATERIAL RATE LIBRARY'!$M$5:$M$400,MATCH("MAT-PPR-175",'05 MATERIAL RATE LIBRARY'!$A$5:$A$400,0))=2,"OLD RATE","NO RATE"))</f>
        <v/>
      </c>
    </row>
    <row r="1690" customFormat="false" ht="15" hidden="false" customHeight="true" outlineLevel="0" collapsed="false">
      <c r="A1690" s="9" t="s">
        <v>447</v>
      </c>
      <c r="B1690" s="9" t="s">
        <v>798</v>
      </c>
      <c r="C1690" s="9" t="s">
        <v>1156</v>
      </c>
      <c r="D1690" s="5" t="s">
        <v>1127</v>
      </c>
      <c r="E1690" s="9" t="s">
        <v>368</v>
      </c>
      <c r="F1690" s="18" t="n">
        <v>0.15</v>
      </c>
      <c r="G1690" s="13" t="n">
        <f aca="false">N(INDEX('05 MATERIAL RATE LIBRARY'!$E$5:$E$400,MATCH("MAT-PPR-175-EL",'05 MATERIAL RATE LIBRARY'!$A$5:$A$400,0)))</f>
        <v>361</v>
      </c>
      <c r="H1690" s="21" t="n">
        <v>0</v>
      </c>
      <c r="I1690" s="18" t="n">
        <f aca="false">F1690*(1+H1690)</f>
        <v>0.15</v>
      </c>
      <c r="J1690" s="13" t="n">
        <f aca="false">I1690*G1690</f>
        <v>54.15</v>
      </c>
      <c r="K1690" s="20" t="str">
        <f aca="false">IF(INDEX('05 MATERIAL RATE LIBRARY'!$M$5:$M$400,MATCH("MAT-PPR-175-EL",'05 MATERIAL RATE LIBRARY'!$A$5:$A$400,0))=1,"",IF(INDEX('05 MATERIAL RATE LIBRARY'!$M$5:$M$400,MATCH("MAT-PPR-175-EL",'05 MATERIAL RATE LIBRARY'!$A$5:$A$400,0))=2,"OLD RATE","NO RATE"))</f>
        <v/>
      </c>
    </row>
    <row r="1691" customFormat="false" ht="15" hidden="false" customHeight="true" outlineLevel="0" collapsed="false">
      <c r="A1691" s="9" t="s">
        <v>447</v>
      </c>
      <c r="B1691" s="9" t="s">
        <v>798</v>
      </c>
      <c r="C1691" s="9" t="s">
        <v>1157</v>
      </c>
      <c r="D1691" s="5" t="s">
        <v>1129</v>
      </c>
      <c r="E1691" s="9" t="s">
        <v>368</v>
      </c>
      <c r="F1691" s="18" t="n">
        <f aca="false">1/13.12</f>
        <v>0.076219512195122</v>
      </c>
      <c r="G1691" s="13" t="n">
        <f aca="false">N(INDEX('05 MATERIAL RATE LIBRARY'!$E$5:$E$400,MATCH("MAT-PPR-175-SO",'05 MATERIAL RATE LIBRARY'!$A$5:$A$400,0)))</f>
        <v>256</v>
      </c>
      <c r="H1691" s="21" t="n">
        <v>0</v>
      </c>
      <c r="I1691" s="18" t="n">
        <f aca="false">F1691*(1+H1691)</f>
        <v>0.076219512195122</v>
      </c>
      <c r="J1691" s="13" t="n">
        <f aca="false">I1691*G1691</f>
        <v>19.5121951219512</v>
      </c>
      <c r="K1691" s="20" t="str">
        <f aca="false">IF(INDEX('05 MATERIAL RATE LIBRARY'!$M$5:$M$400,MATCH("MAT-PPR-175-SO",'05 MATERIAL RATE LIBRARY'!$A$5:$A$400,0))=1,"",IF(INDEX('05 MATERIAL RATE LIBRARY'!$M$5:$M$400,MATCH("MAT-PPR-175-SO",'05 MATERIAL RATE LIBRARY'!$A$5:$A$400,0))=2,"OLD RATE","NO RATE"))</f>
        <v/>
      </c>
    </row>
    <row r="1692" customFormat="false" ht="15" hidden="false" customHeight="true" outlineLevel="0" collapsed="false">
      <c r="A1692" s="9" t="s">
        <v>447</v>
      </c>
      <c r="B1692" s="9" t="s">
        <v>798</v>
      </c>
      <c r="C1692" s="9" t="s">
        <v>1158</v>
      </c>
      <c r="D1692" s="5" t="s">
        <v>1131</v>
      </c>
      <c r="E1692" s="9" t="s">
        <v>368</v>
      </c>
      <c r="F1692" s="18" t="n">
        <v>0.08</v>
      </c>
      <c r="G1692" s="13" t="n">
        <f aca="false">N(INDEX('05 MATERIAL RATE LIBRARY'!$E$5:$E$400,MATCH("MAT-PPR-175-TE",'05 MATERIAL RATE LIBRARY'!$A$5:$A$400,0)))</f>
        <v>512</v>
      </c>
      <c r="H1692" s="21" t="n">
        <v>0</v>
      </c>
      <c r="I1692" s="18" t="n">
        <f aca="false">F1692*(1+H1692)</f>
        <v>0.08</v>
      </c>
      <c r="J1692" s="13" t="n">
        <f aca="false">I1692*G1692</f>
        <v>40.96</v>
      </c>
      <c r="K1692" s="20" t="str">
        <f aca="false">IF(INDEX('05 MATERIAL RATE LIBRARY'!$M$5:$M$400,MATCH("MAT-PPR-175-TE",'05 MATERIAL RATE LIBRARY'!$A$5:$A$400,0))=1,"",IF(INDEX('05 MATERIAL RATE LIBRARY'!$M$5:$M$400,MATCH("MAT-PPR-175-TE",'05 MATERIAL RATE LIBRARY'!$A$5:$A$400,0))=2,"OLD RATE","NO RATE"))</f>
        <v/>
      </c>
    </row>
    <row r="1693" customFormat="false" ht="15" hidden="false" customHeight="true" outlineLevel="0" collapsed="false">
      <c r="A1693" s="9" t="s">
        <v>447</v>
      </c>
      <c r="B1693" s="9" t="s">
        <v>798</v>
      </c>
      <c r="C1693" s="9" t="s">
        <v>1132</v>
      </c>
      <c r="D1693" s="5" t="s">
        <v>1133</v>
      </c>
      <c r="E1693" s="9" t="s">
        <v>368</v>
      </c>
      <c r="F1693" s="18" t="n">
        <f aca="false">1/3</f>
        <v>0.333333333333333</v>
      </c>
      <c r="G1693" s="13" t="n">
        <f aca="false">N(INDEX('05 MATERIAL RATE LIBRARY'!$E$5:$E$400,MATCH("MAT-CLMP",'05 MATERIAL RATE LIBRARY'!$A$5:$A$400,0)))</f>
        <v>123.1</v>
      </c>
      <c r="H1693" s="21" t="n">
        <v>0</v>
      </c>
      <c r="I1693" s="18" t="n">
        <f aca="false">F1693*(1+H1693)</f>
        <v>0.333333333333333</v>
      </c>
      <c r="J1693" s="13" t="n">
        <f aca="false">I1693*G1693</f>
        <v>41.0333333333333</v>
      </c>
      <c r="K1693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694" customFormat="false" ht="15" hidden="false" customHeight="true" outlineLevel="0" collapsed="false">
      <c r="A1694" s="9" t="s">
        <v>447</v>
      </c>
      <c r="B1694" s="9" t="s">
        <v>812</v>
      </c>
      <c r="C1694" s="9" t="s">
        <v>1134</v>
      </c>
      <c r="D1694" s="5" t="s">
        <v>1152</v>
      </c>
      <c r="E1694" s="9" t="s">
        <v>815</v>
      </c>
      <c r="F1694" s="18" t="n">
        <f aca="false">'13 PRODUCTIVITY LIBRARY'!E38/'13 PRODUCTIVITY LIBRARY'!D38</f>
        <v>0.0285714285714286</v>
      </c>
      <c r="G1694" s="13" t="n">
        <f aca="false">N(INDEX('06 LABOUR RATE LIBRARY'!$D$5:$D$100,MATCH("LAB-PLB",'06 LABOUR RATE LIBRARY'!$A$5:$A$100,0)))</f>
        <v>2600</v>
      </c>
      <c r="H1694" s="21" t="n">
        <v>0</v>
      </c>
      <c r="I1694" s="18" t="n">
        <f aca="false">F1694*(1+H1694)</f>
        <v>0.0285714285714286</v>
      </c>
      <c r="J1694" s="13" t="n">
        <f aca="false">I1694*G1694</f>
        <v>74.2857142857143</v>
      </c>
      <c r="K1694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695" customFormat="false" ht="15" hidden="false" customHeight="true" outlineLevel="0" collapsed="false">
      <c r="A1695" s="9" t="s">
        <v>447</v>
      </c>
      <c r="B1695" s="9" t="s">
        <v>812</v>
      </c>
      <c r="C1695" s="9" t="s">
        <v>816</v>
      </c>
      <c r="D1695" s="5" t="s">
        <v>1153</v>
      </c>
      <c r="E1695" s="9" t="s">
        <v>815</v>
      </c>
      <c r="F1695" s="18" t="n">
        <f aca="false">'13 PRODUCTIVITY LIBRARY'!F38/'13 PRODUCTIVITY LIBRARY'!D38</f>
        <v>0.0285714285714286</v>
      </c>
      <c r="G1695" s="13" t="n">
        <f aca="false">N(INDEX('06 LABOUR RATE LIBRARY'!$D$5:$D$100,MATCH("LAB-HLP",'06 LABOUR RATE LIBRARY'!$A$5:$A$100,0)))</f>
        <v>1538</v>
      </c>
      <c r="H1695" s="21" t="n">
        <v>0</v>
      </c>
      <c r="I1695" s="18" t="n">
        <f aca="false">F1695*(1+H1695)</f>
        <v>0.0285714285714286</v>
      </c>
      <c r="J1695" s="13" t="n">
        <f aca="false">I1695*G1695</f>
        <v>43.9428571428571</v>
      </c>
      <c r="K169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696" customFormat="false" ht="15" hidden="false" customHeight="true" outlineLevel="0" collapsed="false">
      <c r="D1696" s="22" t="s">
        <v>825</v>
      </c>
      <c r="J1696" s="23" t="n">
        <f aca="false">SUMPRODUCT((B1689:B1695="Material")*F1689:F1695*G1689:G1695)</f>
        <v>738.705528455285</v>
      </c>
    </row>
    <row r="1697" customFormat="false" ht="15" hidden="false" customHeight="true" outlineLevel="0" collapsed="false">
      <c r="D1697" s="22" t="s">
        <v>826</v>
      </c>
      <c r="J1697" s="23" t="n">
        <f aca="false">SUMIF(B1689:B1695,"Material",J1689:J1695)-J1696</f>
        <v>29.1525</v>
      </c>
    </row>
    <row r="1698" customFormat="false" ht="15" hidden="false" customHeight="true" outlineLevel="0" collapsed="false">
      <c r="D1698" s="24" t="s">
        <v>827</v>
      </c>
      <c r="J1698" s="14" t="n">
        <f aca="false">SUMIF(B1689:B1695,"Material",J1689:J1695)</f>
        <v>767.858028455285</v>
      </c>
    </row>
    <row r="1699" customFormat="false" ht="15" hidden="false" customHeight="true" outlineLevel="0" collapsed="false">
      <c r="D1699" s="24" t="s">
        <v>828</v>
      </c>
      <c r="J1699" s="14" t="n">
        <f aca="false">SUMIF(B1689:B1695,"Labour",J1689:J1695)</f>
        <v>118.228571428571</v>
      </c>
    </row>
    <row r="1700" customFormat="false" ht="15" hidden="false" customHeight="true" outlineLevel="0" collapsed="false">
      <c r="D1700" s="24" t="s">
        <v>829</v>
      </c>
      <c r="J1700" s="14" t="n">
        <f aca="false">SUMIF(B1689:B1695,"Equipment",J1689:J1695)</f>
        <v>0</v>
      </c>
    </row>
    <row r="1701" customFormat="false" ht="15" hidden="false" customHeight="true" outlineLevel="0" collapsed="false">
      <c r="D1701" s="24" t="s">
        <v>830</v>
      </c>
      <c r="J1701" s="14" t="n">
        <f aca="false">SUMIF(B1689:B1695,"Transport",J1689:J1695)</f>
        <v>0</v>
      </c>
    </row>
    <row r="1702" customFormat="false" ht="15" hidden="false" customHeight="true" outlineLevel="0" collapsed="false">
      <c r="D1702" s="24" t="s">
        <v>831</v>
      </c>
      <c r="J1702" s="14" t="n">
        <f aca="false">J1698+J1699+J1700+J1701</f>
        <v>886.086599883856</v>
      </c>
    </row>
    <row r="1703" customFormat="false" ht="15" hidden="false" customHeight="true" outlineLevel="0" collapsed="false">
      <c r="D1703" s="22" t="s">
        <v>832</v>
      </c>
      <c r="J1703" s="23" t="n">
        <f aca="false">J1702*OH_Site</f>
        <v>26.5825979965157</v>
      </c>
    </row>
    <row r="1704" customFormat="false" ht="15" hidden="false" customHeight="true" outlineLevel="0" collapsed="false">
      <c r="D1704" s="22" t="s">
        <v>833</v>
      </c>
      <c r="J1704" s="23" t="n">
        <f aca="false">J1702*OH_HO</f>
        <v>44.3043299941928</v>
      </c>
    </row>
    <row r="1705" customFormat="false" ht="15" hidden="false" customHeight="true" outlineLevel="0" collapsed="false">
      <c r="D1705" s="22" t="s">
        <v>834</v>
      </c>
      <c r="J1705" s="23" t="n">
        <f aca="false">J1702*Profit</f>
        <v>88.6086599883856</v>
      </c>
    </row>
    <row r="1706" customFormat="false" ht="15" hidden="false" customHeight="true" outlineLevel="0" collapsed="false">
      <c r="D1706" s="24" t="s">
        <v>835</v>
      </c>
      <c r="J1706" s="14" t="n">
        <f aca="false">J1702+J1703+J1704+J1705</f>
        <v>1045.58218786295</v>
      </c>
    </row>
    <row r="1707" customFormat="false" ht="15" hidden="false" customHeight="true" outlineLevel="0" collapsed="false">
      <c r="D1707" s="22" t="s">
        <v>836</v>
      </c>
      <c r="J1707" s="23" t="n">
        <f aca="false">IF(Tax_On="Yes",J1706*N(Tax_Rate),0)</f>
        <v>0</v>
      </c>
    </row>
    <row r="1708" customFormat="false" ht="15" hidden="false" customHeight="true" outlineLevel="0" collapsed="false">
      <c r="D1708" s="24" t="s">
        <v>1069</v>
      </c>
      <c r="J1708" s="14" t="n">
        <f aca="false">ROUND(J1706+J1707,0)</f>
        <v>1046</v>
      </c>
    </row>
    <row r="1709" customFormat="false" ht="15" hidden="false" customHeight="true" outlineLevel="0" collapsed="false">
      <c r="D1709" s="25" t="s">
        <v>838</v>
      </c>
      <c r="J1709" s="26" t="n">
        <f aca="false">COUNTIF(K1689:K1695,"NO RATE")+COUNTIF(K1689:K1695,"OLD RATE")</f>
        <v>1</v>
      </c>
    </row>
    <row r="1711" customFormat="false" ht="39.75" hidden="false" customHeight="true" outlineLevel="0" collapsed="false">
      <c r="A1711" s="4" t="s">
        <v>450</v>
      </c>
      <c r="B1711" s="16" t="s">
        <v>452</v>
      </c>
      <c r="C1711" s="16"/>
      <c r="D1711" s="16"/>
      <c r="E1711" s="16"/>
      <c r="F1711" s="16"/>
      <c r="G1711" s="16"/>
      <c r="H1711" s="16"/>
      <c r="I1711" s="16"/>
      <c r="J1711" s="4" t="s">
        <v>1061</v>
      </c>
      <c r="K1711" s="17"/>
    </row>
    <row r="1712" customFormat="false" ht="21.75" hidden="false" customHeight="true" outlineLevel="0" collapsed="false">
      <c r="A1712" s="12" t="s">
        <v>75</v>
      </c>
      <c r="B1712" s="12" t="s">
        <v>789</v>
      </c>
      <c r="C1712" s="12" t="s">
        <v>790</v>
      </c>
      <c r="D1712" s="12" t="s">
        <v>791</v>
      </c>
      <c r="E1712" s="12" t="s">
        <v>81</v>
      </c>
      <c r="F1712" s="12" t="s">
        <v>792</v>
      </c>
      <c r="G1712" s="12" t="s">
        <v>793</v>
      </c>
      <c r="H1712" s="12" t="s">
        <v>794</v>
      </c>
      <c r="I1712" s="12" t="s">
        <v>795</v>
      </c>
      <c r="J1712" s="12" t="s">
        <v>796</v>
      </c>
      <c r="K1712" s="12" t="s">
        <v>797</v>
      </c>
    </row>
    <row r="1713" customFormat="false" ht="15" hidden="false" customHeight="true" outlineLevel="0" collapsed="false">
      <c r="A1713" s="9" t="s">
        <v>450</v>
      </c>
      <c r="B1713" s="9" t="s">
        <v>798</v>
      </c>
      <c r="C1713" s="9" t="s">
        <v>1159</v>
      </c>
      <c r="D1713" s="5" t="s">
        <v>1160</v>
      </c>
      <c r="E1713" s="9" t="s">
        <v>386</v>
      </c>
      <c r="F1713" s="18" t="n">
        <v>1</v>
      </c>
      <c r="G1713" s="13" t="n">
        <f aca="false">N(INDEX('05 MATERIAL RATE LIBRARY'!$E$5:$E$400,MATCH("MAT-PPR-200",'05 MATERIAL RATE LIBRARY'!$A$5:$A$400,0)))</f>
        <v>957.63</v>
      </c>
      <c r="H1713" s="19" t="n">
        <f aca="false">W_Pipe</f>
        <v>0.05</v>
      </c>
      <c r="I1713" s="18" t="n">
        <f aca="false">F1713*(1+H1713)</f>
        <v>1.05</v>
      </c>
      <c r="J1713" s="13" t="n">
        <f aca="false">I1713*G1713</f>
        <v>1005.5115</v>
      </c>
      <c r="K1713" s="20" t="str">
        <f aca="false">IF(INDEX('05 MATERIAL RATE LIBRARY'!$M$5:$M$400,MATCH("MAT-PPR-200",'05 MATERIAL RATE LIBRARY'!$A$5:$A$400,0))=1,"",IF(INDEX('05 MATERIAL RATE LIBRARY'!$M$5:$M$400,MATCH("MAT-PPR-200",'05 MATERIAL RATE LIBRARY'!$A$5:$A$400,0))=2,"OLD RATE","NO RATE"))</f>
        <v/>
      </c>
    </row>
    <row r="1714" customFormat="false" ht="15" hidden="false" customHeight="true" outlineLevel="0" collapsed="false">
      <c r="A1714" s="9" t="s">
        <v>450</v>
      </c>
      <c r="B1714" s="9" t="s">
        <v>798</v>
      </c>
      <c r="C1714" s="9" t="s">
        <v>1161</v>
      </c>
      <c r="D1714" s="5" t="s">
        <v>1127</v>
      </c>
      <c r="E1714" s="9" t="s">
        <v>368</v>
      </c>
      <c r="F1714" s="18" t="n">
        <v>0.15</v>
      </c>
      <c r="G1714" s="13" t="n">
        <f aca="false">N(INDEX('05 MATERIAL RATE LIBRARY'!$E$5:$E$400,MATCH("MAT-PPR-200-EL",'05 MATERIAL RATE LIBRARY'!$A$5:$A$400,0)))</f>
        <v>695</v>
      </c>
      <c r="H1714" s="21" t="n">
        <v>0</v>
      </c>
      <c r="I1714" s="18" t="n">
        <f aca="false">F1714*(1+H1714)</f>
        <v>0.15</v>
      </c>
      <c r="J1714" s="13" t="n">
        <f aca="false">I1714*G1714</f>
        <v>104.25</v>
      </c>
      <c r="K1714" s="20" t="str">
        <f aca="false">IF(INDEX('05 MATERIAL RATE LIBRARY'!$M$5:$M$400,MATCH("MAT-PPR-200-EL",'05 MATERIAL RATE LIBRARY'!$A$5:$A$400,0))=1,"",IF(INDEX('05 MATERIAL RATE LIBRARY'!$M$5:$M$400,MATCH("MAT-PPR-200-EL",'05 MATERIAL RATE LIBRARY'!$A$5:$A$400,0))=2,"OLD RATE","NO RATE"))</f>
        <v/>
      </c>
    </row>
    <row r="1715" customFormat="false" ht="15" hidden="false" customHeight="true" outlineLevel="0" collapsed="false">
      <c r="A1715" s="9" t="s">
        <v>450</v>
      </c>
      <c r="B1715" s="9" t="s">
        <v>798</v>
      </c>
      <c r="C1715" s="9" t="s">
        <v>1162</v>
      </c>
      <c r="D1715" s="5" t="s">
        <v>1129</v>
      </c>
      <c r="E1715" s="9" t="s">
        <v>368</v>
      </c>
      <c r="F1715" s="18" t="n">
        <f aca="false">1/13.12</f>
        <v>0.076219512195122</v>
      </c>
      <c r="G1715" s="13" t="n">
        <f aca="false">N(INDEX('05 MATERIAL RATE LIBRARY'!$E$5:$E$400,MATCH("MAT-PPR-200-SO",'05 MATERIAL RATE LIBRARY'!$A$5:$A$400,0)))</f>
        <v>422</v>
      </c>
      <c r="H1715" s="21" t="n">
        <v>0</v>
      </c>
      <c r="I1715" s="18" t="n">
        <f aca="false">F1715*(1+H1715)</f>
        <v>0.076219512195122</v>
      </c>
      <c r="J1715" s="13" t="n">
        <f aca="false">I1715*G1715</f>
        <v>32.1646341463415</v>
      </c>
      <c r="K1715" s="20" t="str">
        <f aca="false">IF(INDEX('05 MATERIAL RATE LIBRARY'!$M$5:$M$400,MATCH("MAT-PPR-200-SO",'05 MATERIAL RATE LIBRARY'!$A$5:$A$400,0))=1,"",IF(INDEX('05 MATERIAL RATE LIBRARY'!$M$5:$M$400,MATCH("MAT-PPR-200-SO",'05 MATERIAL RATE LIBRARY'!$A$5:$A$400,0))=2,"OLD RATE","NO RATE"))</f>
        <v/>
      </c>
    </row>
    <row r="1716" customFormat="false" ht="15" hidden="false" customHeight="true" outlineLevel="0" collapsed="false">
      <c r="A1716" s="9" t="s">
        <v>450</v>
      </c>
      <c r="B1716" s="9" t="s">
        <v>798</v>
      </c>
      <c r="C1716" s="9" t="s">
        <v>1163</v>
      </c>
      <c r="D1716" s="5" t="s">
        <v>1131</v>
      </c>
      <c r="E1716" s="9" t="s">
        <v>368</v>
      </c>
      <c r="F1716" s="18" t="n">
        <v>0.08</v>
      </c>
      <c r="G1716" s="13" t="n">
        <f aca="false">N(INDEX('05 MATERIAL RATE LIBRARY'!$E$5:$E$400,MATCH("MAT-PPR-200-TE",'05 MATERIAL RATE LIBRARY'!$A$5:$A$400,0)))</f>
        <v>825</v>
      </c>
      <c r="H1716" s="21" t="n">
        <v>0</v>
      </c>
      <c r="I1716" s="18" t="n">
        <f aca="false">F1716*(1+H1716)</f>
        <v>0.08</v>
      </c>
      <c r="J1716" s="13" t="n">
        <f aca="false">I1716*G1716</f>
        <v>66</v>
      </c>
      <c r="K1716" s="20" t="str">
        <f aca="false">IF(INDEX('05 MATERIAL RATE LIBRARY'!$M$5:$M$400,MATCH("MAT-PPR-200-TE",'05 MATERIAL RATE LIBRARY'!$A$5:$A$400,0))=1,"",IF(INDEX('05 MATERIAL RATE LIBRARY'!$M$5:$M$400,MATCH("MAT-PPR-200-TE",'05 MATERIAL RATE LIBRARY'!$A$5:$A$400,0))=2,"OLD RATE","NO RATE"))</f>
        <v/>
      </c>
    </row>
    <row r="1717" customFormat="false" ht="15" hidden="false" customHeight="true" outlineLevel="0" collapsed="false">
      <c r="A1717" s="9" t="s">
        <v>450</v>
      </c>
      <c r="B1717" s="9" t="s">
        <v>798</v>
      </c>
      <c r="C1717" s="9" t="s">
        <v>1132</v>
      </c>
      <c r="D1717" s="5" t="s">
        <v>1133</v>
      </c>
      <c r="E1717" s="9" t="s">
        <v>368</v>
      </c>
      <c r="F1717" s="18" t="n">
        <f aca="false">1/3</f>
        <v>0.333333333333333</v>
      </c>
      <c r="G1717" s="13" t="n">
        <f aca="false">N(INDEX('05 MATERIAL RATE LIBRARY'!$E$5:$E$400,MATCH("MAT-CLMP",'05 MATERIAL RATE LIBRARY'!$A$5:$A$400,0)))</f>
        <v>123.1</v>
      </c>
      <c r="H1717" s="21" t="n">
        <v>0</v>
      </c>
      <c r="I1717" s="18" t="n">
        <f aca="false">F1717*(1+H1717)</f>
        <v>0.333333333333333</v>
      </c>
      <c r="J1717" s="13" t="n">
        <f aca="false">I1717*G1717</f>
        <v>41.0333333333333</v>
      </c>
      <c r="K1717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718" customFormat="false" ht="15" hidden="false" customHeight="true" outlineLevel="0" collapsed="false">
      <c r="A1718" s="9" t="s">
        <v>450</v>
      </c>
      <c r="B1718" s="9" t="s">
        <v>812</v>
      </c>
      <c r="C1718" s="9" t="s">
        <v>1134</v>
      </c>
      <c r="D1718" s="5" t="s">
        <v>1152</v>
      </c>
      <c r="E1718" s="9" t="s">
        <v>815</v>
      </c>
      <c r="F1718" s="18" t="n">
        <f aca="false">'13 PRODUCTIVITY LIBRARY'!E38/'13 PRODUCTIVITY LIBRARY'!D38</f>
        <v>0.0285714285714286</v>
      </c>
      <c r="G1718" s="13" t="n">
        <f aca="false">N(INDEX('06 LABOUR RATE LIBRARY'!$D$5:$D$100,MATCH("LAB-PLB",'06 LABOUR RATE LIBRARY'!$A$5:$A$100,0)))</f>
        <v>2600</v>
      </c>
      <c r="H1718" s="21" t="n">
        <v>0</v>
      </c>
      <c r="I1718" s="18" t="n">
        <f aca="false">F1718*(1+H1718)</f>
        <v>0.0285714285714286</v>
      </c>
      <c r="J1718" s="13" t="n">
        <f aca="false">I1718*G1718</f>
        <v>74.2857142857143</v>
      </c>
      <c r="K1718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719" customFormat="false" ht="15" hidden="false" customHeight="true" outlineLevel="0" collapsed="false">
      <c r="A1719" s="9" t="s">
        <v>450</v>
      </c>
      <c r="B1719" s="9" t="s">
        <v>812</v>
      </c>
      <c r="C1719" s="9" t="s">
        <v>816</v>
      </c>
      <c r="D1719" s="5" t="s">
        <v>1153</v>
      </c>
      <c r="E1719" s="9" t="s">
        <v>815</v>
      </c>
      <c r="F1719" s="18" t="n">
        <f aca="false">'13 PRODUCTIVITY LIBRARY'!F38/'13 PRODUCTIVITY LIBRARY'!D38</f>
        <v>0.0285714285714286</v>
      </c>
      <c r="G1719" s="13" t="n">
        <f aca="false">N(INDEX('06 LABOUR RATE LIBRARY'!$D$5:$D$100,MATCH("LAB-HLP",'06 LABOUR RATE LIBRARY'!$A$5:$A$100,0)))</f>
        <v>1538</v>
      </c>
      <c r="H1719" s="21" t="n">
        <v>0</v>
      </c>
      <c r="I1719" s="18" t="n">
        <f aca="false">F1719*(1+H1719)</f>
        <v>0.0285714285714286</v>
      </c>
      <c r="J1719" s="13" t="n">
        <f aca="false">I1719*G1719</f>
        <v>43.9428571428571</v>
      </c>
      <c r="K171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720" customFormat="false" ht="15" hidden="false" customHeight="true" outlineLevel="0" collapsed="false">
      <c r="D1720" s="22" t="s">
        <v>825</v>
      </c>
      <c r="J1720" s="23" t="n">
        <f aca="false">SUMPRODUCT((B1713:B1719="Material")*F1713:F1719*G1713:G1719)</f>
        <v>1201.07796747967</v>
      </c>
    </row>
    <row r="1721" customFormat="false" ht="15" hidden="false" customHeight="true" outlineLevel="0" collapsed="false">
      <c r="D1721" s="22" t="s">
        <v>826</v>
      </c>
      <c r="J1721" s="23" t="n">
        <f aca="false">SUMIF(B1713:B1719,"Material",J1713:J1719)-J1720</f>
        <v>47.8815000000002</v>
      </c>
    </row>
    <row r="1722" customFormat="false" ht="15" hidden="false" customHeight="true" outlineLevel="0" collapsed="false">
      <c r="D1722" s="24" t="s">
        <v>827</v>
      </c>
      <c r="J1722" s="14" t="n">
        <f aca="false">SUMIF(B1713:B1719,"Material",J1713:J1719)</f>
        <v>1248.95946747968</v>
      </c>
    </row>
    <row r="1723" customFormat="false" ht="15" hidden="false" customHeight="true" outlineLevel="0" collapsed="false">
      <c r="D1723" s="24" t="s">
        <v>828</v>
      </c>
      <c r="J1723" s="14" t="n">
        <f aca="false">SUMIF(B1713:B1719,"Labour",J1713:J1719)</f>
        <v>118.228571428571</v>
      </c>
    </row>
    <row r="1724" customFormat="false" ht="15" hidden="false" customHeight="true" outlineLevel="0" collapsed="false">
      <c r="D1724" s="24" t="s">
        <v>829</v>
      </c>
      <c r="J1724" s="14" t="n">
        <f aca="false">SUMIF(B1713:B1719,"Equipment",J1713:J1719)</f>
        <v>0</v>
      </c>
    </row>
    <row r="1725" customFormat="false" ht="15" hidden="false" customHeight="true" outlineLevel="0" collapsed="false">
      <c r="D1725" s="24" t="s">
        <v>830</v>
      </c>
      <c r="J1725" s="14" t="n">
        <f aca="false">SUMIF(B1713:B1719,"Transport",J1713:J1719)</f>
        <v>0</v>
      </c>
    </row>
    <row r="1726" customFormat="false" ht="15" hidden="false" customHeight="true" outlineLevel="0" collapsed="false">
      <c r="D1726" s="24" t="s">
        <v>831</v>
      </c>
      <c r="J1726" s="14" t="n">
        <f aca="false">J1722+J1723+J1724+J1725</f>
        <v>1367.18803890825</v>
      </c>
    </row>
    <row r="1727" customFormat="false" ht="15" hidden="false" customHeight="true" outlineLevel="0" collapsed="false">
      <c r="D1727" s="22" t="s">
        <v>832</v>
      </c>
      <c r="J1727" s="23" t="n">
        <f aca="false">J1726*OH_Site</f>
        <v>41.0156411672474</v>
      </c>
    </row>
    <row r="1728" customFormat="false" ht="15" hidden="false" customHeight="true" outlineLevel="0" collapsed="false">
      <c r="D1728" s="22" t="s">
        <v>833</v>
      </c>
      <c r="J1728" s="23" t="n">
        <f aca="false">J1726*OH_HO</f>
        <v>68.3594019454123</v>
      </c>
    </row>
    <row r="1729" customFormat="false" ht="15" hidden="false" customHeight="true" outlineLevel="0" collapsed="false">
      <c r="D1729" s="22" t="s">
        <v>834</v>
      </c>
      <c r="J1729" s="23" t="n">
        <f aca="false">J1726*Profit</f>
        <v>136.718803890825</v>
      </c>
    </row>
    <row r="1730" customFormat="false" ht="15" hidden="false" customHeight="true" outlineLevel="0" collapsed="false">
      <c r="D1730" s="24" t="s">
        <v>835</v>
      </c>
      <c r="J1730" s="14" t="n">
        <f aca="false">J1726+J1727+J1728+J1729</f>
        <v>1613.28188591173</v>
      </c>
    </row>
    <row r="1731" customFormat="false" ht="15" hidden="false" customHeight="true" outlineLevel="0" collapsed="false">
      <c r="D1731" s="22" t="s">
        <v>836</v>
      </c>
      <c r="J1731" s="23" t="n">
        <f aca="false">IF(Tax_On="Yes",J1730*N(Tax_Rate),0)</f>
        <v>0</v>
      </c>
    </row>
    <row r="1732" customFormat="false" ht="15" hidden="false" customHeight="true" outlineLevel="0" collapsed="false">
      <c r="D1732" s="24" t="s">
        <v>1069</v>
      </c>
      <c r="J1732" s="14" t="n">
        <f aca="false">ROUND(J1730+J1731,0)</f>
        <v>1613</v>
      </c>
    </row>
    <row r="1733" customFormat="false" ht="15" hidden="false" customHeight="true" outlineLevel="0" collapsed="false">
      <c r="D1733" s="25" t="s">
        <v>838</v>
      </c>
      <c r="J1733" s="26" t="n">
        <f aca="false">COUNTIF(K1713:K1719,"NO RATE")+COUNTIF(K1713:K1719,"OLD RATE")</f>
        <v>1</v>
      </c>
    </row>
    <row r="1735" customFormat="false" ht="39.75" hidden="false" customHeight="true" outlineLevel="0" collapsed="false">
      <c r="A1735" s="4" t="s">
        <v>453</v>
      </c>
      <c r="B1735" s="16" t="s">
        <v>455</v>
      </c>
      <c r="C1735" s="16"/>
      <c r="D1735" s="16"/>
      <c r="E1735" s="16"/>
      <c r="F1735" s="16"/>
      <c r="G1735" s="16"/>
      <c r="H1735" s="16"/>
      <c r="I1735" s="16"/>
      <c r="J1735" s="4" t="s">
        <v>1061</v>
      </c>
      <c r="K1735" s="17"/>
    </row>
    <row r="1736" customFormat="false" ht="21.75" hidden="false" customHeight="true" outlineLevel="0" collapsed="false">
      <c r="A1736" s="12" t="s">
        <v>75</v>
      </c>
      <c r="B1736" s="12" t="s">
        <v>789</v>
      </c>
      <c r="C1736" s="12" t="s">
        <v>790</v>
      </c>
      <c r="D1736" s="12" t="s">
        <v>791</v>
      </c>
      <c r="E1736" s="12" t="s">
        <v>81</v>
      </c>
      <c r="F1736" s="12" t="s">
        <v>792</v>
      </c>
      <c r="G1736" s="12" t="s">
        <v>793</v>
      </c>
      <c r="H1736" s="12" t="s">
        <v>794</v>
      </c>
      <c r="I1736" s="12" t="s">
        <v>795</v>
      </c>
      <c r="J1736" s="12" t="s">
        <v>796</v>
      </c>
      <c r="K1736" s="12" t="s">
        <v>797</v>
      </c>
    </row>
    <row r="1737" customFormat="false" ht="15" hidden="false" customHeight="true" outlineLevel="0" collapsed="false">
      <c r="A1737" s="9" t="s">
        <v>453</v>
      </c>
      <c r="B1737" s="9" t="s">
        <v>798</v>
      </c>
      <c r="C1737" s="9" t="s">
        <v>1164</v>
      </c>
      <c r="D1737" s="5" t="s">
        <v>1165</v>
      </c>
      <c r="E1737" s="9" t="s">
        <v>386</v>
      </c>
      <c r="F1737" s="18" t="n">
        <v>1</v>
      </c>
      <c r="G1737" s="13" t="n">
        <f aca="false">N(INDEX('05 MATERIAL RATE LIBRARY'!$E$5:$E$400,MATCH("MAT-PPR-250",'05 MATERIAL RATE LIBRARY'!$A$5:$A$400,0)))</f>
        <v>1346.85</v>
      </c>
      <c r="H1737" s="19" t="n">
        <f aca="false">W_Pipe</f>
        <v>0.05</v>
      </c>
      <c r="I1737" s="18" t="n">
        <f aca="false">F1737*(1+H1737)</f>
        <v>1.05</v>
      </c>
      <c r="J1737" s="13" t="n">
        <f aca="false">I1737*G1737</f>
        <v>1414.1925</v>
      </c>
      <c r="K1737" s="20" t="str">
        <f aca="false">IF(INDEX('05 MATERIAL RATE LIBRARY'!$M$5:$M$400,MATCH("MAT-PPR-250",'05 MATERIAL RATE LIBRARY'!$A$5:$A$400,0))=1,"",IF(INDEX('05 MATERIAL RATE LIBRARY'!$M$5:$M$400,MATCH("MAT-PPR-250",'05 MATERIAL RATE LIBRARY'!$A$5:$A$400,0))=2,"OLD RATE","NO RATE"))</f>
        <v/>
      </c>
    </row>
    <row r="1738" customFormat="false" ht="15" hidden="false" customHeight="true" outlineLevel="0" collapsed="false">
      <c r="A1738" s="9" t="s">
        <v>453</v>
      </c>
      <c r="B1738" s="9" t="s">
        <v>798</v>
      </c>
      <c r="C1738" s="9" t="s">
        <v>1166</v>
      </c>
      <c r="D1738" s="5" t="s">
        <v>1127</v>
      </c>
      <c r="E1738" s="9" t="s">
        <v>368</v>
      </c>
      <c r="F1738" s="18" t="n">
        <v>0.15</v>
      </c>
      <c r="G1738" s="13" t="n">
        <f aca="false">N(INDEX('05 MATERIAL RATE LIBRARY'!$E$5:$E$400,MATCH("MAT-PPR-250-EL",'05 MATERIAL RATE LIBRARY'!$A$5:$A$400,0)))</f>
        <v>1341</v>
      </c>
      <c r="H1738" s="21" t="n">
        <v>0</v>
      </c>
      <c r="I1738" s="18" t="n">
        <f aca="false">F1738*(1+H1738)</f>
        <v>0.15</v>
      </c>
      <c r="J1738" s="13" t="n">
        <f aca="false">I1738*G1738</f>
        <v>201.15</v>
      </c>
      <c r="K1738" s="20" t="str">
        <f aca="false">IF(INDEX('05 MATERIAL RATE LIBRARY'!$M$5:$M$400,MATCH("MAT-PPR-250-EL",'05 MATERIAL RATE LIBRARY'!$A$5:$A$400,0))=1,"",IF(INDEX('05 MATERIAL RATE LIBRARY'!$M$5:$M$400,MATCH("MAT-PPR-250-EL",'05 MATERIAL RATE LIBRARY'!$A$5:$A$400,0))=2,"OLD RATE","NO RATE"))</f>
        <v/>
      </c>
    </row>
    <row r="1739" customFormat="false" ht="15" hidden="false" customHeight="true" outlineLevel="0" collapsed="false">
      <c r="A1739" s="9" t="s">
        <v>453</v>
      </c>
      <c r="B1739" s="9" t="s">
        <v>798</v>
      </c>
      <c r="C1739" s="9" t="s">
        <v>1167</v>
      </c>
      <c r="D1739" s="5" t="s">
        <v>1129</v>
      </c>
      <c r="E1739" s="9" t="s">
        <v>368</v>
      </c>
      <c r="F1739" s="18" t="n">
        <f aca="false">1/13.12</f>
        <v>0.076219512195122</v>
      </c>
      <c r="G1739" s="13" t="n">
        <f aca="false">N(INDEX('05 MATERIAL RATE LIBRARY'!$E$5:$E$400,MATCH("MAT-PPR-250-SO",'05 MATERIAL RATE LIBRARY'!$A$5:$A$400,0)))</f>
        <v>506</v>
      </c>
      <c r="H1739" s="21" t="n">
        <v>0</v>
      </c>
      <c r="I1739" s="18" t="n">
        <f aca="false">F1739*(1+H1739)</f>
        <v>0.076219512195122</v>
      </c>
      <c r="J1739" s="13" t="n">
        <f aca="false">I1739*G1739</f>
        <v>38.5670731707317</v>
      </c>
      <c r="K1739" s="20" t="str">
        <f aca="false">IF(INDEX('05 MATERIAL RATE LIBRARY'!$M$5:$M$400,MATCH("MAT-PPR-250-SO",'05 MATERIAL RATE LIBRARY'!$A$5:$A$400,0))=1,"",IF(INDEX('05 MATERIAL RATE LIBRARY'!$M$5:$M$400,MATCH("MAT-PPR-250-SO",'05 MATERIAL RATE LIBRARY'!$A$5:$A$400,0))=2,"OLD RATE","NO RATE"))</f>
        <v/>
      </c>
    </row>
    <row r="1740" customFormat="false" ht="15" hidden="false" customHeight="true" outlineLevel="0" collapsed="false">
      <c r="A1740" s="9" t="s">
        <v>453</v>
      </c>
      <c r="B1740" s="9" t="s">
        <v>798</v>
      </c>
      <c r="C1740" s="9" t="s">
        <v>1168</v>
      </c>
      <c r="D1740" s="5" t="s">
        <v>1131</v>
      </c>
      <c r="E1740" s="9" t="s">
        <v>368</v>
      </c>
      <c r="F1740" s="18" t="n">
        <v>0.08</v>
      </c>
      <c r="G1740" s="13" t="n">
        <f aca="false">N(INDEX('05 MATERIAL RATE LIBRARY'!$E$5:$E$400,MATCH("MAT-PPR-250-TE",'05 MATERIAL RATE LIBRARY'!$A$5:$A$400,0)))</f>
        <v>1613</v>
      </c>
      <c r="H1740" s="21" t="n">
        <v>0</v>
      </c>
      <c r="I1740" s="18" t="n">
        <f aca="false">F1740*(1+H1740)</f>
        <v>0.08</v>
      </c>
      <c r="J1740" s="13" t="n">
        <f aca="false">I1740*G1740</f>
        <v>129.04</v>
      </c>
      <c r="K1740" s="20" t="str">
        <f aca="false">IF(INDEX('05 MATERIAL RATE LIBRARY'!$M$5:$M$400,MATCH("MAT-PPR-250-TE",'05 MATERIAL RATE LIBRARY'!$A$5:$A$400,0))=1,"",IF(INDEX('05 MATERIAL RATE LIBRARY'!$M$5:$M$400,MATCH("MAT-PPR-250-TE",'05 MATERIAL RATE LIBRARY'!$A$5:$A$400,0))=2,"OLD RATE","NO RATE"))</f>
        <v/>
      </c>
    </row>
    <row r="1741" customFormat="false" ht="15" hidden="false" customHeight="true" outlineLevel="0" collapsed="false">
      <c r="A1741" s="9" t="s">
        <v>453</v>
      </c>
      <c r="B1741" s="9" t="s">
        <v>798</v>
      </c>
      <c r="C1741" s="9" t="s">
        <v>1132</v>
      </c>
      <c r="D1741" s="5" t="s">
        <v>1133</v>
      </c>
      <c r="E1741" s="9" t="s">
        <v>368</v>
      </c>
      <c r="F1741" s="18" t="n">
        <f aca="false">1/3</f>
        <v>0.333333333333333</v>
      </c>
      <c r="G1741" s="13" t="n">
        <f aca="false">N(INDEX('05 MATERIAL RATE LIBRARY'!$E$5:$E$400,MATCH("MAT-CLMP",'05 MATERIAL RATE LIBRARY'!$A$5:$A$400,0)))</f>
        <v>123.1</v>
      </c>
      <c r="H1741" s="21" t="n">
        <v>0</v>
      </c>
      <c r="I1741" s="18" t="n">
        <f aca="false">F1741*(1+H1741)</f>
        <v>0.333333333333333</v>
      </c>
      <c r="J1741" s="13" t="n">
        <f aca="false">I1741*G1741</f>
        <v>41.0333333333333</v>
      </c>
      <c r="K1741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742" customFormat="false" ht="15" hidden="false" customHeight="true" outlineLevel="0" collapsed="false">
      <c r="A1742" s="9" t="s">
        <v>453</v>
      </c>
      <c r="B1742" s="9" t="s">
        <v>812</v>
      </c>
      <c r="C1742" s="9" t="s">
        <v>1134</v>
      </c>
      <c r="D1742" s="5" t="s">
        <v>1169</v>
      </c>
      <c r="E1742" s="9" t="s">
        <v>815</v>
      </c>
      <c r="F1742" s="18" t="n">
        <f aca="false">'13 PRODUCTIVITY LIBRARY'!E39/'13 PRODUCTIVITY LIBRARY'!D39</f>
        <v>0.04</v>
      </c>
      <c r="G1742" s="13" t="n">
        <f aca="false">N(INDEX('06 LABOUR RATE LIBRARY'!$D$5:$D$100,MATCH("LAB-PLB",'06 LABOUR RATE LIBRARY'!$A$5:$A$100,0)))</f>
        <v>2600</v>
      </c>
      <c r="H1742" s="21" t="n">
        <v>0</v>
      </c>
      <c r="I1742" s="18" t="n">
        <f aca="false">F1742*(1+H1742)</f>
        <v>0.04</v>
      </c>
      <c r="J1742" s="13" t="n">
        <f aca="false">I1742*G1742</f>
        <v>104</v>
      </c>
      <c r="K1742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743" customFormat="false" ht="15" hidden="false" customHeight="true" outlineLevel="0" collapsed="false">
      <c r="A1743" s="9" t="s">
        <v>453</v>
      </c>
      <c r="B1743" s="9" t="s">
        <v>812</v>
      </c>
      <c r="C1743" s="9" t="s">
        <v>816</v>
      </c>
      <c r="D1743" s="5" t="s">
        <v>1170</v>
      </c>
      <c r="E1743" s="9" t="s">
        <v>815</v>
      </c>
      <c r="F1743" s="18" t="n">
        <f aca="false">'13 PRODUCTIVITY LIBRARY'!F39/'13 PRODUCTIVITY LIBRARY'!D39</f>
        <v>0.04</v>
      </c>
      <c r="G1743" s="13" t="n">
        <f aca="false">N(INDEX('06 LABOUR RATE LIBRARY'!$D$5:$D$100,MATCH("LAB-HLP",'06 LABOUR RATE LIBRARY'!$A$5:$A$100,0)))</f>
        <v>1538</v>
      </c>
      <c r="H1743" s="21" t="n">
        <v>0</v>
      </c>
      <c r="I1743" s="18" t="n">
        <f aca="false">F1743*(1+H1743)</f>
        <v>0.04</v>
      </c>
      <c r="J1743" s="13" t="n">
        <f aca="false">I1743*G1743</f>
        <v>61.52</v>
      </c>
      <c r="K174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744" customFormat="false" ht="15" hidden="false" customHeight="true" outlineLevel="0" collapsed="false">
      <c r="D1744" s="22" t="s">
        <v>825</v>
      </c>
      <c r="J1744" s="23" t="n">
        <f aca="false">SUMPRODUCT((B1737:B1743="Material")*F1737:F1743*G1737:G1743)</f>
        <v>1756.64040650407</v>
      </c>
    </row>
    <row r="1745" customFormat="false" ht="15" hidden="false" customHeight="true" outlineLevel="0" collapsed="false">
      <c r="D1745" s="22" t="s">
        <v>826</v>
      </c>
      <c r="J1745" s="23" t="n">
        <f aca="false">SUMIF(B1737:B1743,"Material",J1737:J1743)-J1744</f>
        <v>67.3425</v>
      </c>
    </row>
    <row r="1746" customFormat="false" ht="15" hidden="false" customHeight="true" outlineLevel="0" collapsed="false">
      <c r="D1746" s="24" t="s">
        <v>827</v>
      </c>
      <c r="J1746" s="14" t="n">
        <f aca="false">SUMIF(B1737:B1743,"Material",J1737:J1743)</f>
        <v>1823.98290650406</v>
      </c>
    </row>
    <row r="1747" customFormat="false" ht="15" hidden="false" customHeight="true" outlineLevel="0" collapsed="false">
      <c r="D1747" s="24" t="s">
        <v>828</v>
      </c>
      <c r="J1747" s="14" t="n">
        <f aca="false">SUMIF(B1737:B1743,"Labour",J1737:J1743)</f>
        <v>165.52</v>
      </c>
    </row>
    <row r="1748" customFormat="false" ht="15" hidden="false" customHeight="true" outlineLevel="0" collapsed="false">
      <c r="D1748" s="24" t="s">
        <v>829</v>
      </c>
      <c r="J1748" s="14" t="n">
        <f aca="false">SUMIF(B1737:B1743,"Equipment",J1737:J1743)</f>
        <v>0</v>
      </c>
    </row>
    <row r="1749" customFormat="false" ht="15" hidden="false" customHeight="true" outlineLevel="0" collapsed="false">
      <c r="D1749" s="24" t="s">
        <v>830</v>
      </c>
      <c r="J1749" s="14" t="n">
        <f aca="false">SUMIF(B1737:B1743,"Transport",J1737:J1743)</f>
        <v>0</v>
      </c>
    </row>
    <row r="1750" customFormat="false" ht="15" hidden="false" customHeight="true" outlineLevel="0" collapsed="false">
      <c r="D1750" s="24" t="s">
        <v>831</v>
      </c>
      <c r="J1750" s="14" t="n">
        <f aca="false">J1746+J1747+J1748+J1749</f>
        <v>1989.50290650406</v>
      </c>
    </row>
    <row r="1751" customFormat="false" ht="15" hidden="false" customHeight="true" outlineLevel="0" collapsed="false">
      <c r="D1751" s="22" t="s">
        <v>832</v>
      </c>
      <c r="J1751" s="23" t="n">
        <f aca="false">J1750*OH_Site</f>
        <v>59.6850871951219</v>
      </c>
    </row>
    <row r="1752" customFormat="false" ht="15" hidden="false" customHeight="true" outlineLevel="0" collapsed="false">
      <c r="D1752" s="22" t="s">
        <v>833</v>
      </c>
      <c r="J1752" s="23" t="n">
        <f aca="false">J1750*OH_HO</f>
        <v>99.4751453252032</v>
      </c>
    </row>
    <row r="1753" customFormat="false" ht="15" hidden="false" customHeight="true" outlineLevel="0" collapsed="false">
      <c r="D1753" s="22" t="s">
        <v>834</v>
      </c>
      <c r="J1753" s="23" t="n">
        <f aca="false">J1750*Profit</f>
        <v>198.950290650407</v>
      </c>
    </row>
    <row r="1754" customFormat="false" ht="15" hidden="false" customHeight="true" outlineLevel="0" collapsed="false">
      <c r="D1754" s="24" t="s">
        <v>835</v>
      </c>
      <c r="J1754" s="14" t="n">
        <f aca="false">J1750+J1751+J1752+J1753</f>
        <v>2347.6134296748</v>
      </c>
    </row>
    <row r="1755" customFormat="false" ht="15" hidden="false" customHeight="true" outlineLevel="0" collapsed="false">
      <c r="D1755" s="22" t="s">
        <v>836</v>
      </c>
      <c r="J1755" s="23" t="n">
        <f aca="false">IF(Tax_On="Yes",J1754*N(Tax_Rate),0)</f>
        <v>0</v>
      </c>
    </row>
    <row r="1756" customFormat="false" ht="15" hidden="false" customHeight="true" outlineLevel="0" collapsed="false">
      <c r="D1756" s="24" t="s">
        <v>1069</v>
      </c>
      <c r="J1756" s="14" t="n">
        <f aca="false">ROUND(J1754+J1755,0)</f>
        <v>2348</v>
      </c>
    </row>
    <row r="1757" customFormat="false" ht="15" hidden="false" customHeight="true" outlineLevel="0" collapsed="false">
      <c r="D1757" s="25" t="s">
        <v>838</v>
      </c>
      <c r="J1757" s="26" t="n">
        <f aca="false">COUNTIF(K1737:K1743,"NO RATE")+COUNTIF(K1737:K1743,"OLD RATE")</f>
        <v>1</v>
      </c>
    </row>
    <row r="1759" customFormat="false" ht="39.75" hidden="false" customHeight="true" outlineLevel="0" collapsed="false">
      <c r="A1759" s="4" t="s">
        <v>456</v>
      </c>
      <c r="B1759" s="16" t="s">
        <v>458</v>
      </c>
      <c r="C1759" s="16"/>
      <c r="D1759" s="16"/>
      <c r="E1759" s="16"/>
      <c r="F1759" s="16"/>
      <c r="G1759" s="16"/>
      <c r="H1759" s="16"/>
      <c r="I1759" s="16"/>
      <c r="J1759" s="4" t="s">
        <v>1061</v>
      </c>
      <c r="K1759" s="17"/>
    </row>
    <row r="1760" customFormat="false" ht="21.75" hidden="false" customHeight="true" outlineLevel="0" collapsed="false">
      <c r="A1760" s="12" t="s">
        <v>75</v>
      </c>
      <c r="B1760" s="12" t="s">
        <v>789</v>
      </c>
      <c r="C1760" s="12" t="s">
        <v>790</v>
      </c>
      <c r="D1760" s="12" t="s">
        <v>791</v>
      </c>
      <c r="E1760" s="12" t="s">
        <v>81</v>
      </c>
      <c r="F1760" s="12" t="s">
        <v>792</v>
      </c>
      <c r="G1760" s="12" t="s">
        <v>793</v>
      </c>
      <c r="H1760" s="12" t="s">
        <v>794</v>
      </c>
      <c r="I1760" s="12" t="s">
        <v>795</v>
      </c>
      <c r="J1760" s="12" t="s">
        <v>796</v>
      </c>
      <c r="K1760" s="12" t="s">
        <v>797</v>
      </c>
    </row>
    <row r="1761" customFormat="false" ht="15" hidden="false" customHeight="true" outlineLevel="0" collapsed="false">
      <c r="A1761" s="9" t="s">
        <v>456</v>
      </c>
      <c r="B1761" s="9" t="s">
        <v>798</v>
      </c>
      <c r="C1761" s="9" t="s">
        <v>1171</v>
      </c>
      <c r="D1761" s="5" t="s">
        <v>1172</v>
      </c>
      <c r="E1761" s="9" t="s">
        <v>386</v>
      </c>
      <c r="F1761" s="18" t="n">
        <v>1</v>
      </c>
      <c r="G1761" s="13" t="n">
        <f aca="false">N(INDEX('05 MATERIAL RATE LIBRARY'!$E$5:$E$400,MATCH("MAT-PPR-300",'05 MATERIAL RATE LIBRARY'!$A$5:$A$400,0)))</f>
        <v>1987.2</v>
      </c>
      <c r="H1761" s="19" t="n">
        <f aca="false">W_Pipe</f>
        <v>0.05</v>
      </c>
      <c r="I1761" s="18" t="n">
        <f aca="false">F1761*(1+H1761)</f>
        <v>1.05</v>
      </c>
      <c r="J1761" s="13" t="n">
        <f aca="false">I1761*G1761</f>
        <v>2086.56</v>
      </c>
      <c r="K1761" s="20" t="str">
        <f aca="false">IF(INDEX('05 MATERIAL RATE LIBRARY'!$M$5:$M$400,MATCH("MAT-PPR-300",'05 MATERIAL RATE LIBRARY'!$A$5:$A$400,0))=1,"",IF(INDEX('05 MATERIAL RATE LIBRARY'!$M$5:$M$400,MATCH("MAT-PPR-300",'05 MATERIAL RATE LIBRARY'!$A$5:$A$400,0))=2,"OLD RATE","NO RATE"))</f>
        <v/>
      </c>
    </row>
    <row r="1762" customFormat="false" ht="15" hidden="false" customHeight="true" outlineLevel="0" collapsed="false">
      <c r="A1762" s="9" t="s">
        <v>456</v>
      </c>
      <c r="B1762" s="9" t="s">
        <v>798</v>
      </c>
      <c r="C1762" s="9" t="s">
        <v>1173</v>
      </c>
      <c r="D1762" s="5" t="s">
        <v>1127</v>
      </c>
      <c r="E1762" s="9" t="s">
        <v>368</v>
      </c>
      <c r="F1762" s="18" t="n">
        <v>0.15</v>
      </c>
      <c r="G1762" s="13" t="n">
        <f aca="false">N(INDEX('05 MATERIAL RATE LIBRARY'!$E$5:$E$400,MATCH("MAT-PPR-300-EL",'05 MATERIAL RATE LIBRARY'!$A$5:$A$400,0)))</f>
        <v>2333</v>
      </c>
      <c r="H1762" s="21" t="n">
        <v>0</v>
      </c>
      <c r="I1762" s="18" t="n">
        <f aca="false">F1762*(1+H1762)</f>
        <v>0.15</v>
      </c>
      <c r="J1762" s="13" t="n">
        <f aca="false">I1762*G1762</f>
        <v>349.95</v>
      </c>
      <c r="K1762" s="20" t="str">
        <f aca="false">IF(INDEX('05 MATERIAL RATE LIBRARY'!$M$5:$M$400,MATCH("MAT-PPR-300-EL",'05 MATERIAL RATE LIBRARY'!$A$5:$A$400,0))=1,"",IF(INDEX('05 MATERIAL RATE LIBRARY'!$M$5:$M$400,MATCH("MAT-PPR-300-EL",'05 MATERIAL RATE LIBRARY'!$A$5:$A$400,0))=2,"OLD RATE","NO RATE"))</f>
        <v/>
      </c>
    </row>
    <row r="1763" customFormat="false" ht="15" hidden="false" customHeight="true" outlineLevel="0" collapsed="false">
      <c r="A1763" s="9" t="s">
        <v>456</v>
      </c>
      <c r="B1763" s="9" t="s">
        <v>798</v>
      </c>
      <c r="C1763" s="9" t="s">
        <v>1174</v>
      </c>
      <c r="D1763" s="5" t="s">
        <v>1129</v>
      </c>
      <c r="E1763" s="9" t="s">
        <v>368</v>
      </c>
      <c r="F1763" s="18" t="n">
        <f aca="false">1/13.12</f>
        <v>0.076219512195122</v>
      </c>
      <c r="G1763" s="13" t="n">
        <f aca="false">N(INDEX('05 MATERIAL RATE LIBRARY'!$E$5:$E$400,MATCH("MAT-PPR-300-SO",'05 MATERIAL RATE LIBRARY'!$A$5:$A$400,0)))</f>
        <v>1120</v>
      </c>
      <c r="H1763" s="21" t="n">
        <v>0</v>
      </c>
      <c r="I1763" s="18" t="n">
        <f aca="false">F1763*(1+H1763)</f>
        <v>0.076219512195122</v>
      </c>
      <c r="J1763" s="13" t="n">
        <f aca="false">I1763*G1763</f>
        <v>85.3658536585366</v>
      </c>
      <c r="K1763" s="20" t="str">
        <f aca="false">IF(INDEX('05 MATERIAL RATE LIBRARY'!$M$5:$M$400,MATCH("MAT-PPR-300-SO",'05 MATERIAL RATE LIBRARY'!$A$5:$A$400,0))=1,"",IF(INDEX('05 MATERIAL RATE LIBRARY'!$M$5:$M$400,MATCH("MAT-PPR-300-SO",'05 MATERIAL RATE LIBRARY'!$A$5:$A$400,0))=2,"OLD RATE","NO RATE"))</f>
        <v/>
      </c>
    </row>
    <row r="1764" customFormat="false" ht="15" hidden="false" customHeight="true" outlineLevel="0" collapsed="false">
      <c r="A1764" s="9" t="s">
        <v>456</v>
      </c>
      <c r="B1764" s="9" t="s">
        <v>798</v>
      </c>
      <c r="C1764" s="9" t="s">
        <v>1175</v>
      </c>
      <c r="D1764" s="5" t="s">
        <v>1131</v>
      </c>
      <c r="E1764" s="9" t="s">
        <v>368</v>
      </c>
      <c r="F1764" s="18" t="n">
        <v>0.08</v>
      </c>
      <c r="G1764" s="13" t="n">
        <f aca="false">N(INDEX('05 MATERIAL RATE LIBRARY'!$E$5:$E$400,MATCH("MAT-PPR-300-TE",'05 MATERIAL RATE LIBRARY'!$A$5:$A$400,0)))</f>
        <v>2718</v>
      </c>
      <c r="H1764" s="21" t="n">
        <v>0</v>
      </c>
      <c r="I1764" s="18" t="n">
        <f aca="false">F1764*(1+H1764)</f>
        <v>0.08</v>
      </c>
      <c r="J1764" s="13" t="n">
        <f aca="false">I1764*G1764</f>
        <v>217.44</v>
      </c>
      <c r="K1764" s="20" t="str">
        <f aca="false">IF(INDEX('05 MATERIAL RATE LIBRARY'!$M$5:$M$400,MATCH("MAT-PPR-300-TE",'05 MATERIAL RATE LIBRARY'!$A$5:$A$400,0))=1,"",IF(INDEX('05 MATERIAL RATE LIBRARY'!$M$5:$M$400,MATCH("MAT-PPR-300-TE",'05 MATERIAL RATE LIBRARY'!$A$5:$A$400,0))=2,"OLD RATE","NO RATE"))</f>
        <v/>
      </c>
    </row>
    <row r="1765" customFormat="false" ht="15" hidden="false" customHeight="true" outlineLevel="0" collapsed="false">
      <c r="A1765" s="9" t="s">
        <v>456</v>
      </c>
      <c r="B1765" s="9" t="s">
        <v>798</v>
      </c>
      <c r="C1765" s="9" t="s">
        <v>1132</v>
      </c>
      <c r="D1765" s="5" t="s">
        <v>1133</v>
      </c>
      <c r="E1765" s="9" t="s">
        <v>368</v>
      </c>
      <c r="F1765" s="18" t="n">
        <f aca="false">1/3</f>
        <v>0.333333333333333</v>
      </c>
      <c r="G1765" s="13" t="n">
        <f aca="false">N(INDEX('05 MATERIAL RATE LIBRARY'!$E$5:$E$400,MATCH("MAT-CLMP",'05 MATERIAL RATE LIBRARY'!$A$5:$A$400,0)))</f>
        <v>123.1</v>
      </c>
      <c r="H1765" s="21" t="n">
        <v>0</v>
      </c>
      <c r="I1765" s="18" t="n">
        <f aca="false">F1765*(1+H1765)</f>
        <v>0.333333333333333</v>
      </c>
      <c r="J1765" s="13" t="n">
        <f aca="false">I1765*G1765</f>
        <v>41.0333333333333</v>
      </c>
      <c r="K1765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766" customFormat="false" ht="15" hidden="false" customHeight="true" outlineLevel="0" collapsed="false">
      <c r="A1766" s="9" t="s">
        <v>456</v>
      </c>
      <c r="B1766" s="9" t="s">
        <v>812</v>
      </c>
      <c r="C1766" s="9" t="s">
        <v>1134</v>
      </c>
      <c r="D1766" s="5" t="s">
        <v>1176</v>
      </c>
      <c r="E1766" s="9" t="s">
        <v>815</v>
      </c>
      <c r="F1766" s="18" t="n">
        <f aca="false">'13 PRODUCTIVITY LIBRARY'!E40/'13 PRODUCTIVITY LIBRARY'!D40</f>
        <v>0.05</v>
      </c>
      <c r="G1766" s="13" t="n">
        <f aca="false">N(INDEX('06 LABOUR RATE LIBRARY'!$D$5:$D$100,MATCH("LAB-PLB",'06 LABOUR RATE LIBRARY'!$A$5:$A$100,0)))</f>
        <v>2600</v>
      </c>
      <c r="H1766" s="21" t="n">
        <v>0</v>
      </c>
      <c r="I1766" s="18" t="n">
        <f aca="false">F1766*(1+H1766)</f>
        <v>0.05</v>
      </c>
      <c r="J1766" s="13" t="n">
        <f aca="false">I1766*G1766</f>
        <v>130</v>
      </c>
      <c r="K1766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767" customFormat="false" ht="15" hidden="false" customHeight="true" outlineLevel="0" collapsed="false">
      <c r="A1767" s="9" t="s">
        <v>456</v>
      </c>
      <c r="B1767" s="9" t="s">
        <v>812</v>
      </c>
      <c r="C1767" s="9" t="s">
        <v>816</v>
      </c>
      <c r="D1767" s="5" t="s">
        <v>1177</v>
      </c>
      <c r="E1767" s="9" t="s">
        <v>815</v>
      </c>
      <c r="F1767" s="18" t="n">
        <f aca="false">'13 PRODUCTIVITY LIBRARY'!F40/'13 PRODUCTIVITY LIBRARY'!D40</f>
        <v>0.05</v>
      </c>
      <c r="G1767" s="13" t="n">
        <f aca="false">N(INDEX('06 LABOUR RATE LIBRARY'!$D$5:$D$100,MATCH("LAB-HLP",'06 LABOUR RATE LIBRARY'!$A$5:$A$100,0)))</f>
        <v>1538</v>
      </c>
      <c r="H1767" s="21" t="n">
        <v>0</v>
      </c>
      <c r="I1767" s="18" t="n">
        <f aca="false">F1767*(1+H1767)</f>
        <v>0.05</v>
      </c>
      <c r="J1767" s="13" t="n">
        <f aca="false">I1767*G1767</f>
        <v>76.9</v>
      </c>
      <c r="K176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768" customFormat="false" ht="15" hidden="false" customHeight="true" outlineLevel="0" collapsed="false">
      <c r="D1768" s="22" t="s">
        <v>825</v>
      </c>
      <c r="J1768" s="23" t="n">
        <f aca="false">SUMPRODUCT((B1761:B1767="Material")*F1761:F1767*G1761:G1767)</f>
        <v>2680.98918699187</v>
      </c>
    </row>
    <row r="1769" customFormat="false" ht="15" hidden="false" customHeight="true" outlineLevel="0" collapsed="false">
      <c r="D1769" s="22" t="s">
        <v>826</v>
      </c>
      <c r="J1769" s="23" t="n">
        <f aca="false">SUMIF(B1761:B1767,"Material",J1761:J1767)-J1768</f>
        <v>99.3599999999997</v>
      </c>
    </row>
    <row r="1770" customFormat="false" ht="15" hidden="false" customHeight="true" outlineLevel="0" collapsed="false">
      <c r="D1770" s="24" t="s">
        <v>827</v>
      </c>
      <c r="J1770" s="14" t="n">
        <f aca="false">SUMIF(B1761:B1767,"Material",J1761:J1767)</f>
        <v>2780.34918699187</v>
      </c>
    </row>
    <row r="1771" customFormat="false" ht="15" hidden="false" customHeight="true" outlineLevel="0" collapsed="false">
      <c r="D1771" s="24" t="s">
        <v>828</v>
      </c>
      <c r="J1771" s="14" t="n">
        <f aca="false">SUMIF(B1761:B1767,"Labour",J1761:J1767)</f>
        <v>206.9</v>
      </c>
    </row>
    <row r="1772" customFormat="false" ht="15" hidden="false" customHeight="true" outlineLevel="0" collapsed="false">
      <c r="D1772" s="24" t="s">
        <v>829</v>
      </c>
      <c r="J1772" s="14" t="n">
        <f aca="false">SUMIF(B1761:B1767,"Equipment",J1761:J1767)</f>
        <v>0</v>
      </c>
    </row>
    <row r="1773" customFormat="false" ht="15" hidden="false" customHeight="true" outlineLevel="0" collapsed="false">
      <c r="D1773" s="24" t="s">
        <v>830</v>
      </c>
      <c r="J1773" s="14" t="n">
        <f aca="false">SUMIF(B1761:B1767,"Transport",J1761:J1767)</f>
        <v>0</v>
      </c>
    </row>
    <row r="1774" customFormat="false" ht="15" hidden="false" customHeight="true" outlineLevel="0" collapsed="false">
      <c r="D1774" s="24" t="s">
        <v>831</v>
      </c>
      <c r="J1774" s="14" t="n">
        <f aca="false">J1770+J1771+J1772+J1773</f>
        <v>2987.24918699187</v>
      </c>
    </row>
    <row r="1775" customFormat="false" ht="15" hidden="false" customHeight="true" outlineLevel="0" collapsed="false">
      <c r="D1775" s="22" t="s">
        <v>832</v>
      </c>
      <c r="J1775" s="23" t="n">
        <f aca="false">J1774*OH_Site</f>
        <v>89.6174756097561</v>
      </c>
    </row>
    <row r="1776" customFormat="false" ht="15" hidden="false" customHeight="true" outlineLevel="0" collapsed="false">
      <c r="D1776" s="22" t="s">
        <v>833</v>
      </c>
      <c r="J1776" s="23" t="n">
        <f aca="false">J1774*OH_HO</f>
        <v>149.362459349594</v>
      </c>
    </row>
    <row r="1777" customFormat="false" ht="15" hidden="false" customHeight="true" outlineLevel="0" collapsed="false">
      <c r="D1777" s="22" t="s">
        <v>834</v>
      </c>
      <c r="J1777" s="23" t="n">
        <f aca="false">J1774*Profit</f>
        <v>298.724918699187</v>
      </c>
    </row>
    <row r="1778" customFormat="false" ht="15" hidden="false" customHeight="true" outlineLevel="0" collapsed="false">
      <c r="D1778" s="24" t="s">
        <v>835</v>
      </c>
      <c r="J1778" s="14" t="n">
        <f aca="false">J1774+J1775+J1776+J1777</f>
        <v>3524.95404065041</v>
      </c>
    </row>
    <row r="1779" customFormat="false" ht="15" hidden="false" customHeight="true" outlineLevel="0" collapsed="false">
      <c r="D1779" s="22" t="s">
        <v>836</v>
      </c>
      <c r="J1779" s="23" t="n">
        <f aca="false">IF(Tax_On="Yes",J1778*N(Tax_Rate),0)</f>
        <v>0</v>
      </c>
    </row>
    <row r="1780" customFormat="false" ht="15" hidden="false" customHeight="true" outlineLevel="0" collapsed="false">
      <c r="D1780" s="24" t="s">
        <v>1069</v>
      </c>
      <c r="J1780" s="14" t="n">
        <f aca="false">ROUND(J1778+J1779,0)</f>
        <v>3525</v>
      </c>
    </row>
    <row r="1781" customFormat="false" ht="15" hidden="false" customHeight="true" outlineLevel="0" collapsed="false">
      <c r="D1781" s="25" t="s">
        <v>838</v>
      </c>
      <c r="J1781" s="26" t="n">
        <f aca="false">COUNTIF(K1761:K1767,"NO RATE")+COUNTIF(K1761:K1767,"OLD RATE")</f>
        <v>1</v>
      </c>
    </row>
    <row r="1783" customFormat="false" ht="39.75" hidden="false" customHeight="true" outlineLevel="0" collapsed="false">
      <c r="A1783" s="4" t="s">
        <v>459</v>
      </c>
      <c r="B1783" s="16" t="s">
        <v>461</v>
      </c>
      <c r="C1783" s="16"/>
      <c r="D1783" s="16"/>
      <c r="E1783" s="16"/>
      <c r="F1783" s="16"/>
      <c r="G1783" s="16"/>
      <c r="H1783" s="16"/>
      <c r="I1783" s="16"/>
      <c r="J1783" s="4" t="s">
        <v>1061</v>
      </c>
      <c r="K1783" s="17"/>
    </row>
    <row r="1784" customFormat="false" ht="21.75" hidden="false" customHeight="true" outlineLevel="0" collapsed="false">
      <c r="A1784" s="12" t="s">
        <v>75</v>
      </c>
      <c r="B1784" s="12" t="s">
        <v>789</v>
      </c>
      <c r="C1784" s="12" t="s">
        <v>790</v>
      </c>
      <c r="D1784" s="12" t="s">
        <v>791</v>
      </c>
      <c r="E1784" s="12" t="s">
        <v>81</v>
      </c>
      <c r="F1784" s="12" t="s">
        <v>792</v>
      </c>
      <c r="G1784" s="12" t="s">
        <v>793</v>
      </c>
      <c r="H1784" s="12" t="s">
        <v>794</v>
      </c>
      <c r="I1784" s="12" t="s">
        <v>795</v>
      </c>
      <c r="J1784" s="12" t="s">
        <v>796</v>
      </c>
      <c r="K1784" s="12" t="s">
        <v>797</v>
      </c>
    </row>
    <row r="1785" customFormat="false" ht="15" hidden="false" customHeight="true" outlineLevel="0" collapsed="false">
      <c r="A1785" s="9" t="s">
        <v>459</v>
      </c>
      <c r="B1785" s="9" t="s">
        <v>798</v>
      </c>
      <c r="C1785" s="9" t="s">
        <v>1178</v>
      </c>
      <c r="D1785" s="5" t="s">
        <v>1179</v>
      </c>
      <c r="E1785" s="9" t="s">
        <v>386</v>
      </c>
      <c r="F1785" s="18" t="n">
        <v>1</v>
      </c>
      <c r="G1785" s="13" t="n">
        <f aca="false">N(INDEX('05 MATERIAL RATE LIBRARY'!$E$5:$E$400,MATCH("MAT-PPR-400",'05 MATERIAL RATE LIBRARY'!$A$5:$A$400,0)))</f>
        <v>2837.55</v>
      </c>
      <c r="H1785" s="19" t="n">
        <f aca="false">W_Pipe</f>
        <v>0.05</v>
      </c>
      <c r="I1785" s="18" t="n">
        <f aca="false">F1785*(1+H1785)</f>
        <v>1.05</v>
      </c>
      <c r="J1785" s="13" t="n">
        <f aca="false">I1785*G1785</f>
        <v>2979.4275</v>
      </c>
      <c r="K1785" s="20" t="str">
        <f aca="false">IF(INDEX('05 MATERIAL RATE LIBRARY'!$M$5:$M$400,MATCH("MAT-PPR-400",'05 MATERIAL RATE LIBRARY'!$A$5:$A$400,0))=1,"",IF(INDEX('05 MATERIAL RATE LIBRARY'!$M$5:$M$400,MATCH("MAT-PPR-400",'05 MATERIAL RATE LIBRARY'!$A$5:$A$400,0))=2,"OLD RATE","NO RATE"))</f>
        <v/>
      </c>
    </row>
    <row r="1786" customFormat="false" ht="15" hidden="false" customHeight="true" outlineLevel="0" collapsed="false">
      <c r="A1786" s="9" t="s">
        <v>459</v>
      </c>
      <c r="B1786" s="9" t="s">
        <v>798</v>
      </c>
      <c r="C1786" s="9" t="s">
        <v>1180</v>
      </c>
      <c r="D1786" s="5" t="s">
        <v>1127</v>
      </c>
      <c r="E1786" s="9" t="s">
        <v>368</v>
      </c>
      <c r="F1786" s="18" t="n">
        <v>0.15</v>
      </c>
      <c r="G1786" s="13" t="n">
        <f aca="false">N(INDEX('05 MATERIAL RATE LIBRARY'!$E$5:$E$400,MATCH("MAT-PPR-400-EL",'05 MATERIAL RATE LIBRARY'!$A$5:$A$400,0)))</f>
        <v>4797</v>
      </c>
      <c r="H1786" s="21" t="n">
        <v>0</v>
      </c>
      <c r="I1786" s="18" t="n">
        <f aca="false">F1786*(1+H1786)</f>
        <v>0.15</v>
      </c>
      <c r="J1786" s="13" t="n">
        <f aca="false">I1786*G1786</f>
        <v>719.55</v>
      </c>
      <c r="K1786" s="20" t="str">
        <f aca="false">IF(INDEX('05 MATERIAL RATE LIBRARY'!$M$5:$M$400,MATCH("MAT-PPR-400-EL",'05 MATERIAL RATE LIBRARY'!$A$5:$A$400,0))=1,"",IF(INDEX('05 MATERIAL RATE LIBRARY'!$M$5:$M$400,MATCH("MAT-PPR-400-EL",'05 MATERIAL RATE LIBRARY'!$A$5:$A$400,0))=2,"OLD RATE","NO RATE"))</f>
        <v/>
      </c>
    </row>
    <row r="1787" customFormat="false" ht="15" hidden="false" customHeight="true" outlineLevel="0" collapsed="false">
      <c r="A1787" s="9" t="s">
        <v>459</v>
      </c>
      <c r="B1787" s="9" t="s">
        <v>798</v>
      </c>
      <c r="C1787" s="9" t="s">
        <v>1181</v>
      </c>
      <c r="D1787" s="5" t="s">
        <v>1129</v>
      </c>
      <c r="E1787" s="9" t="s">
        <v>368</v>
      </c>
      <c r="F1787" s="18" t="n">
        <f aca="false">1/13.12</f>
        <v>0.076219512195122</v>
      </c>
      <c r="G1787" s="13" t="n">
        <f aca="false">N(INDEX('05 MATERIAL RATE LIBRARY'!$E$5:$E$400,MATCH("MAT-PPR-400-SO",'05 MATERIAL RATE LIBRARY'!$A$5:$A$400,0)))</f>
        <v>2266</v>
      </c>
      <c r="H1787" s="21" t="n">
        <v>0</v>
      </c>
      <c r="I1787" s="18" t="n">
        <f aca="false">F1787*(1+H1787)</f>
        <v>0.076219512195122</v>
      </c>
      <c r="J1787" s="13" t="n">
        <f aca="false">I1787*G1787</f>
        <v>172.713414634146</v>
      </c>
      <c r="K1787" s="20" t="str">
        <f aca="false">IF(INDEX('05 MATERIAL RATE LIBRARY'!$M$5:$M$400,MATCH("MAT-PPR-400-SO",'05 MATERIAL RATE LIBRARY'!$A$5:$A$400,0))=1,"",IF(INDEX('05 MATERIAL RATE LIBRARY'!$M$5:$M$400,MATCH("MAT-PPR-400-SO",'05 MATERIAL RATE LIBRARY'!$A$5:$A$400,0))=2,"OLD RATE","NO RATE"))</f>
        <v/>
      </c>
    </row>
    <row r="1788" customFormat="false" ht="15" hidden="false" customHeight="true" outlineLevel="0" collapsed="false">
      <c r="A1788" s="9" t="s">
        <v>459</v>
      </c>
      <c r="B1788" s="9" t="s">
        <v>798</v>
      </c>
      <c r="C1788" s="9" t="s">
        <v>1182</v>
      </c>
      <c r="D1788" s="5" t="s">
        <v>1131</v>
      </c>
      <c r="E1788" s="9" t="s">
        <v>368</v>
      </c>
      <c r="F1788" s="18" t="n">
        <v>0.08</v>
      </c>
      <c r="G1788" s="13" t="n">
        <f aca="false">N(INDEX('05 MATERIAL RATE LIBRARY'!$E$5:$E$400,MATCH("MAT-PPR-400-TE",'05 MATERIAL RATE LIBRARY'!$A$5:$A$400,0)))</f>
        <v>4437</v>
      </c>
      <c r="H1788" s="21" t="n">
        <v>0</v>
      </c>
      <c r="I1788" s="18" t="n">
        <f aca="false">F1788*(1+H1788)</f>
        <v>0.08</v>
      </c>
      <c r="J1788" s="13" t="n">
        <f aca="false">I1788*G1788</f>
        <v>354.96</v>
      </c>
      <c r="K1788" s="20" t="str">
        <f aca="false">IF(INDEX('05 MATERIAL RATE LIBRARY'!$M$5:$M$400,MATCH("MAT-PPR-400-TE",'05 MATERIAL RATE LIBRARY'!$A$5:$A$400,0))=1,"",IF(INDEX('05 MATERIAL RATE LIBRARY'!$M$5:$M$400,MATCH("MAT-PPR-400-TE",'05 MATERIAL RATE LIBRARY'!$A$5:$A$400,0))=2,"OLD RATE","NO RATE"))</f>
        <v/>
      </c>
    </row>
    <row r="1789" customFormat="false" ht="15" hidden="false" customHeight="true" outlineLevel="0" collapsed="false">
      <c r="A1789" s="9" t="s">
        <v>459</v>
      </c>
      <c r="B1789" s="9" t="s">
        <v>798</v>
      </c>
      <c r="C1789" s="9" t="s">
        <v>1132</v>
      </c>
      <c r="D1789" s="5" t="s">
        <v>1133</v>
      </c>
      <c r="E1789" s="9" t="s">
        <v>368</v>
      </c>
      <c r="F1789" s="18" t="n">
        <f aca="false">1/3</f>
        <v>0.333333333333333</v>
      </c>
      <c r="G1789" s="13" t="n">
        <f aca="false">N(INDEX('05 MATERIAL RATE LIBRARY'!$E$5:$E$400,MATCH("MAT-CLMP",'05 MATERIAL RATE LIBRARY'!$A$5:$A$400,0)))</f>
        <v>123.1</v>
      </c>
      <c r="H1789" s="21" t="n">
        <v>0</v>
      </c>
      <c r="I1789" s="18" t="n">
        <f aca="false">F1789*(1+H1789)</f>
        <v>0.333333333333333</v>
      </c>
      <c r="J1789" s="13" t="n">
        <f aca="false">I1789*G1789</f>
        <v>41.0333333333333</v>
      </c>
      <c r="K1789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790" customFormat="false" ht="15" hidden="false" customHeight="true" outlineLevel="0" collapsed="false">
      <c r="A1790" s="9" t="s">
        <v>459</v>
      </c>
      <c r="B1790" s="9" t="s">
        <v>812</v>
      </c>
      <c r="C1790" s="9" t="s">
        <v>1134</v>
      </c>
      <c r="D1790" s="5" t="s">
        <v>1183</v>
      </c>
      <c r="E1790" s="9" t="s">
        <v>815</v>
      </c>
      <c r="F1790" s="18" t="n">
        <f aca="false">'13 PRODUCTIVITY LIBRARY'!E41/'13 PRODUCTIVITY LIBRARY'!D41</f>
        <v>0.0588235294117647</v>
      </c>
      <c r="G1790" s="13" t="n">
        <f aca="false">N(INDEX('06 LABOUR RATE LIBRARY'!$D$5:$D$100,MATCH("LAB-PLB",'06 LABOUR RATE LIBRARY'!$A$5:$A$100,0)))</f>
        <v>2600</v>
      </c>
      <c r="H1790" s="21" t="n">
        <v>0</v>
      </c>
      <c r="I1790" s="18" t="n">
        <f aca="false">F1790*(1+H1790)</f>
        <v>0.0588235294117647</v>
      </c>
      <c r="J1790" s="13" t="n">
        <f aca="false">I1790*G1790</f>
        <v>152.941176470588</v>
      </c>
      <c r="K1790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791" customFormat="false" ht="15" hidden="false" customHeight="true" outlineLevel="0" collapsed="false">
      <c r="A1791" s="9" t="s">
        <v>459</v>
      </c>
      <c r="B1791" s="9" t="s">
        <v>812</v>
      </c>
      <c r="C1791" s="9" t="s">
        <v>816</v>
      </c>
      <c r="D1791" s="5" t="s">
        <v>1184</v>
      </c>
      <c r="E1791" s="9" t="s">
        <v>815</v>
      </c>
      <c r="F1791" s="18" t="n">
        <f aca="false">'13 PRODUCTIVITY LIBRARY'!F41/'13 PRODUCTIVITY LIBRARY'!D41</f>
        <v>0.0588235294117647</v>
      </c>
      <c r="G1791" s="13" t="n">
        <f aca="false">N(INDEX('06 LABOUR RATE LIBRARY'!$D$5:$D$100,MATCH("LAB-HLP",'06 LABOUR RATE LIBRARY'!$A$5:$A$100,0)))</f>
        <v>1538</v>
      </c>
      <c r="H1791" s="21" t="n">
        <v>0</v>
      </c>
      <c r="I1791" s="18" t="n">
        <f aca="false">F1791*(1+H1791)</f>
        <v>0.0588235294117647</v>
      </c>
      <c r="J1791" s="13" t="n">
        <f aca="false">I1791*G1791</f>
        <v>90.4705882352941</v>
      </c>
      <c r="K179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792" customFormat="false" ht="15" hidden="false" customHeight="true" outlineLevel="0" collapsed="false">
      <c r="D1792" s="22" t="s">
        <v>825</v>
      </c>
      <c r="J1792" s="23" t="n">
        <f aca="false">SUMPRODUCT((B1785:B1791="Material")*F1785:F1791*G1785:G1791)</f>
        <v>4125.80674796748</v>
      </c>
    </row>
    <row r="1793" customFormat="false" ht="15" hidden="false" customHeight="true" outlineLevel="0" collapsed="false">
      <c r="D1793" s="22" t="s">
        <v>826</v>
      </c>
      <c r="J1793" s="23" t="n">
        <f aca="false">SUMIF(B1785:B1791,"Material",J1785:J1791)-J1792</f>
        <v>141.8775</v>
      </c>
    </row>
    <row r="1794" customFormat="false" ht="15" hidden="false" customHeight="true" outlineLevel="0" collapsed="false">
      <c r="D1794" s="24" t="s">
        <v>827</v>
      </c>
      <c r="J1794" s="14" t="n">
        <f aca="false">SUMIF(B1785:B1791,"Material",J1785:J1791)</f>
        <v>4267.68424796748</v>
      </c>
    </row>
    <row r="1795" customFormat="false" ht="15" hidden="false" customHeight="true" outlineLevel="0" collapsed="false">
      <c r="D1795" s="24" t="s">
        <v>828</v>
      </c>
      <c r="J1795" s="14" t="n">
        <f aca="false">SUMIF(B1785:B1791,"Labour",J1785:J1791)</f>
        <v>243.411764705882</v>
      </c>
    </row>
    <row r="1796" customFormat="false" ht="15" hidden="false" customHeight="true" outlineLevel="0" collapsed="false">
      <c r="D1796" s="24" t="s">
        <v>829</v>
      </c>
      <c r="J1796" s="14" t="n">
        <f aca="false">SUMIF(B1785:B1791,"Equipment",J1785:J1791)</f>
        <v>0</v>
      </c>
    </row>
    <row r="1797" customFormat="false" ht="15" hidden="false" customHeight="true" outlineLevel="0" collapsed="false">
      <c r="D1797" s="24" t="s">
        <v>830</v>
      </c>
      <c r="J1797" s="14" t="n">
        <f aca="false">SUMIF(B1785:B1791,"Transport",J1785:J1791)</f>
        <v>0</v>
      </c>
    </row>
    <row r="1798" customFormat="false" ht="15" hidden="false" customHeight="true" outlineLevel="0" collapsed="false">
      <c r="D1798" s="24" t="s">
        <v>831</v>
      </c>
      <c r="J1798" s="14" t="n">
        <f aca="false">J1794+J1795+J1796+J1797</f>
        <v>4511.09601267336</v>
      </c>
    </row>
    <row r="1799" customFormat="false" ht="15" hidden="false" customHeight="true" outlineLevel="0" collapsed="false">
      <c r="D1799" s="22" t="s">
        <v>832</v>
      </c>
      <c r="J1799" s="23" t="n">
        <f aca="false">J1798*OH_Site</f>
        <v>135.332880380201</v>
      </c>
    </row>
    <row r="1800" customFormat="false" ht="15" hidden="false" customHeight="true" outlineLevel="0" collapsed="false">
      <c r="D1800" s="22" t="s">
        <v>833</v>
      </c>
      <c r="J1800" s="23" t="n">
        <f aca="false">J1798*OH_HO</f>
        <v>225.554800633668</v>
      </c>
    </row>
    <row r="1801" customFormat="false" ht="15" hidden="false" customHeight="true" outlineLevel="0" collapsed="false">
      <c r="D1801" s="22" t="s">
        <v>834</v>
      </c>
      <c r="J1801" s="23" t="n">
        <f aca="false">J1798*Profit</f>
        <v>451.109601267336</v>
      </c>
    </row>
    <row r="1802" customFormat="false" ht="15" hidden="false" customHeight="true" outlineLevel="0" collapsed="false">
      <c r="D1802" s="24" t="s">
        <v>835</v>
      </c>
      <c r="J1802" s="14" t="n">
        <f aca="false">J1798+J1799+J1800+J1801</f>
        <v>5323.09329495457</v>
      </c>
    </row>
    <row r="1803" customFormat="false" ht="15" hidden="false" customHeight="true" outlineLevel="0" collapsed="false">
      <c r="D1803" s="22" t="s">
        <v>836</v>
      </c>
      <c r="J1803" s="23" t="n">
        <f aca="false">IF(Tax_On="Yes",J1802*N(Tax_Rate),0)</f>
        <v>0</v>
      </c>
    </row>
    <row r="1804" customFormat="false" ht="15" hidden="false" customHeight="true" outlineLevel="0" collapsed="false">
      <c r="D1804" s="24" t="s">
        <v>1069</v>
      </c>
      <c r="J1804" s="14" t="n">
        <f aca="false">ROUND(J1802+J1803,0)</f>
        <v>5323</v>
      </c>
    </row>
    <row r="1805" customFormat="false" ht="15" hidden="false" customHeight="true" outlineLevel="0" collapsed="false">
      <c r="D1805" s="25" t="s">
        <v>838</v>
      </c>
      <c r="J1805" s="26" t="n">
        <f aca="false">COUNTIF(K1785:K1791,"NO RATE")+COUNTIF(K1785:K1791,"OLD RATE")</f>
        <v>1</v>
      </c>
    </row>
    <row r="1807" customFormat="false" ht="39.75" hidden="false" customHeight="true" outlineLevel="0" collapsed="false">
      <c r="A1807" s="4" t="s">
        <v>462</v>
      </c>
      <c r="B1807" s="16" t="s">
        <v>464</v>
      </c>
      <c r="C1807" s="16"/>
      <c r="D1807" s="16"/>
      <c r="E1807" s="16"/>
      <c r="F1807" s="16"/>
      <c r="G1807" s="16"/>
      <c r="H1807" s="16"/>
      <c r="I1807" s="16"/>
      <c r="J1807" s="4" t="s">
        <v>1061</v>
      </c>
      <c r="K1807" s="17"/>
    </row>
    <row r="1808" customFormat="false" ht="21.75" hidden="false" customHeight="true" outlineLevel="0" collapsed="false">
      <c r="A1808" s="12" t="s">
        <v>75</v>
      </c>
      <c r="B1808" s="12" t="s">
        <v>789</v>
      </c>
      <c r="C1808" s="12" t="s">
        <v>790</v>
      </c>
      <c r="D1808" s="12" t="s">
        <v>791</v>
      </c>
      <c r="E1808" s="12" t="s">
        <v>81</v>
      </c>
      <c r="F1808" s="12" t="s">
        <v>792</v>
      </c>
      <c r="G1808" s="12" t="s">
        <v>793</v>
      </c>
      <c r="H1808" s="12" t="s">
        <v>794</v>
      </c>
      <c r="I1808" s="12" t="s">
        <v>795</v>
      </c>
      <c r="J1808" s="12" t="s">
        <v>796</v>
      </c>
      <c r="K1808" s="12" t="s">
        <v>797</v>
      </c>
    </row>
    <row r="1809" customFormat="false" ht="15" hidden="false" customHeight="true" outlineLevel="0" collapsed="false">
      <c r="A1809" s="9" t="s">
        <v>462</v>
      </c>
      <c r="B1809" s="9" t="s">
        <v>798</v>
      </c>
      <c r="C1809" s="9" t="s">
        <v>1185</v>
      </c>
      <c r="D1809" s="5" t="s">
        <v>1186</v>
      </c>
      <c r="E1809" s="9" t="s">
        <v>386</v>
      </c>
      <c r="F1809" s="18" t="n">
        <v>1</v>
      </c>
      <c r="G1809" s="13" t="n">
        <f aca="false">N(INDEX('05 MATERIAL RATE LIBRARY'!$E$5:$E$400,MATCH("MAT-SWV-200",'05 MATERIAL RATE LIBRARY'!$A$5:$A$400,0)))</f>
        <v>160</v>
      </c>
      <c r="H1809" s="19" t="n">
        <f aca="false">W_Pipe</f>
        <v>0.05</v>
      </c>
      <c r="I1809" s="18" t="n">
        <f aca="false">F1809*(1+H1809)</f>
        <v>1.05</v>
      </c>
      <c r="J1809" s="13" t="n">
        <f aca="false">I1809*G1809</f>
        <v>168</v>
      </c>
      <c r="K1809" s="20" t="str">
        <f aca="false">IF(INDEX('05 MATERIAL RATE LIBRARY'!$M$5:$M$400,MATCH("MAT-SWV-200",'05 MATERIAL RATE LIBRARY'!$A$5:$A$400,0))=1,"",IF(INDEX('05 MATERIAL RATE LIBRARY'!$M$5:$M$400,MATCH("MAT-SWV-200",'05 MATERIAL RATE LIBRARY'!$A$5:$A$400,0))=2,"OLD RATE","NO RATE"))</f>
        <v/>
      </c>
    </row>
    <row r="1810" customFormat="false" ht="15" hidden="false" customHeight="true" outlineLevel="0" collapsed="false">
      <c r="A1810" s="9" t="s">
        <v>462</v>
      </c>
      <c r="B1810" s="9" t="s">
        <v>798</v>
      </c>
      <c r="C1810" s="9" t="s">
        <v>1187</v>
      </c>
      <c r="D1810" s="5" t="s">
        <v>1188</v>
      </c>
      <c r="E1810" s="9" t="s">
        <v>368</v>
      </c>
      <c r="F1810" s="18" t="n">
        <v>0.1</v>
      </c>
      <c r="G1810" s="13" t="n">
        <f aca="false">N(INDEX('05 MATERIAL RATE LIBRARY'!$E$5:$E$400,MATCH("MAT-SWV-FIT",'05 MATERIAL RATE LIBRARY'!$A$5:$A$400,0)))</f>
        <v>112.67</v>
      </c>
      <c r="H1810" s="21" t="n">
        <v>0</v>
      </c>
      <c r="I1810" s="18" t="n">
        <f aca="false">F1810*(1+H1810)</f>
        <v>0.1</v>
      </c>
      <c r="J1810" s="13" t="n">
        <f aca="false">I1810*G1810</f>
        <v>11.267</v>
      </c>
      <c r="K1810" s="20" t="str">
        <f aca="false">IF(INDEX('05 MATERIAL RATE LIBRARY'!$M$5:$M$400,MATCH("MAT-SWV-FIT",'05 MATERIAL RATE LIBRARY'!$A$5:$A$400,0))=1,"",IF(INDEX('05 MATERIAL RATE LIBRARY'!$M$5:$M$400,MATCH("MAT-SWV-FIT",'05 MATERIAL RATE LIBRARY'!$A$5:$A$400,0))=2,"OLD RATE","NO RATE"))</f>
        <v/>
      </c>
    </row>
    <row r="1811" customFormat="false" ht="15" hidden="false" customHeight="true" outlineLevel="0" collapsed="false">
      <c r="A1811" s="9" t="s">
        <v>462</v>
      </c>
      <c r="B1811" s="9" t="s">
        <v>798</v>
      </c>
      <c r="C1811" s="9" t="s">
        <v>1187</v>
      </c>
      <c r="D1811" s="5" t="s">
        <v>1189</v>
      </c>
      <c r="E1811" s="9" t="s">
        <v>368</v>
      </c>
      <c r="F1811" s="18" t="n">
        <v>0.08</v>
      </c>
      <c r="G1811" s="13" t="n">
        <f aca="false">N(INDEX('05 MATERIAL RATE LIBRARY'!$E$5:$E$400,MATCH("MAT-SWV-FIT",'05 MATERIAL RATE LIBRARY'!$A$5:$A$400,0)))</f>
        <v>112.67</v>
      </c>
      <c r="H1811" s="21" t="n">
        <v>0</v>
      </c>
      <c r="I1811" s="18" t="n">
        <f aca="false">F1811*(1+H1811)</f>
        <v>0.08</v>
      </c>
      <c r="J1811" s="13" t="n">
        <f aca="false">I1811*G1811</f>
        <v>9.0136</v>
      </c>
      <c r="K1811" s="20" t="str">
        <f aca="false">IF(INDEX('05 MATERIAL RATE LIBRARY'!$M$5:$M$400,MATCH("MAT-SWV-FIT",'05 MATERIAL RATE LIBRARY'!$A$5:$A$400,0))=1,"",IF(INDEX('05 MATERIAL RATE LIBRARY'!$M$5:$M$400,MATCH("MAT-SWV-FIT",'05 MATERIAL RATE LIBRARY'!$A$5:$A$400,0))=2,"OLD RATE","NO RATE"))</f>
        <v/>
      </c>
    </row>
    <row r="1812" customFormat="false" ht="15" hidden="false" customHeight="true" outlineLevel="0" collapsed="false">
      <c r="A1812" s="9" t="s">
        <v>462</v>
      </c>
      <c r="B1812" s="9" t="s">
        <v>798</v>
      </c>
      <c r="C1812" s="9" t="s">
        <v>1190</v>
      </c>
      <c r="D1812" s="5" t="s">
        <v>1191</v>
      </c>
      <c r="E1812" s="9" t="s">
        <v>198</v>
      </c>
      <c r="F1812" s="18" t="n">
        <v>0.005</v>
      </c>
      <c r="G1812" s="13" t="n">
        <f aca="false">N(INDEX('05 MATERIAL RATE LIBRARY'!$E$5:$E$400,MATCH("MAT-SOLV",'05 MATERIAL RATE LIBRARY'!$A$5:$A$400,0)))</f>
        <v>1700</v>
      </c>
      <c r="H1812" s="21" t="n">
        <v>0</v>
      </c>
      <c r="I1812" s="18" t="n">
        <f aca="false">F1812*(1+H1812)</f>
        <v>0.005</v>
      </c>
      <c r="J1812" s="13" t="n">
        <f aca="false">I1812*G1812</f>
        <v>8.5</v>
      </c>
      <c r="K1812" s="20" t="str">
        <f aca="false">IF(INDEX('05 MATERIAL RATE LIBRARY'!$M$5:$M$400,MATCH("MAT-SOLV",'05 MATERIAL RATE LIBRARY'!$A$5:$A$400,0))=1,"",IF(INDEX('05 MATERIAL RATE LIBRARY'!$M$5:$M$400,MATCH("MAT-SOLV",'05 MATERIAL RATE LIBRARY'!$A$5:$A$400,0))=2,"OLD RATE","NO RATE"))</f>
        <v/>
      </c>
    </row>
    <row r="1813" customFormat="false" ht="15" hidden="false" customHeight="true" outlineLevel="0" collapsed="false">
      <c r="A1813" s="9" t="s">
        <v>462</v>
      </c>
      <c r="B1813" s="9" t="s">
        <v>798</v>
      </c>
      <c r="C1813" s="9" t="s">
        <v>1132</v>
      </c>
      <c r="D1813" s="5" t="s">
        <v>1192</v>
      </c>
      <c r="E1813" s="9" t="s">
        <v>368</v>
      </c>
      <c r="F1813" s="18" t="n">
        <v>0.25</v>
      </c>
      <c r="G1813" s="13" t="n">
        <f aca="false">N(INDEX('05 MATERIAL RATE LIBRARY'!$E$5:$E$400,MATCH("MAT-CLMP",'05 MATERIAL RATE LIBRARY'!$A$5:$A$400,0)))</f>
        <v>123.1</v>
      </c>
      <c r="H1813" s="21" t="n">
        <v>0</v>
      </c>
      <c r="I1813" s="18" t="n">
        <f aca="false">F1813*(1+H1813)</f>
        <v>0.25</v>
      </c>
      <c r="J1813" s="13" t="n">
        <f aca="false">I1813*G1813</f>
        <v>30.775</v>
      </c>
      <c r="K1813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814" customFormat="false" ht="15" hidden="false" customHeight="true" outlineLevel="0" collapsed="false">
      <c r="A1814" s="9" t="s">
        <v>462</v>
      </c>
      <c r="B1814" s="9" t="s">
        <v>812</v>
      </c>
      <c r="C1814" s="9" t="s">
        <v>1134</v>
      </c>
      <c r="D1814" s="5" t="s">
        <v>1193</v>
      </c>
      <c r="E1814" s="9" t="s">
        <v>815</v>
      </c>
      <c r="F1814" s="18" t="n">
        <f aca="false">'13 PRODUCTIVITY LIBRARY'!E42/'13 PRODUCTIVITY LIBRARY'!D42</f>
        <v>0.0285714285714286</v>
      </c>
      <c r="G1814" s="13" t="n">
        <f aca="false">N(INDEX('06 LABOUR RATE LIBRARY'!$D$5:$D$100,MATCH("LAB-PLB",'06 LABOUR RATE LIBRARY'!$A$5:$A$100,0)))</f>
        <v>2600</v>
      </c>
      <c r="H1814" s="21" t="n">
        <v>0</v>
      </c>
      <c r="I1814" s="18" t="n">
        <f aca="false">F1814*(1+H1814)</f>
        <v>0.0285714285714286</v>
      </c>
      <c r="J1814" s="13" t="n">
        <f aca="false">I1814*G1814</f>
        <v>74.2857142857143</v>
      </c>
      <c r="K1814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815" customFormat="false" ht="15" hidden="false" customHeight="true" outlineLevel="0" collapsed="false">
      <c r="A1815" s="9" t="s">
        <v>462</v>
      </c>
      <c r="B1815" s="9" t="s">
        <v>812</v>
      </c>
      <c r="C1815" s="9" t="s">
        <v>816</v>
      </c>
      <c r="D1815" s="5" t="s">
        <v>1194</v>
      </c>
      <c r="E1815" s="9" t="s">
        <v>815</v>
      </c>
      <c r="F1815" s="18" t="n">
        <f aca="false">'13 PRODUCTIVITY LIBRARY'!F42/'13 PRODUCTIVITY LIBRARY'!D42</f>
        <v>0.0285714285714286</v>
      </c>
      <c r="G1815" s="13" t="n">
        <f aca="false">N(INDEX('06 LABOUR RATE LIBRARY'!$D$5:$D$100,MATCH("LAB-HLP",'06 LABOUR RATE LIBRARY'!$A$5:$A$100,0)))</f>
        <v>1538</v>
      </c>
      <c r="H1815" s="21" t="n">
        <v>0</v>
      </c>
      <c r="I1815" s="18" t="n">
        <f aca="false">F1815*(1+H1815)</f>
        <v>0.0285714285714286</v>
      </c>
      <c r="J1815" s="13" t="n">
        <f aca="false">I1815*G1815</f>
        <v>43.9428571428571</v>
      </c>
      <c r="K181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816" customFormat="false" ht="15" hidden="false" customHeight="true" outlineLevel="0" collapsed="false">
      <c r="D1816" s="22" t="s">
        <v>825</v>
      </c>
      <c r="J1816" s="23" t="n">
        <f aca="false">SUMPRODUCT((B1809:B1815="Material")*F1809:F1815*G1809:G1815)</f>
        <v>219.5556</v>
      </c>
    </row>
    <row r="1817" customFormat="false" ht="15" hidden="false" customHeight="true" outlineLevel="0" collapsed="false">
      <c r="D1817" s="22" t="s">
        <v>826</v>
      </c>
      <c r="J1817" s="23" t="n">
        <f aca="false">SUMIF(B1809:B1815,"Material",J1809:J1815)-J1816</f>
        <v>8</v>
      </c>
    </row>
    <row r="1818" customFormat="false" ht="15" hidden="false" customHeight="true" outlineLevel="0" collapsed="false">
      <c r="D1818" s="24" t="s">
        <v>827</v>
      </c>
      <c r="J1818" s="14" t="n">
        <f aca="false">SUMIF(B1809:B1815,"Material",J1809:J1815)</f>
        <v>227.5556</v>
      </c>
    </row>
    <row r="1819" customFormat="false" ht="15" hidden="false" customHeight="true" outlineLevel="0" collapsed="false">
      <c r="D1819" s="24" t="s">
        <v>828</v>
      </c>
      <c r="J1819" s="14" t="n">
        <f aca="false">SUMIF(B1809:B1815,"Labour",J1809:J1815)</f>
        <v>118.228571428571</v>
      </c>
    </row>
    <row r="1820" customFormat="false" ht="15" hidden="false" customHeight="true" outlineLevel="0" collapsed="false">
      <c r="D1820" s="24" t="s">
        <v>829</v>
      </c>
      <c r="J1820" s="14" t="n">
        <f aca="false">SUMIF(B1809:B1815,"Equipment",J1809:J1815)</f>
        <v>0</v>
      </c>
    </row>
    <row r="1821" customFormat="false" ht="15" hidden="false" customHeight="true" outlineLevel="0" collapsed="false">
      <c r="D1821" s="24" t="s">
        <v>830</v>
      </c>
      <c r="J1821" s="14" t="n">
        <f aca="false">SUMIF(B1809:B1815,"Transport",J1809:J1815)</f>
        <v>0</v>
      </c>
    </row>
    <row r="1822" customFormat="false" ht="15" hidden="false" customHeight="true" outlineLevel="0" collapsed="false">
      <c r="D1822" s="24" t="s">
        <v>831</v>
      </c>
      <c r="J1822" s="14" t="n">
        <f aca="false">J1818+J1819+J1820+J1821</f>
        <v>345.784171428571</v>
      </c>
    </row>
    <row r="1823" customFormat="false" ht="15" hidden="false" customHeight="true" outlineLevel="0" collapsed="false">
      <c r="D1823" s="22" t="s">
        <v>832</v>
      </c>
      <c r="J1823" s="23" t="n">
        <f aca="false">J1822*OH_Site</f>
        <v>10.3735251428571</v>
      </c>
    </row>
    <row r="1824" customFormat="false" ht="15" hidden="false" customHeight="true" outlineLevel="0" collapsed="false">
      <c r="D1824" s="22" t="s">
        <v>833</v>
      </c>
      <c r="J1824" s="23" t="n">
        <f aca="false">J1822*OH_HO</f>
        <v>17.2892085714286</v>
      </c>
    </row>
    <row r="1825" customFormat="false" ht="15" hidden="false" customHeight="true" outlineLevel="0" collapsed="false">
      <c r="D1825" s="22" t="s">
        <v>834</v>
      </c>
      <c r="J1825" s="23" t="n">
        <f aca="false">J1822*Profit</f>
        <v>34.5784171428571</v>
      </c>
    </row>
    <row r="1826" customFormat="false" ht="15" hidden="false" customHeight="true" outlineLevel="0" collapsed="false">
      <c r="D1826" s="24" t="s">
        <v>835</v>
      </c>
      <c r="J1826" s="14" t="n">
        <f aca="false">J1822+J1823+J1824+J1825</f>
        <v>408.025322285714</v>
      </c>
    </row>
    <row r="1827" customFormat="false" ht="15" hidden="false" customHeight="true" outlineLevel="0" collapsed="false">
      <c r="D1827" s="22" t="s">
        <v>836</v>
      </c>
      <c r="J1827" s="23" t="n">
        <f aca="false">IF(Tax_On="Yes",J1826*N(Tax_Rate),0)</f>
        <v>0</v>
      </c>
    </row>
    <row r="1828" customFormat="false" ht="15" hidden="false" customHeight="true" outlineLevel="0" collapsed="false">
      <c r="D1828" s="24" t="s">
        <v>1069</v>
      </c>
      <c r="J1828" s="14" t="n">
        <f aca="false">ROUND(J1826+J1827,0)</f>
        <v>408</v>
      </c>
    </row>
    <row r="1829" customFormat="false" ht="15" hidden="false" customHeight="true" outlineLevel="0" collapsed="false">
      <c r="D1829" s="25" t="s">
        <v>838</v>
      </c>
      <c r="J1829" s="26" t="n">
        <f aca="false">COUNTIF(K1809:K1815,"NO RATE")+COUNTIF(K1809:K1815,"OLD RATE")</f>
        <v>1</v>
      </c>
    </row>
    <row r="1831" customFormat="false" ht="39.75" hidden="false" customHeight="true" outlineLevel="0" collapsed="false">
      <c r="A1831" s="4" t="s">
        <v>466</v>
      </c>
      <c r="B1831" s="16" t="s">
        <v>468</v>
      </c>
      <c r="C1831" s="16"/>
      <c r="D1831" s="16"/>
      <c r="E1831" s="16"/>
      <c r="F1831" s="16"/>
      <c r="G1831" s="16"/>
      <c r="H1831" s="16"/>
      <c r="I1831" s="16"/>
      <c r="J1831" s="4" t="s">
        <v>1061</v>
      </c>
      <c r="K1831" s="17"/>
    </row>
    <row r="1832" customFormat="false" ht="21.75" hidden="false" customHeight="true" outlineLevel="0" collapsed="false">
      <c r="A1832" s="12" t="s">
        <v>75</v>
      </c>
      <c r="B1832" s="12" t="s">
        <v>789</v>
      </c>
      <c r="C1832" s="12" t="s">
        <v>790</v>
      </c>
      <c r="D1832" s="12" t="s">
        <v>791</v>
      </c>
      <c r="E1832" s="12" t="s">
        <v>81</v>
      </c>
      <c r="F1832" s="12" t="s">
        <v>792</v>
      </c>
      <c r="G1832" s="12" t="s">
        <v>793</v>
      </c>
      <c r="H1832" s="12" t="s">
        <v>794</v>
      </c>
      <c r="I1832" s="12" t="s">
        <v>795</v>
      </c>
      <c r="J1832" s="12" t="s">
        <v>796</v>
      </c>
      <c r="K1832" s="12" t="s">
        <v>797</v>
      </c>
    </row>
    <row r="1833" customFormat="false" ht="15" hidden="false" customHeight="true" outlineLevel="0" collapsed="false">
      <c r="A1833" s="9" t="s">
        <v>466</v>
      </c>
      <c r="B1833" s="9" t="s">
        <v>798</v>
      </c>
      <c r="C1833" s="9" t="s">
        <v>1195</v>
      </c>
      <c r="D1833" s="5" t="s">
        <v>1196</v>
      </c>
      <c r="E1833" s="9" t="s">
        <v>386</v>
      </c>
      <c r="F1833" s="18" t="n">
        <v>1</v>
      </c>
      <c r="G1833" s="13" t="n">
        <f aca="false">N(INDEX('05 MATERIAL RATE LIBRARY'!$E$5:$E$400,MATCH("MAT-SWV-300",'05 MATERIAL RATE LIBRARY'!$A$5:$A$400,0)))</f>
        <v>304</v>
      </c>
      <c r="H1833" s="19" t="n">
        <f aca="false">W_Pipe</f>
        <v>0.05</v>
      </c>
      <c r="I1833" s="18" t="n">
        <f aca="false">F1833*(1+H1833)</f>
        <v>1.05</v>
      </c>
      <c r="J1833" s="13" t="n">
        <f aca="false">I1833*G1833</f>
        <v>319.2</v>
      </c>
      <c r="K1833" s="20" t="str">
        <f aca="false">IF(INDEX('05 MATERIAL RATE LIBRARY'!$M$5:$M$400,MATCH("MAT-SWV-300",'05 MATERIAL RATE LIBRARY'!$A$5:$A$400,0))=1,"",IF(INDEX('05 MATERIAL RATE LIBRARY'!$M$5:$M$400,MATCH("MAT-SWV-300",'05 MATERIAL RATE LIBRARY'!$A$5:$A$400,0))=2,"OLD RATE","NO RATE"))</f>
        <v/>
      </c>
    </row>
    <row r="1834" customFormat="false" ht="15" hidden="false" customHeight="true" outlineLevel="0" collapsed="false">
      <c r="A1834" s="9" t="s">
        <v>466</v>
      </c>
      <c r="B1834" s="9" t="s">
        <v>798</v>
      </c>
      <c r="C1834" s="9" t="s">
        <v>1187</v>
      </c>
      <c r="D1834" s="5" t="s">
        <v>1188</v>
      </c>
      <c r="E1834" s="9" t="s">
        <v>368</v>
      </c>
      <c r="F1834" s="18" t="n">
        <v>0.1</v>
      </c>
      <c r="G1834" s="13" t="n">
        <f aca="false">N(INDEX('05 MATERIAL RATE LIBRARY'!$E$5:$E$400,MATCH("MAT-SWV-FIT",'05 MATERIAL RATE LIBRARY'!$A$5:$A$400,0)))</f>
        <v>112.67</v>
      </c>
      <c r="H1834" s="21" t="n">
        <v>0</v>
      </c>
      <c r="I1834" s="18" t="n">
        <f aca="false">F1834*(1+H1834)</f>
        <v>0.1</v>
      </c>
      <c r="J1834" s="13" t="n">
        <f aca="false">I1834*G1834</f>
        <v>11.267</v>
      </c>
      <c r="K1834" s="20" t="str">
        <f aca="false">IF(INDEX('05 MATERIAL RATE LIBRARY'!$M$5:$M$400,MATCH("MAT-SWV-FIT",'05 MATERIAL RATE LIBRARY'!$A$5:$A$400,0))=1,"",IF(INDEX('05 MATERIAL RATE LIBRARY'!$M$5:$M$400,MATCH("MAT-SWV-FIT",'05 MATERIAL RATE LIBRARY'!$A$5:$A$400,0))=2,"OLD RATE","NO RATE"))</f>
        <v/>
      </c>
    </row>
    <row r="1835" customFormat="false" ht="15" hidden="false" customHeight="true" outlineLevel="0" collapsed="false">
      <c r="A1835" s="9" t="s">
        <v>466</v>
      </c>
      <c r="B1835" s="9" t="s">
        <v>798</v>
      </c>
      <c r="C1835" s="9" t="s">
        <v>1187</v>
      </c>
      <c r="D1835" s="5" t="s">
        <v>1189</v>
      </c>
      <c r="E1835" s="9" t="s">
        <v>368</v>
      </c>
      <c r="F1835" s="18" t="n">
        <v>0.08</v>
      </c>
      <c r="G1835" s="13" t="n">
        <f aca="false">N(INDEX('05 MATERIAL RATE LIBRARY'!$E$5:$E$400,MATCH("MAT-SWV-FIT",'05 MATERIAL RATE LIBRARY'!$A$5:$A$400,0)))</f>
        <v>112.67</v>
      </c>
      <c r="H1835" s="21" t="n">
        <v>0</v>
      </c>
      <c r="I1835" s="18" t="n">
        <f aca="false">F1835*(1+H1835)</f>
        <v>0.08</v>
      </c>
      <c r="J1835" s="13" t="n">
        <f aca="false">I1835*G1835</f>
        <v>9.0136</v>
      </c>
      <c r="K1835" s="20" t="str">
        <f aca="false">IF(INDEX('05 MATERIAL RATE LIBRARY'!$M$5:$M$400,MATCH("MAT-SWV-FIT",'05 MATERIAL RATE LIBRARY'!$A$5:$A$400,0))=1,"",IF(INDEX('05 MATERIAL RATE LIBRARY'!$M$5:$M$400,MATCH("MAT-SWV-FIT",'05 MATERIAL RATE LIBRARY'!$A$5:$A$400,0))=2,"OLD RATE","NO RATE"))</f>
        <v/>
      </c>
    </row>
    <row r="1836" customFormat="false" ht="15" hidden="false" customHeight="true" outlineLevel="0" collapsed="false">
      <c r="A1836" s="9" t="s">
        <v>466</v>
      </c>
      <c r="B1836" s="9" t="s">
        <v>798</v>
      </c>
      <c r="C1836" s="9" t="s">
        <v>1190</v>
      </c>
      <c r="D1836" s="5" t="s">
        <v>1191</v>
      </c>
      <c r="E1836" s="9" t="s">
        <v>198</v>
      </c>
      <c r="F1836" s="18" t="n">
        <v>0.005</v>
      </c>
      <c r="G1836" s="13" t="n">
        <f aca="false">N(INDEX('05 MATERIAL RATE LIBRARY'!$E$5:$E$400,MATCH("MAT-SOLV",'05 MATERIAL RATE LIBRARY'!$A$5:$A$400,0)))</f>
        <v>1700</v>
      </c>
      <c r="H1836" s="21" t="n">
        <v>0</v>
      </c>
      <c r="I1836" s="18" t="n">
        <f aca="false">F1836*(1+H1836)</f>
        <v>0.005</v>
      </c>
      <c r="J1836" s="13" t="n">
        <f aca="false">I1836*G1836</f>
        <v>8.5</v>
      </c>
      <c r="K1836" s="20" t="str">
        <f aca="false">IF(INDEX('05 MATERIAL RATE LIBRARY'!$M$5:$M$400,MATCH("MAT-SOLV",'05 MATERIAL RATE LIBRARY'!$A$5:$A$400,0))=1,"",IF(INDEX('05 MATERIAL RATE LIBRARY'!$M$5:$M$400,MATCH("MAT-SOLV",'05 MATERIAL RATE LIBRARY'!$A$5:$A$400,0))=2,"OLD RATE","NO RATE"))</f>
        <v/>
      </c>
    </row>
    <row r="1837" customFormat="false" ht="15" hidden="false" customHeight="true" outlineLevel="0" collapsed="false">
      <c r="A1837" s="9" t="s">
        <v>466</v>
      </c>
      <c r="B1837" s="9" t="s">
        <v>798</v>
      </c>
      <c r="C1837" s="9" t="s">
        <v>1132</v>
      </c>
      <c r="D1837" s="5" t="s">
        <v>1192</v>
      </c>
      <c r="E1837" s="9" t="s">
        <v>368</v>
      </c>
      <c r="F1837" s="18" t="n">
        <v>0.25</v>
      </c>
      <c r="G1837" s="13" t="n">
        <f aca="false">N(INDEX('05 MATERIAL RATE LIBRARY'!$E$5:$E$400,MATCH("MAT-CLMP",'05 MATERIAL RATE LIBRARY'!$A$5:$A$400,0)))</f>
        <v>123.1</v>
      </c>
      <c r="H1837" s="21" t="n">
        <v>0</v>
      </c>
      <c r="I1837" s="18" t="n">
        <f aca="false">F1837*(1+H1837)</f>
        <v>0.25</v>
      </c>
      <c r="J1837" s="13" t="n">
        <f aca="false">I1837*G1837</f>
        <v>30.775</v>
      </c>
      <c r="K1837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838" customFormat="false" ht="15" hidden="false" customHeight="true" outlineLevel="0" collapsed="false">
      <c r="A1838" s="9" t="s">
        <v>466</v>
      </c>
      <c r="B1838" s="9" t="s">
        <v>812</v>
      </c>
      <c r="C1838" s="9" t="s">
        <v>1134</v>
      </c>
      <c r="D1838" s="5" t="s">
        <v>1197</v>
      </c>
      <c r="E1838" s="9" t="s">
        <v>815</v>
      </c>
      <c r="F1838" s="18" t="n">
        <f aca="false">'13 PRODUCTIVITY LIBRARY'!E43/'13 PRODUCTIVITY LIBRARY'!D43</f>
        <v>0.0625</v>
      </c>
      <c r="G1838" s="13" t="n">
        <f aca="false">N(INDEX('06 LABOUR RATE LIBRARY'!$D$5:$D$100,MATCH("LAB-PLB",'06 LABOUR RATE LIBRARY'!$A$5:$A$100,0)))</f>
        <v>2600</v>
      </c>
      <c r="H1838" s="21" t="n">
        <v>0</v>
      </c>
      <c r="I1838" s="18" t="n">
        <f aca="false">F1838*(1+H1838)</f>
        <v>0.0625</v>
      </c>
      <c r="J1838" s="13" t="n">
        <f aca="false">I1838*G1838</f>
        <v>162.5</v>
      </c>
      <c r="K1838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839" customFormat="false" ht="15" hidden="false" customHeight="true" outlineLevel="0" collapsed="false">
      <c r="A1839" s="9" t="s">
        <v>466</v>
      </c>
      <c r="B1839" s="9" t="s">
        <v>812</v>
      </c>
      <c r="C1839" s="9" t="s">
        <v>816</v>
      </c>
      <c r="D1839" s="5" t="s">
        <v>1198</v>
      </c>
      <c r="E1839" s="9" t="s">
        <v>815</v>
      </c>
      <c r="F1839" s="18" t="n">
        <f aca="false">'13 PRODUCTIVITY LIBRARY'!F43/'13 PRODUCTIVITY LIBRARY'!D43</f>
        <v>0.0625</v>
      </c>
      <c r="G1839" s="13" t="n">
        <f aca="false">N(INDEX('06 LABOUR RATE LIBRARY'!$D$5:$D$100,MATCH("LAB-HLP",'06 LABOUR RATE LIBRARY'!$A$5:$A$100,0)))</f>
        <v>1538</v>
      </c>
      <c r="H1839" s="21" t="n">
        <v>0</v>
      </c>
      <c r="I1839" s="18" t="n">
        <f aca="false">F1839*(1+H1839)</f>
        <v>0.0625</v>
      </c>
      <c r="J1839" s="13" t="n">
        <f aca="false">I1839*G1839</f>
        <v>96.125</v>
      </c>
      <c r="K183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840" customFormat="false" ht="15" hidden="false" customHeight="true" outlineLevel="0" collapsed="false">
      <c r="D1840" s="22" t="s">
        <v>825</v>
      </c>
      <c r="J1840" s="23" t="n">
        <f aca="false">SUMPRODUCT((B1833:B1839="Material")*F1833:F1839*G1833:G1839)</f>
        <v>363.5556</v>
      </c>
    </row>
    <row r="1841" customFormat="false" ht="15" hidden="false" customHeight="true" outlineLevel="0" collapsed="false">
      <c r="D1841" s="22" t="s">
        <v>826</v>
      </c>
      <c r="J1841" s="23" t="n">
        <f aca="false">SUMIF(B1833:B1839,"Material",J1833:J1839)-J1840</f>
        <v>15.2</v>
      </c>
    </row>
    <row r="1842" customFormat="false" ht="15" hidden="false" customHeight="true" outlineLevel="0" collapsed="false">
      <c r="D1842" s="24" t="s">
        <v>827</v>
      </c>
      <c r="J1842" s="14" t="n">
        <f aca="false">SUMIF(B1833:B1839,"Material",J1833:J1839)</f>
        <v>378.7556</v>
      </c>
    </row>
    <row r="1843" customFormat="false" ht="15" hidden="false" customHeight="true" outlineLevel="0" collapsed="false">
      <c r="D1843" s="24" t="s">
        <v>828</v>
      </c>
      <c r="J1843" s="14" t="n">
        <f aca="false">SUMIF(B1833:B1839,"Labour",J1833:J1839)</f>
        <v>258.625</v>
      </c>
    </row>
    <row r="1844" customFormat="false" ht="15" hidden="false" customHeight="true" outlineLevel="0" collapsed="false">
      <c r="D1844" s="24" t="s">
        <v>829</v>
      </c>
      <c r="J1844" s="14" t="n">
        <f aca="false">SUMIF(B1833:B1839,"Equipment",J1833:J1839)</f>
        <v>0</v>
      </c>
    </row>
    <row r="1845" customFormat="false" ht="15" hidden="false" customHeight="true" outlineLevel="0" collapsed="false">
      <c r="D1845" s="24" t="s">
        <v>830</v>
      </c>
      <c r="J1845" s="14" t="n">
        <f aca="false">SUMIF(B1833:B1839,"Transport",J1833:J1839)</f>
        <v>0</v>
      </c>
    </row>
    <row r="1846" customFormat="false" ht="15" hidden="false" customHeight="true" outlineLevel="0" collapsed="false">
      <c r="D1846" s="24" t="s">
        <v>831</v>
      </c>
      <c r="J1846" s="14" t="n">
        <f aca="false">J1842+J1843+J1844+J1845</f>
        <v>637.3806</v>
      </c>
    </row>
    <row r="1847" customFormat="false" ht="15" hidden="false" customHeight="true" outlineLevel="0" collapsed="false">
      <c r="D1847" s="22" t="s">
        <v>832</v>
      </c>
      <c r="J1847" s="23" t="n">
        <f aca="false">J1846*OH_Site</f>
        <v>19.121418</v>
      </c>
    </row>
    <row r="1848" customFormat="false" ht="15" hidden="false" customHeight="true" outlineLevel="0" collapsed="false">
      <c r="D1848" s="22" t="s">
        <v>833</v>
      </c>
      <c r="J1848" s="23" t="n">
        <f aca="false">J1846*OH_HO</f>
        <v>31.86903</v>
      </c>
    </row>
    <row r="1849" customFormat="false" ht="15" hidden="false" customHeight="true" outlineLevel="0" collapsed="false">
      <c r="D1849" s="22" t="s">
        <v>834</v>
      </c>
      <c r="J1849" s="23" t="n">
        <f aca="false">J1846*Profit</f>
        <v>63.73806</v>
      </c>
    </row>
    <row r="1850" customFormat="false" ht="15" hidden="false" customHeight="true" outlineLevel="0" collapsed="false">
      <c r="D1850" s="24" t="s">
        <v>835</v>
      </c>
      <c r="J1850" s="14" t="n">
        <f aca="false">J1846+J1847+J1848+J1849</f>
        <v>752.109108</v>
      </c>
    </row>
    <row r="1851" customFormat="false" ht="15" hidden="false" customHeight="true" outlineLevel="0" collapsed="false">
      <c r="D1851" s="22" t="s">
        <v>836</v>
      </c>
      <c r="J1851" s="23" t="n">
        <f aca="false">IF(Tax_On="Yes",J1850*N(Tax_Rate),0)</f>
        <v>0</v>
      </c>
    </row>
    <row r="1852" customFormat="false" ht="15" hidden="false" customHeight="true" outlineLevel="0" collapsed="false">
      <c r="D1852" s="24" t="s">
        <v>1069</v>
      </c>
      <c r="J1852" s="14" t="n">
        <f aca="false">ROUND(J1850+J1851,0)</f>
        <v>752</v>
      </c>
    </row>
    <row r="1853" customFormat="false" ht="15" hidden="false" customHeight="true" outlineLevel="0" collapsed="false">
      <c r="D1853" s="25" t="s">
        <v>838</v>
      </c>
      <c r="J1853" s="26" t="n">
        <f aca="false">COUNTIF(K1833:K1839,"NO RATE")+COUNTIF(K1833:K1839,"OLD RATE")</f>
        <v>1</v>
      </c>
    </row>
    <row r="1855" customFormat="false" ht="39.75" hidden="false" customHeight="true" outlineLevel="0" collapsed="false">
      <c r="A1855" s="4" t="s">
        <v>469</v>
      </c>
      <c r="B1855" s="16" t="s">
        <v>471</v>
      </c>
      <c r="C1855" s="16"/>
      <c r="D1855" s="16"/>
      <c r="E1855" s="16"/>
      <c r="F1855" s="16"/>
      <c r="G1855" s="16"/>
      <c r="H1855" s="16"/>
      <c r="I1855" s="16"/>
      <c r="J1855" s="4" t="s">
        <v>1061</v>
      </c>
      <c r="K1855" s="17"/>
    </row>
    <row r="1856" customFormat="false" ht="21.75" hidden="false" customHeight="true" outlineLevel="0" collapsed="false">
      <c r="A1856" s="12" t="s">
        <v>75</v>
      </c>
      <c r="B1856" s="12" t="s">
        <v>789</v>
      </c>
      <c r="C1856" s="12" t="s">
        <v>790</v>
      </c>
      <c r="D1856" s="12" t="s">
        <v>791</v>
      </c>
      <c r="E1856" s="12" t="s">
        <v>81</v>
      </c>
      <c r="F1856" s="12" t="s">
        <v>792</v>
      </c>
      <c r="G1856" s="12" t="s">
        <v>793</v>
      </c>
      <c r="H1856" s="12" t="s">
        <v>794</v>
      </c>
      <c r="I1856" s="12" t="s">
        <v>795</v>
      </c>
      <c r="J1856" s="12" t="s">
        <v>796</v>
      </c>
      <c r="K1856" s="12" t="s">
        <v>797</v>
      </c>
    </row>
    <row r="1857" customFormat="false" ht="15" hidden="false" customHeight="true" outlineLevel="0" collapsed="false">
      <c r="A1857" s="9" t="s">
        <v>469</v>
      </c>
      <c r="B1857" s="9" t="s">
        <v>798</v>
      </c>
      <c r="C1857" s="9" t="s">
        <v>1199</v>
      </c>
      <c r="D1857" s="5" t="s">
        <v>1200</v>
      </c>
      <c r="E1857" s="9" t="s">
        <v>386</v>
      </c>
      <c r="F1857" s="18" t="n">
        <v>1</v>
      </c>
      <c r="G1857" s="13" t="n">
        <f aca="false">N(INDEX('05 MATERIAL RATE LIBRARY'!$E$5:$E$400,MATCH("MAT-SWV-400",'05 MATERIAL RATE LIBRARY'!$A$5:$A$400,0)))</f>
        <v>497</v>
      </c>
      <c r="H1857" s="19" t="n">
        <f aca="false">W_Pipe</f>
        <v>0.05</v>
      </c>
      <c r="I1857" s="18" t="n">
        <f aca="false">F1857*(1+H1857)</f>
        <v>1.05</v>
      </c>
      <c r="J1857" s="13" t="n">
        <f aca="false">I1857*G1857</f>
        <v>521.85</v>
      </c>
      <c r="K1857" s="20" t="str">
        <f aca="false">IF(INDEX('05 MATERIAL RATE LIBRARY'!$M$5:$M$400,MATCH("MAT-SWV-400",'05 MATERIAL RATE LIBRARY'!$A$5:$A$400,0))=1,"",IF(INDEX('05 MATERIAL RATE LIBRARY'!$M$5:$M$400,MATCH("MAT-SWV-400",'05 MATERIAL RATE LIBRARY'!$A$5:$A$400,0))=2,"OLD RATE","NO RATE"))</f>
        <v/>
      </c>
    </row>
    <row r="1858" customFormat="false" ht="15" hidden="false" customHeight="true" outlineLevel="0" collapsed="false">
      <c r="A1858" s="9" t="s">
        <v>469</v>
      </c>
      <c r="B1858" s="9" t="s">
        <v>798</v>
      </c>
      <c r="C1858" s="9" t="s">
        <v>1201</v>
      </c>
      <c r="D1858" s="5" t="s">
        <v>1188</v>
      </c>
      <c r="E1858" s="9" t="s">
        <v>368</v>
      </c>
      <c r="F1858" s="18" t="n">
        <v>0.1</v>
      </c>
      <c r="G1858" s="13" t="n">
        <f aca="false">N(INDEX('05 MATERIAL RATE LIBRARY'!$E$5:$E$400,MATCH("MAT-SWV-400-EL",'05 MATERIAL RATE LIBRARY'!$A$5:$A$400,0)))</f>
        <v>655</v>
      </c>
      <c r="H1858" s="21" t="n">
        <v>0</v>
      </c>
      <c r="I1858" s="18" t="n">
        <f aca="false">F1858*(1+H1858)</f>
        <v>0.1</v>
      </c>
      <c r="J1858" s="13" t="n">
        <f aca="false">I1858*G1858</f>
        <v>65.5</v>
      </c>
      <c r="K1858" s="20" t="str">
        <f aca="false">IF(INDEX('05 MATERIAL RATE LIBRARY'!$M$5:$M$400,MATCH("MAT-SWV-400-EL",'05 MATERIAL RATE LIBRARY'!$A$5:$A$400,0))=1,"",IF(INDEX('05 MATERIAL RATE LIBRARY'!$M$5:$M$400,MATCH("MAT-SWV-400-EL",'05 MATERIAL RATE LIBRARY'!$A$5:$A$400,0))=2,"OLD RATE","NO RATE"))</f>
        <v/>
      </c>
    </row>
    <row r="1859" customFormat="false" ht="15" hidden="false" customHeight="true" outlineLevel="0" collapsed="false">
      <c r="A1859" s="9" t="s">
        <v>469</v>
      </c>
      <c r="B1859" s="9" t="s">
        <v>798</v>
      </c>
      <c r="C1859" s="9" t="s">
        <v>1202</v>
      </c>
      <c r="D1859" s="5" t="s">
        <v>1189</v>
      </c>
      <c r="E1859" s="9" t="s">
        <v>368</v>
      </c>
      <c r="F1859" s="18" t="n">
        <v>0.08</v>
      </c>
      <c r="G1859" s="13" t="n">
        <f aca="false">N(INDEX('05 MATERIAL RATE LIBRARY'!$E$5:$E$400,MATCH("MAT-SWV-400-TE",'05 MATERIAL RATE LIBRARY'!$A$5:$A$400,0)))</f>
        <v>910</v>
      </c>
      <c r="H1859" s="21" t="n">
        <v>0</v>
      </c>
      <c r="I1859" s="18" t="n">
        <f aca="false">F1859*(1+H1859)</f>
        <v>0.08</v>
      </c>
      <c r="J1859" s="13" t="n">
        <f aca="false">I1859*G1859</f>
        <v>72.8</v>
      </c>
      <c r="K1859" s="20" t="str">
        <f aca="false">IF(INDEX('05 MATERIAL RATE LIBRARY'!$M$5:$M$400,MATCH("MAT-SWV-400-TE",'05 MATERIAL RATE LIBRARY'!$A$5:$A$400,0))=1,"",IF(INDEX('05 MATERIAL RATE LIBRARY'!$M$5:$M$400,MATCH("MAT-SWV-400-TE",'05 MATERIAL RATE LIBRARY'!$A$5:$A$400,0))=2,"OLD RATE","NO RATE"))</f>
        <v/>
      </c>
    </row>
    <row r="1860" customFormat="false" ht="15" hidden="false" customHeight="true" outlineLevel="0" collapsed="false">
      <c r="A1860" s="9" t="s">
        <v>469</v>
      </c>
      <c r="B1860" s="9" t="s">
        <v>798</v>
      </c>
      <c r="C1860" s="9" t="s">
        <v>1190</v>
      </c>
      <c r="D1860" s="5" t="s">
        <v>1191</v>
      </c>
      <c r="E1860" s="9" t="s">
        <v>198</v>
      </c>
      <c r="F1860" s="18" t="n">
        <v>0.005</v>
      </c>
      <c r="G1860" s="13" t="n">
        <f aca="false">N(INDEX('05 MATERIAL RATE LIBRARY'!$E$5:$E$400,MATCH("MAT-SOLV",'05 MATERIAL RATE LIBRARY'!$A$5:$A$400,0)))</f>
        <v>1700</v>
      </c>
      <c r="H1860" s="21" t="n">
        <v>0</v>
      </c>
      <c r="I1860" s="18" t="n">
        <f aca="false">F1860*(1+H1860)</f>
        <v>0.005</v>
      </c>
      <c r="J1860" s="13" t="n">
        <f aca="false">I1860*G1860</f>
        <v>8.5</v>
      </c>
      <c r="K1860" s="20" t="str">
        <f aca="false">IF(INDEX('05 MATERIAL RATE LIBRARY'!$M$5:$M$400,MATCH("MAT-SOLV",'05 MATERIAL RATE LIBRARY'!$A$5:$A$400,0))=1,"",IF(INDEX('05 MATERIAL RATE LIBRARY'!$M$5:$M$400,MATCH("MAT-SOLV",'05 MATERIAL RATE LIBRARY'!$A$5:$A$400,0))=2,"OLD RATE","NO RATE"))</f>
        <v/>
      </c>
    </row>
    <row r="1861" customFormat="false" ht="15" hidden="false" customHeight="true" outlineLevel="0" collapsed="false">
      <c r="A1861" s="9" t="s">
        <v>469</v>
      </c>
      <c r="B1861" s="9" t="s">
        <v>798</v>
      </c>
      <c r="C1861" s="9" t="s">
        <v>1132</v>
      </c>
      <c r="D1861" s="5" t="s">
        <v>1192</v>
      </c>
      <c r="E1861" s="9" t="s">
        <v>368</v>
      </c>
      <c r="F1861" s="18" t="n">
        <v>0.25</v>
      </c>
      <c r="G1861" s="13" t="n">
        <f aca="false">N(INDEX('05 MATERIAL RATE LIBRARY'!$E$5:$E$400,MATCH("MAT-CLMP",'05 MATERIAL RATE LIBRARY'!$A$5:$A$400,0)))</f>
        <v>123.1</v>
      </c>
      <c r="H1861" s="21" t="n">
        <v>0</v>
      </c>
      <c r="I1861" s="18" t="n">
        <f aca="false">F1861*(1+H1861)</f>
        <v>0.25</v>
      </c>
      <c r="J1861" s="13" t="n">
        <f aca="false">I1861*G1861</f>
        <v>30.775</v>
      </c>
      <c r="K1861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862" customFormat="false" ht="15" hidden="false" customHeight="true" outlineLevel="0" collapsed="false">
      <c r="A1862" s="9" t="s">
        <v>469</v>
      </c>
      <c r="B1862" s="9" t="s">
        <v>812</v>
      </c>
      <c r="C1862" s="9" t="s">
        <v>1134</v>
      </c>
      <c r="D1862" s="5" t="s">
        <v>1203</v>
      </c>
      <c r="E1862" s="9" t="s">
        <v>815</v>
      </c>
      <c r="F1862" s="18" t="n">
        <f aca="false">'13 PRODUCTIVITY LIBRARY'!E44/'13 PRODUCTIVITY LIBRARY'!D44</f>
        <v>0.0666666666666667</v>
      </c>
      <c r="G1862" s="13" t="n">
        <f aca="false">N(INDEX('06 LABOUR RATE LIBRARY'!$D$5:$D$100,MATCH("LAB-PLB",'06 LABOUR RATE LIBRARY'!$A$5:$A$100,0)))</f>
        <v>2600</v>
      </c>
      <c r="H1862" s="21" t="n">
        <v>0</v>
      </c>
      <c r="I1862" s="18" t="n">
        <f aca="false">F1862*(1+H1862)</f>
        <v>0.0666666666666667</v>
      </c>
      <c r="J1862" s="13" t="n">
        <f aca="false">I1862*G1862</f>
        <v>173.333333333333</v>
      </c>
      <c r="K1862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863" customFormat="false" ht="15" hidden="false" customHeight="true" outlineLevel="0" collapsed="false">
      <c r="A1863" s="9" t="s">
        <v>469</v>
      </c>
      <c r="B1863" s="9" t="s">
        <v>812</v>
      </c>
      <c r="C1863" s="9" t="s">
        <v>816</v>
      </c>
      <c r="D1863" s="5" t="s">
        <v>1204</v>
      </c>
      <c r="E1863" s="9" t="s">
        <v>815</v>
      </c>
      <c r="F1863" s="18" t="n">
        <f aca="false">'13 PRODUCTIVITY LIBRARY'!F44/'13 PRODUCTIVITY LIBRARY'!D44</f>
        <v>0.0666666666666667</v>
      </c>
      <c r="G1863" s="13" t="n">
        <f aca="false">N(INDEX('06 LABOUR RATE LIBRARY'!$D$5:$D$100,MATCH("LAB-HLP",'06 LABOUR RATE LIBRARY'!$A$5:$A$100,0)))</f>
        <v>1538</v>
      </c>
      <c r="H1863" s="21" t="n">
        <v>0</v>
      </c>
      <c r="I1863" s="18" t="n">
        <f aca="false">F1863*(1+H1863)</f>
        <v>0.0666666666666667</v>
      </c>
      <c r="J1863" s="13" t="n">
        <f aca="false">I1863*G1863</f>
        <v>102.533333333333</v>
      </c>
      <c r="K186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864" customFormat="false" ht="15" hidden="false" customHeight="true" outlineLevel="0" collapsed="false">
      <c r="D1864" s="22" t="s">
        <v>825</v>
      </c>
      <c r="J1864" s="23" t="n">
        <f aca="false">SUMPRODUCT((B1857:B1863="Material")*F1857:F1863*G1857:G1863)</f>
        <v>674.575</v>
      </c>
    </row>
    <row r="1865" customFormat="false" ht="15" hidden="false" customHeight="true" outlineLevel="0" collapsed="false">
      <c r="D1865" s="22" t="s">
        <v>826</v>
      </c>
      <c r="J1865" s="23" t="n">
        <f aca="false">SUMIF(B1857:B1863,"Material",J1857:J1863)-J1864</f>
        <v>24.85</v>
      </c>
    </row>
    <row r="1866" customFormat="false" ht="15" hidden="false" customHeight="true" outlineLevel="0" collapsed="false">
      <c r="D1866" s="24" t="s">
        <v>827</v>
      </c>
      <c r="J1866" s="14" t="n">
        <f aca="false">SUMIF(B1857:B1863,"Material",J1857:J1863)</f>
        <v>699.425</v>
      </c>
    </row>
    <row r="1867" customFormat="false" ht="15" hidden="false" customHeight="true" outlineLevel="0" collapsed="false">
      <c r="D1867" s="24" t="s">
        <v>828</v>
      </c>
      <c r="J1867" s="14" t="n">
        <f aca="false">SUMIF(B1857:B1863,"Labour",J1857:J1863)</f>
        <v>275.866666666667</v>
      </c>
    </row>
    <row r="1868" customFormat="false" ht="15" hidden="false" customHeight="true" outlineLevel="0" collapsed="false">
      <c r="D1868" s="24" t="s">
        <v>829</v>
      </c>
      <c r="J1868" s="14" t="n">
        <f aca="false">SUMIF(B1857:B1863,"Equipment",J1857:J1863)</f>
        <v>0</v>
      </c>
    </row>
    <row r="1869" customFormat="false" ht="15" hidden="false" customHeight="true" outlineLevel="0" collapsed="false">
      <c r="D1869" s="24" t="s">
        <v>830</v>
      </c>
      <c r="J1869" s="14" t="n">
        <f aca="false">SUMIF(B1857:B1863,"Transport",J1857:J1863)</f>
        <v>0</v>
      </c>
    </row>
    <row r="1870" customFormat="false" ht="15" hidden="false" customHeight="true" outlineLevel="0" collapsed="false">
      <c r="D1870" s="24" t="s">
        <v>831</v>
      </c>
      <c r="J1870" s="14" t="n">
        <f aca="false">J1866+J1867+J1868+J1869</f>
        <v>975.291666666667</v>
      </c>
    </row>
    <row r="1871" customFormat="false" ht="15" hidden="false" customHeight="true" outlineLevel="0" collapsed="false">
      <c r="D1871" s="22" t="s">
        <v>832</v>
      </c>
      <c r="J1871" s="23" t="n">
        <f aca="false">J1870*OH_Site</f>
        <v>29.25875</v>
      </c>
    </row>
    <row r="1872" customFormat="false" ht="15" hidden="false" customHeight="true" outlineLevel="0" collapsed="false">
      <c r="D1872" s="22" t="s">
        <v>833</v>
      </c>
      <c r="J1872" s="23" t="n">
        <f aca="false">J1870*OH_HO</f>
        <v>48.7645833333333</v>
      </c>
    </row>
    <row r="1873" customFormat="false" ht="15" hidden="false" customHeight="true" outlineLevel="0" collapsed="false">
      <c r="D1873" s="22" t="s">
        <v>834</v>
      </c>
      <c r="J1873" s="23" t="n">
        <f aca="false">J1870*Profit</f>
        <v>97.5291666666667</v>
      </c>
    </row>
    <row r="1874" customFormat="false" ht="15" hidden="false" customHeight="true" outlineLevel="0" collapsed="false">
      <c r="D1874" s="24" t="s">
        <v>835</v>
      </c>
      <c r="J1874" s="14" t="n">
        <f aca="false">J1870+J1871+J1872+J1873</f>
        <v>1150.84416666667</v>
      </c>
    </row>
    <row r="1875" customFormat="false" ht="15" hidden="false" customHeight="true" outlineLevel="0" collapsed="false">
      <c r="D1875" s="22" t="s">
        <v>836</v>
      </c>
      <c r="J1875" s="23" t="n">
        <f aca="false">IF(Tax_On="Yes",J1874*N(Tax_Rate),0)</f>
        <v>0</v>
      </c>
    </row>
    <row r="1876" customFormat="false" ht="15" hidden="false" customHeight="true" outlineLevel="0" collapsed="false">
      <c r="D1876" s="24" t="s">
        <v>1069</v>
      </c>
      <c r="J1876" s="14" t="n">
        <f aca="false">ROUND(J1874+J1875,0)</f>
        <v>1151</v>
      </c>
    </row>
    <row r="1877" customFormat="false" ht="15" hidden="false" customHeight="true" outlineLevel="0" collapsed="false">
      <c r="D1877" s="25" t="s">
        <v>838</v>
      </c>
      <c r="J1877" s="26" t="n">
        <f aca="false">COUNTIF(K1857:K1863,"NO RATE")+COUNTIF(K1857:K1863,"OLD RATE")</f>
        <v>1</v>
      </c>
    </row>
    <row r="1879" customFormat="false" ht="39.75" hidden="false" customHeight="true" outlineLevel="0" collapsed="false">
      <c r="A1879" s="4" t="s">
        <v>472</v>
      </c>
      <c r="B1879" s="16" t="s">
        <v>475</v>
      </c>
      <c r="C1879" s="16"/>
      <c r="D1879" s="16"/>
      <c r="E1879" s="16"/>
      <c r="F1879" s="16"/>
      <c r="G1879" s="16"/>
      <c r="H1879" s="16"/>
      <c r="I1879" s="16"/>
      <c r="J1879" s="4" t="s">
        <v>1032</v>
      </c>
      <c r="K1879" s="17"/>
    </row>
    <row r="1880" customFormat="false" ht="21.75" hidden="false" customHeight="true" outlineLevel="0" collapsed="false">
      <c r="A1880" s="12" t="s">
        <v>75</v>
      </c>
      <c r="B1880" s="12" t="s">
        <v>789</v>
      </c>
      <c r="C1880" s="12" t="s">
        <v>790</v>
      </c>
      <c r="D1880" s="12" t="s">
        <v>791</v>
      </c>
      <c r="E1880" s="12" t="s">
        <v>81</v>
      </c>
      <c r="F1880" s="12" t="s">
        <v>792</v>
      </c>
      <c r="G1880" s="12" t="s">
        <v>793</v>
      </c>
      <c r="H1880" s="12" t="s">
        <v>794</v>
      </c>
      <c r="I1880" s="12" t="s">
        <v>795</v>
      </c>
      <c r="J1880" s="12" t="s">
        <v>796</v>
      </c>
      <c r="K1880" s="12" t="s">
        <v>797</v>
      </c>
    </row>
    <row r="1881" customFormat="false" ht="15" hidden="false" customHeight="true" outlineLevel="0" collapsed="false">
      <c r="A1881" s="9" t="s">
        <v>472</v>
      </c>
      <c r="B1881" s="9" t="s">
        <v>798</v>
      </c>
      <c r="C1881" s="9" t="s">
        <v>1205</v>
      </c>
      <c r="D1881" s="5" t="s">
        <v>1206</v>
      </c>
      <c r="E1881" s="9" t="s">
        <v>368</v>
      </c>
      <c r="F1881" s="18" t="n">
        <v>1</v>
      </c>
      <c r="G1881" s="13" t="n">
        <f aca="false">N(INDEX('05 MATERIAL RATE LIBRARY'!$E$5:$E$400,MATCH("MAT-WC",'05 MATERIAL RATE LIBRARY'!$A$5:$A$400,0)))</f>
        <v>29916</v>
      </c>
      <c r="H1881" s="21" t="n">
        <v>0</v>
      </c>
      <c r="I1881" s="18" t="n">
        <f aca="false">F1881*(1+H1881)</f>
        <v>1</v>
      </c>
      <c r="J1881" s="13" t="n">
        <f aca="false">I1881*G1881</f>
        <v>29916</v>
      </c>
      <c r="K1881" s="20" t="str">
        <f aca="false">IF(INDEX('05 MATERIAL RATE LIBRARY'!$M$5:$M$400,MATCH("MAT-WC",'05 MATERIAL RATE LIBRARY'!$A$5:$A$400,0))=1,"",IF(INDEX('05 MATERIAL RATE LIBRARY'!$M$5:$M$400,MATCH("MAT-WC",'05 MATERIAL RATE LIBRARY'!$A$5:$A$400,0))=2,"OLD RATE","NO RATE"))</f>
        <v/>
      </c>
    </row>
    <row r="1882" customFormat="false" ht="15" hidden="false" customHeight="true" outlineLevel="0" collapsed="false">
      <c r="A1882" s="9" t="s">
        <v>472</v>
      </c>
      <c r="B1882" s="9" t="s">
        <v>798</v>
      </c>
      <c r="C1882" s="9" t="s">
        <v>1207</v>
      </c>
      <c r="D1882" s="5" t="s">
        <v>1208</v>
      </c>
      <c r="E1882" s="9" t="s">
        <v>1066</v>
      </c>
      <c r="F1882" s="18" t="n">
        <v>1</v>
      </c>
      <c r="G1882" s="13" t="n">
        <f aca="false">N(INDEX('05 MATERIAL RATE LIBRARY'!$E$5:$E$400,MATCH("MAT-SANACC",'05 MATERIAL RATE LIBRARY'!$A$5:$A$400,0)))</f>
        <v>1980</v>
      </c>
      <c r="H1882" s="21" t="n">
        <v>0</v>
      </c>
      <c r="I1882" s="18" t="n">
        <f aca="false">F1882*(1+H1882)</f>
        <v>1</v>
      </c>
      <c r="J1882" s="13" t="n">
        <f aca="false">I1882*G1882</f>
        <v>1980</v>
      </c>
      <c r="K1882" s="20" t="str">
        <f aca="false">IF(INDEX('05 MATERIAL RATE LIBRARY'!$M$5:$M$400,MATCH("MAT-SANACC",'05 MATERIAL RATE LIBRARY'!$A$5:$A$400,0))=1,"",IF(INDEX('05 MATERIAL RATE LIBRARY'!$M$5:$M$400,MATCH("MAT-SANACC",'05 MATERIAL RATE LIBRARY'!$A$5:$A$400,0))=2,"OLD RATE","NO RATE"))</f>
        <v/>
      </c>
    </row>
    <row r="1883" customFormat="false" ht="15" hidden="false" customHeight="true" outlineLevel="0" collapsed="false">
      <c r="A1883" s="9" t="s">
        <v>472</v>
      </c>
      <c r="B1883" s="9" t="s">
        <v>812</v>
      </c>
      <c r="C1883" s="9" t="s">
        <v>1134</v>
      </c>
      <c r="D1883" s="5" t="s">
        <v>1209</v>
      </c>
      <c r="E1883" s="9" t="s">
        <v>815</v>
      </c>
      <c r="F1883" s="18" t="n">
        <f aca="false">'13 PRODUCTIVITY LIBRARY'!E49/'13 PRODUCTIVITY LIBRARY'!D49</f>
        <v>1.20481927710843</v>
      </c>
      <c r="G1883" s="13" t="n">
        <f aca="false">N(INDEX('06 LABOUR RATE LIBRARY'!$D$5:$D$100,MATCH("LAB-PLB",'06 LABOUR RATE LIBRARY'!$A$5:$A$100,0)))</f>
        <v>2600</v>
      </c>
      <c r="H1883" s="21" t="n">
        <v>0</v>
      </c>
      <c r="I1883" s="18" t="n">
        <f aca="false">F1883*(1+H1883)</f>
        <v>1.20481927710843</v>
      </c>
      <c r="J1883" s="13" t="n">
        <f aca="false">I1883*G1883</f>
        <v>3132.53012048193</v>
      </c>
      <c r="K1883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884" customFormat="false" ht="15" hidden="false" customHeight="true" outlineLevel="0" collapsed="false">
      <c r="A1884" s="9" t="s">
        <v>472</v>
      </c>
      <c r="B1884" s="9" t="s">
        <v>812</v>
      </c>
      <c r="C1884" s="9" t="s">
        <v>816</v>
      </c>
      <c r="D1884" s="5" t="s">
        <v>1210</v>
      </c>
      <c r="E1884" s="9" t="s">
        <v>815</v>
      </c>
      <c r="F1884" s="18" t="n">
        <f aca="false">'13 PRODUCTIVITY LIBRARY'!F49/'13 PRODUCTIVITY LIBRARY'!D49</f>
        <v>1.20481927710843</v>
      </c>
      <c r="G1884" s="13" t="n">
        <f aca="false">N(INDEX('06 LABOUR RATE LIBRARY'!$D$5:$D$100,MATCH("LAB-HLP",'06 LABOUR RATE LIBRARY'!$A$5:$A$100,0)))</f>
        <v>1538</v>
      </c>
      <c r="H1884" s="21" t="n">
        <v>0</v>
      </c>
      <c r="I1884" s="18" t="n">
        <f aca="false">F1884*(1+H1884)</f>
        <v>1.20481927710843</v>
      </c>
      <c r="J1884" s="13" t="n">
        <f aca="false">I1884*G1884</f>
        <v>1853.01204819277</v>
      </c>
      <c r="K188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885" customFormat="false" ht="15" hidden="false" customHeight="true" outlineLevel="0" collapsed="false">
      <c r="D1885" s="22" t="s">
        <v>825</v>
      </c>
      <c r="J1885" s="23" t="n">
        <f aca="false">SUMPRODUCT((B1881:B1884="Material")*F1881:F1884*G1881:G1884)</f>
        <v>31896</v>
      </c>
    </row>
    <row r="1886" customFormat="false" ht="15" hidden="false" customHeight="true" outlineLevel="0" collapsed="false">
      <c r="D1886" s="22" t="s">
        <v>826</v>
      </c>
      <c r="J1886" s="23" t="n">
        <f aca="false">SUMIF(B1881:B1884,"Material",J1881:J1884)-J1885</f>
        <v>0</v>
      </c>
    </row>
    <row r="1887" customFormat="false" ht="15" hidden="false" customHeight="true" outlineLevel="0" collapsed="false">
      <c r="D1887" s="24" t="s">
        <v>827</v>
      </c>
      <c r="J1887" s="14" t="n">
        <f aca="false">SUMIF(B1881:B1884,"Material",J1881:J1884)</f>
        <v>31896</v>
      </c>
    </row>
    <row r="1888" customFormat="false" ht="15" hidden="false" customHeight="true" outlineLevel="0" collapsed="false">
      <c r="D1888" s="24" t="s">
        <v>828</v>
      </c>
      <c r="J1888" s="14" t="n">
        <f aca="false">SUMIF(B1881:B1884,"Labour",J1881:J1884)</f>
        <v>4985.5421686747</v>
      </c>
    </row>
    <row r="1889" customFormat="false" ht="15" hidden="false" customHeight="true" outlineLevel="0" collapsed="false">
      <c r="D1889" s="24" t="s">
        <v>829</v>
      </c>
      <c r="J1889" s="14" t="n">
        <f aca="false">SUMIF(B1881:B1884,"Equipment",J1881:J1884)</f>
        <v>0</v>
      </c>
    </row>
    <row r="1890" customFormat="false" ht="15" hidden="false" customHeight="true" outlineLevel="0" collapsed="false">
      <c r="D1890" s="24" t="s">
        <v>830</v>
      </c>
      <c r="J1890" s="14" t="n">
        <f aca="false">SUMIF(B1881:B1884,"Transport",J1881:J1884)</f>
        <v>0</v>
      </c>
    </row>
    <row r="1891" customFormat="false" ht="15" hidden="false" customHeight="true" outlineLevel="0" collapsed="false">
      <c r="D1891" s="24" t="s">
        <v>831</v>
      </c>
      <c r="J1891" s="14" t="n">
        <f aca="false">J1887+J1888+J1889+J1890</f>
        <v>36881.5421686747</v>
      </c>
    </row>
    <row r="1892" customFormat="false" ht="15" hidden="false" customHeight="true" outlineLevel="0" collapsed="false">
      <c r="D1892" s="22" t="s">
        <v>832</v>
      </c>
      <c r="J1892" s="23" t="n">
        <f aca="false">J1891*OH_Site</f>
        <v>1106.44626506024</v>
      </c>
    </row>
    <row r="1893" customFormat="false" ht="15" hidden="false" customHeight="true" outlineLevel="0" collapsed="false">
      <c r="D1893" s="22" t="s">
        <v>833</v>
      </c>
      <c r="J1893" s="23" t="n">
        <f aca="false">J1891*OH_HO</f>
        <v>1844.07710843374</v>
      </c>
    </row>
    <row r="1894" customFormat="false" ht="15" hidden="false" customHeight="true" outlineLevel="0" collapsed="false">
      <c r="D1894" s="22" t="s">
        <v>834</v>
      </c>
      <c r="J1894" s="23" t="n">
        <f aca="false">J1891*Profit</f>
        <v>3688.15421686747</v>
      </c>
    </row>
    <row r="1895" customFormat="false" ht="15" hidden="false" customHeight="true" outlineLevel="0" collapsed="false">
      <c r="D1895" s="24" t="s">
        <v>835</v>
      </c>
      <c r="J1895" s="14" t="n">
        <f aca="false">J1891+J1892+J1893+J1894</f>
        <v>43520.2197590362</v>
      </c>
    </row>
    <row r="1896" customFormat="false" ht="15" hidden="false" customHeight="true" outlineLevel="0" collapsed="false">
      <c r="D1896" s="22" t="s">
        <v>836</v>
      </c>
      <c r="J1896" s="23" t="n">
        <f aca="false">IF(Tax_On="Yes",J1895*N(Tax_Rate),0)</f>
        <v>0</v>
      </c>
    </row>
    <row r="1897" customFormat="false" ht="15" hidden="false" customHeight="true" outlineLevel="0" collapsed="false">
      <c r="D1897" s="24" t="s">
        <v>1048</v>
      </c>
      <c r="J1897" s="14" t="n">
        <f aca="false">ROUND(J1895+J1896,0)</f>
        <v>43520</v>
      </c>
    </row>
    <row r="1898" customFormat="false" ht="15" hidden="false" customHeight="true" outlineLevel="0" collapsed="false">
      <c r="D1898" s="25" t="s">
        <v>838</v>
      </c>
      <c r="J1898" s="26" t="n">
        <f aca="false">COUNTIF(K1881:K1884,"NO RATE")+COUNTIF(K1881:K1884,"OLD RATE")</f>
        <v>0</v>
      </c>
    </row>
    <row r="1900" customFormat="false" ht="39.75" hidden="false" customHeight="true" outlineLevel="0" collapsed="false">
      <c r="A1900" s="4" t="s">
        <v>477</v>
      </c>
      <c r="B1900" s="16" t="s">
        <v>479</v>
      </c>
      <c r="C1900" s="16"/>
      <c r="D1900" s="16"/>
      <c r="E1900" s="16"/>
      <c r="F1900" s="16"/>
      <c r="G1900" s="16"/>
      <c r="H1900" s="16"/>
      <c r="I1900" s="16"/>
      <c r="J1900" s="4" t="s">
        <v>1032</v>
      </c>
      <c r="K1900" s="17"/>
    </row>
    <row r="1901" customFormat="false" ht="21.75" hidden="false" customHeight="true" outlineLevel="0" collapsed="false">
      <c r="A1901" s="12" t="s">
        <v>75</v>
      </c>
      <c r="B1901" s="12" t="s">
        <v>789</v>
      </c>
      <c r="C1901" s="12" t="s">
        <v>790</v>
      </c>
      <c r="D1901" s="12" t="s">
        <v>791</v>
      </c>
      <c r="E1901" s="12" t="s">
        <v>81</v>
      </c>
      <c r="F1901" s="12" t="s">
        <v>792</v>
      </c>
      <c r="G1901" s="12" t="s">
        <v>793</v>
      </c>
      <c r="H1901" s="12" t="s">
        <v>794</v>
      </c>
      <c r="I1901" s="12" t="s">
        <v>795</v>
      </c>
      <c r="J1901" s="12" t="s">
        <v>796</v>
      </c>
      <c r="K1901" s="12" t="s">
        <v>797</v>
      </c>
    </row>
    <row r="1902" customFormat="false" ht="15" hidden="false" customHeight="true" outlineLevel="0" collapsed="false">
      <c r="A1902" s="9" t="s">
        <v>477</v>
      </c>
      <c r="B1902" s="9" t="s">
        <v>798</v>
      </c>
      <c r="C1902" s="9" t="s">
        <v>1211</v>
      </c>
      <c r="D1902" s="5" t="s">
        <v>1212</v>
      </c>
      <c r="E1902" s="9" t="s">
        <v>368</v>
      </c>
      <c r="F1902" s="18" t="n">
        <v>1</v>
      </c>
      <c r="G1902" s="13" t="n">
        <f aca="false">N(INDEX('05 MATERIAL RATE LIBRARY'!$E$5:$E$400,MATCH("MAT-WB",'05 MATERIAL RATE LIBRARY'!$A$5:$A$400,0)))</f>
        <v>14384</v>
      </c>
      <c r="H1902" s="21" t="n">
        <v>0</v>
      </c>
      <c r="I1902" s="18" t="n">
        <f aca="false">F1902*(1+H1902)</f>
        <v>1</v>
      </c>
      <c r="J1902" s="13" t="n">
        <f aca="false">I1902*G1902</f>
        <v>14384</v>
      </c>
      <c r="K1902" s="20" t="str">
        <f aca="false">IF(INDEX('05 MATERIAL RATE LIBRARY'!$M$5:$M$400,MATCH("MAT-WB",'05 MATERIAL RATE LIBRARY'!$A$5:$A$400,0))=1,"",IF(INDEX('05 MATERIAL RATE LIBRARY'!$M$5:$M$400,MATCH("MAT-WB",'05 MATERIAL RATE LIBRARY'!$A$5:$A$400,0))=2,"OLD RATE","NO RATE"))</f>
        <v/>
      </c>
    </row>
    <row r="1903" customFormat="false" ht="15" hidden="false" customHeight="true" outlineLevel="0" collapsed="false">
      <c r="A1903" s="9" t="s">
        <v>477</v>
      </c>
      <c r="B1903" s="9" t="s">
        <v>798</v>
      </c>
      <c r="C1903" s="9" t="s">
        <v>1207</v>
      </c>
      <c r="D1903" s="5" t="s">
        <v>1208</v>
      </c>
      <c r="E1903" s="9" t="s">
        <v>1066</v>
      </c>
      <c r="F1903" s="18" t="n">
        <v>1</v>
      </c>
      <c r="G1903" s="13" t="n">
        <f aca="false">N(INDEX('05 MATERIAL RATE LIBRARY'!$E$5:$E$400,MATCH("MAT-SANACC",'05 MATERIAL RATE LIBRARY'!$A$5:$A$400,0)))</f>
        <v>1980</v>
      </c>
      <c r="H1903" s="21" t="n">
        <v>0</v>
      </c>
      <c r="I1903" s="18" t="n">
        <f aca="false">F1903*(1+H1903)</f>
        <v>1</v>
      </c>
      <c r="J1903" s="13" t="n">
        <f aca="false">I1903*G1903</f>
        <v>1980</v>
      </c>
      <c r="K1903" s="20" t="str">
        <f aca="false">IF(INDEX('05 MATERIAL RATE LIBRARY'!$M$5:$M$400,MATCH("MAT-SANACC",'05 MATERIAL RATE LIBRARY'!$A$5:$A$400,0))=1,"",IF(INDEX('05 MATERIAL RATE LIBRARY'!$M$5:$M$400,MATCH("MAT-SANACC",'05 MATERIAL RATE LIBRARY'!$A$5:$A$400,0))=2,"OLD RATE","NO RATE"))</f>
        <v/>
      </c>
    </row>
    <row r="1904" customFormat="false" ht="15" hidden="false" customHeight="true" outlineLevel="0" collapsed="false">
      <c r="A1904" s="9" t="s">
        <v>477</v>
      </c>
      <c r="B1904" s="9" t="s">
        <v>812</v>
      </c>
      <c r="C1904" s="9" t="s">
        <v>1134</v>
      </c>
      <c r="D1904" s="5" t="s">
        <v>1213</v>
      </c>
      <c r="E1904" s="9" t="s">
        <v>815</v>
      </c>
      <c r="F1904" s="18" t="n">
        <f aca="false">'13 PRODUCTIVITY LIBRARY'!E50/'13 PRODUCTIVITY LIBRARY'!D50</f>
        <v>1.11111111111111</v>
      </c>
      <c r="G1904" s="13" t="n">
        <f aca="false">N(INDEX('06 LABOUR RATE LIBRARY'!$D$5:$D$100,MATCH("LAB-PLB",'06 LABOUR RATE LIBRARY'!$A$5:$A$100,0)))</f>
        <v>2600</v>
      </c>
      <c r="H1904" s="21" t="n">
        <v>0</v>
      </c>
      <c r="I1904" s="18" t="n">
        <f aca="false">F1904*(1+H1904)</f>
        <v>1.11111111111111</v>
      </c>
      <c r="J1904" s="13" t="n">
        <f aca="false">I1904*G1904</f>
        <v>2888.88888888889</v>
      </c>
      <c r="K1904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1905" customFormat="false" ht="15" hidden="false" customHeight="true" outlineLevel="0" collapsed="false">
      <c r="A1905" s="9" t="s">
        <v>477</v>
      </c>
      <c r="B1905" s="9" t="s">
        <v>812</v>
      </c>
      <c r="C1905" s="9" t="s">
        <v>816</v>
      </c>
      <c r="D1905" s="5" t="s">
        <v>1214</v>
      </c>
      <c r="E1905" s="9" t="s">
        <v>815</v>
      </c>
      <c r="F1905" s="18" t="n">
        <f aca="false">'13 PRODUCTIVITY LIBRARY'!F50/'13 PRODUCTIVITY LIBRARY'!D50</f>
        <v>1.11111111111111</v>
      </c>
      <c r="G1905" s="13" t="n">
        <f aca="false">N(INDEX('06 LABOUR RATE LIBRARY'!$D$5:$D$100,MATCH("LAB-HLP",'06 LABOUR RATE LIBRARY'!$A$5:$A$100,0)))</f>
        <v>1538</v>
      </c>
      <c r="H1905" s="21" t="n">
        <v>0</v>
      </c>
      <c r="I1905" s="18" t="n">
        <f aca="false">F1905*(1+H1905)</f>
        <v>1.11111111111111</v>
      </c>
      <c r="J1905" s="13" t="n">
        <f aca="false">I1905*G1905</f>
        <v>1708.88888888889</v>
      </c>
      <c r="K190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906" customFormat="false" ht="15" hidden="false" customHeight="true" outlineLevel="0" collapsed="false">
      <c r="D1906" s="22" t="s">
        <v>825</v>
      </c>
      <c r="J1906" s="23" t="n">
        <f aca="false">SUMPRODUCT((B1902:B1905="Material")*F1902:F1905*G1902:G1905)</f>
        <v>16364</v>
      </c>
    </row>
    <row r="1907" customFormat="false" ht="15" hidden="false" customHeight="true" outlineLevel="0" collapsed="false">
      <c r="D1907" s="22" t="s">
        <v>826</v>
      </c>
      <c r="J1907" s="23" t="n">
        <f aca="false">SUMIF(B1902:B1905,"Material",J1902:J1905)-J1906</f>
        <v>0</v>
      </c>
    </row>
    <row r="1908" customFormat="false" ht="15" hidden="false" customHeight="true" outlineLevel="0" collapsed="false">
      <c r="D1908" s="24" t="s">
        <v>827</v>
      </c>
      <c r="J1908" s="14" t="n">
        <f aca="false">SUMIF(B1902:B1905,"Material",J1902:J1905)</f>
        <v>16364</v>
      </c>
    </row>
    <row r="1909" customFormat="false" ht="15" hidden="false" customHeight="true" outlineLevel="0" collapsed="false">
      <c r="D1909" s="24" t="s">
        <v>828</v>
      </c>
      <c r="J1909" s="14" t="n">
        <f aca="false">SUMIF(B1902:B1905,"Labour",J1902:J1905)</f>
        <v>4597.77777777778</v>
      </c>
    </row>
    <row r="1910" customFormat="false" ht="15" hidden="false" customHeight="true" outlineLevel="0" collapsed="false">
      <c r="D1910" s="24" t="s">
        <v>829</v>
      </c>
      <c r="J1910" s="14" t="n">
        <f aca="false">SUMIF(B1902:B1905,"Equipment",J1902:J1905)</f>
        <v>0</v>
      </c>
    </row>
    <row r="1911" customFormat="false" ht="15" hidden="false" customHeight="true" outlineLevel="0" collapsed="false">
      <c r="D1911" s="24" t="s">
        <v>830</v>
      </c>
      <c r="J1911" s="14" t="n">
        <f aca="false">SUMIF(B1902:B1905,"Transport",J1902:J1905)</f>
        <v>0</v>
      </c>
    </row>
    <row r="1912" customFormat="false" ht="15" hidden="false" customHeight="true" outlineLevel="0" collapsed="false">
      <c r="D1912" s="24" t="s">
        <v>831</v>
      </c>
      <c r="J1912" s="14" t="n">
        <f aca="false">J1908+J1909+J1910+J1911</f>
        <v>20961.7777777778</v>
      </c>
    </row>
    <row r="1913" customFormat="false" ht="15" hidden="false" customHeight="true" outlineLevel="0" collapsed="false">
      <c r="D1913" s="22" t="s">
        <v>832</v>
      </c>
      <c r="J1913" s="23" t="n">
        <f aca="false">J1912*OH_Site</f>
        <v>628.853333333333</v>
      </c>
    </row>
    <row r="1914" customFormat="false" ht="15" hidden="false" customHeight="true" outlineLevel="0" collapsed="false">
      <c r="D1914" s="22" t="s">
        <v>833</v>
      </c>
      <c r="J1914" s="23" t="n">
        <f aca="false">J1912*OH_HO</f>
        <v>1048.08888888889</v>
      </c>
    </row>
    <row r="1915" customFormat="false" ht="15" hidden="false" customHeight="true" outlineLevel="0" collapsed="false">
      <c r="D1915" s="22" t="s">
        <v>834</v>
      </c>
      <c r="J1915" s="23" t="n">
        <f aca="false">J1912*Profit</f>
        <v>2096.17777777778</v>
      </c>
    </row>
    <row r="1916" customFormat="false" ht="15" hidden="false" customHeight="true" outlineLevel="0" collapsed="false">
      <c r="D1916" s="24" t="s">
        <v>835</v>
      </c>
      <c r="J1916" s="14" t="n">
        <f aca="false">J1912+J1913+J1914+J1915</f>
        <v>24734.8977777778</v>
      </c>
    </row>
    <row r="1917" customFormat="false" ht="15" hidden="false" customHeight="true" outlineLevel="0" collapsed="false">
      <c r="D1917" s="22" t="s">
        <v>836</v>
      </c>
      <c r="J1917" s="23" t="n">
        <f aca="false">IF(Tax_On="Yes",J1916*N(Tax_Rate),0)</f>
        <v>0</v>
      </c>
    </row>
    <row r="1918" customFormat="false" ht="15" hidden="false" customHeight="true" outlineLevel="0" collapsed="false">
      <c r="D1918" s="24" t="s">
        <v>1048</v>
      </c>
      <c r="J1918" s="14" t="n">
        <f aca="false">ROUND(J1916+J1917,0)</f>
        <v>24735</v>
      </c>
    </row>
    <row r="1919" customFormat="false" ht="15" hidden="false" customHeight="true" outlineLevel="0" collapsed="false">
      <c r="D1919" s="25" t="s">
        <v>838</v>
      </c>
      <c r="J1919" s="26" t="n">
        <f aca="false">COUNTIF(K1902:K1905,"NO RATE")+COUNTIF(K1902:K1905,"OLD RATE")</f>
        <v>0</v>
      </c>
    </row>
    <row r="1921" customFormat="false" ht="39.75" hidden="false" customHeight="true" outlineLevel="0" collapsed="false">
      <c r="A1921" s="4" t="s">
        <v>480</v>
      </c>
      <c r="B1921" s="16" t="s">
        <v>484</v>
      </c>
      <c r="C1921" s="16"/>
      <c r="D1921" s="16"/>
      <c r="E1921" s="16"/>
      <c r="F1921" s="16"/>
      <c r="G1921" s="16"/>
      <c r="H1921" s="16"/>
      <c r="I1921" s="16"/>
      <c r="J1921" s="4" t="s">
        <v>1061</v>
      </c>
      <c r="K1921" s="17"/>
    </row>
    <row r="1922" customFormat="false" ht="21.75" hidden="false" customHeight="true" outlineLevel="0" collapsed="false">
      <c r="A1922" s="12" t="s">
        <v>75</v>
      </c>
      <c r="B1922" s="12" t="s">
        <v>789</v>
      </c>
      <c r="C1922" s="12" t="s">
        <v>790</v>
      </c>
      <c r="D1922" s="12" t="s">
        <v>791</v>
      </c>
      <c r="E1922" s="12" t="s">
        <v>81</v>
      </c>
      <c r="F1922" s="12" t="s">
        <v>792</v>
      </c>
      <c r="G1922" s="12" t="s">
        <v>793</v>
      </c>
      <c r="H1922" s="12" t="s">
        <v>794</v>
      </c>
      <c r="I1922" s="12" t="s">
        <v>795</v>
      </c>
      <c r="J1922" s="12" t="s">
        <v>796</v>
      </c>
      <c r="K1922" s="12" t="s">
        <v>797</v>
      </c>
    </row>
    <row r="1923" customFormat="false" ht="15" hidden="false" customHeight="true" outlineLevel="0" collapsed="false">
      <c r="A1923" s="9" t="s">
        <v>480</v>
      </c>
      <c r="B1923" s="9" t="s">
        <v>798</v>
      </c>
      <c r="C1923" s="9" t="s">
        <v>1215</v>
      </c>
      <c r="D1923" s="5" t="s">
        <v>1216</v>
      </c>
      <c r="E1923" s="9" t="s">
        <v>386</v>
      </c>
      <c r="F1923" s="18" t="n">
        <v>1</v>
      </c>
      <c r="G1923" s="13" t="n">
        <f aca="false">N(INDEX('05 MATERIAL RATE LIBRARY'!$E$5:$E$400,MATCH("MAT-BSP-100",'05 MATERIAL RATE LIBRARY'!$A$5:$A$400,0)))</f>
        <v>309.6</v>
      </c>
      <c r="H1923" s="19" t="n">
        <f aca="false">W_Pipe</f>
        <v>0.05</v>
      </c>
      <c r="I1923" s="18" t="n">
        <f aca="false">F1923*(1+H1923)</f>
        <v>1.05</v>
      </c>
      <c r="J1923" s="13" t="n">
        <f aca="false">I1923*G1923</f>
        <v>325.08</v>
      </c>
      <c r="K1923" s="20" t="str">
        <f aca="false">IF(INDEX('05 MATERIAL RATE LIBRARY'!$M$5:$M$400,MATCH("MAT-BSP-100",'05 MATERIAL RATE LIBRARY'!$A$5:$A$400,0))=1,"",IF(INDEX('05 MATERIAL RATE LIBRARY'!$M$5:$M$400,MATCH("MAT-BSP-100",'05 MATERIAL RATE LIBRARY'!$A$5:$A$400,0))=2,"OLD RATE","NO RATE"))</f>
        <v>OLD RATE</v>
      </c>
    </row>
    <row r="1924" customFormat="false" ht="15" hidden="false" customHeight="true" outlineLevel="0" collapsed="false">
      <c r="A1924" s="9" t="s">
        <v>480</v>
      </c>
      <c r="B1924" s="9" t="s">
        <v>798</v>
      </c>
      <c r="C1924" s="9" t="s">
        <v>1217</v>
      </c>
      <c r="D1924" s="5" t="s">
        <v>1218</v>
      </c>
      <c r="E1924" s="9" t="s">
        <v>386</v>
      </c>
      <c r="F1924" s="18" t="n">
        <v>1</v>
      </c>
      <c r="G1924" s="13" t="n">
        <f aca="false">N(INDEX('05 MATERIAL RATE LIBRARY'!$E$5:$E$400,MATCH("MAT-FFFIT-100",'05 MATERIAL RATE LIBRARY'!$A$5:$A$400,0)))</f>
        <v>149.54</v>
      </c>
      <c r="H1924" s="21" t="n">
        <v>0</v>
      </c>
      <c r="I1924" s="18" t="n">
        <f aca="false">F1924*(1+H1924)</f>
        <v>1</v>
      </c>
      <c r="J1924" s="13" t="n">
        <f aca="false">I1924*G1924</f>
        <v>149.54</v>
      </c>
      <c r="K1924" s="20" t="str">
        <f aca="false">IF(INDEX('05 MATERIAL RATE LIBRARY'!$M$5:$M$400,MATCH("MAT-FFFIT-100",'05 MATERIAL RATE LIBRARY'!$A$5:$A$400,0))=1,"",IF(INDEX('05 MATERIAL RATE LIBRARY'!$M$5:$M$400,MATCH("MAT-FFFIT-100",'05 MATERIAL RATE LIBRARY'!$A$5:$A$400,0))=2,"OLD RATE","NO RATE"))</f>
        <v/>
      </c>
    </row>
    <row r="1925" customFormat="false" ht="15" hidden="false" customHeight="true" outlineLevel="0" collapsed="false">
      <c r="A1925" s="9" t="s">
        <v>480</v>
      </c>
      <c r="B1925" s="9" t="s">
        <v>798</v>
      </c>
      <c r="C1925" s="9" t="s">
        <v>1132</v>
      </c>
      <c r="D1925" s="5" t="s">
        <v>1219</v>
      </c>
      <c r="E1925" s="9" t="s">
        <v>368</v>
      </c>
      <c r="F1925" s="18" t="n">
        <v>0.125</v>
      </c>
      <c r="G1925" s="13" t="n">
        <f aca="false">N(INDEX('05 MATERIAL RATE LIBRARY'!$E$5:$E$400,MATCH("MAT-CLMP",'05 MATERIAL RATE LIBRARY'!$A$5:$A$400,0)))</f>
        <v>123.1</v>
      </c>
      <c r="H1925" s="21" t="n">
        <v>0</v>
      </c>
      <c r="I1925" s="18" t="n">
        <f aca="false">F1925*(1+H1925)</f>
        <v>0.125</v>
      </c>
      <c r="J1925" s="13" t="n">
        <f aca="false">I1925*G1925</f>
        <v>15.3875</v>
      </c>
      <c r="K1925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926" customFormat="false" ht="15" hidden="false" customHeight="true" outlineLevel="0" collapsed="false">
      <c r="A1926" s="9" t="s">
        <v>480</v>
      </c>
      <c r="B1926" s="9" t="s">
        <v>798</v>
      </c>
      <c r="C1926" s="9" t="s">
        <v>1220</v>
      </c>
      <c r="D1926" s="5" t="s">
        <v>1221</v>
      </c>
      <c r="E1926" s="9" t="s">
        <v>386</v>
      </c>
      <c r="F1926" s="18" t="n">
        <v>1</v>
      </c>
      <c r="G1926" s="13" t="n">
        <f aca="false">N(INDEX('05 MATERIAL RATE LIBRARY'!$E$5:$E$400,MATCH("MAT-RDPNT",'05 MATERIAL RATE LIBRARY'!$A$5:$A$400,0)))</f>
        <v>14.57</v>
      </c>
      <c r="H1926" s="21" t="n">
        <v>0</v>
      </c>
      <c r="I1926" s="18" t="n">
        <f aca="false">F1926*(1+H1926)</f>
        <v>1</v>
      </c>
      <c r="J1926" s="13" t="n">
        <f aca="false">I1926*G1926</f>
        <v>14.57</v>
      </c>
      <c r="K1926" s="20" t="str">
        <f aca="false">IF(INDEX('05 MATERIAL RATE LIBRARY'!$M$5:$M$400,MATCH("MAT-RDPNT",'05 MATERIAL RATE LIBRARY'!$A$5:$A$400,0))=1,"",IF(INDEX('05 MATERIAL RATE LIBRARY'!$M$5:$M$400,MATCH("MAT-RDPNT",'05 MATERIAL RATE LIBRARY'!$A$5:$A$400,0))=2,"OLD RATE","NO RATE"))</f>
        <v/>
      </c>
    </row>
    <row r="1927" customFormat="false" ht="15" hidden="false" customHeight="true" outlineLevel="0" collapsed="false">
      <c r="A1927" s="9" t="s">
        <v>480</v>
      </c>
      <c r="B1927" s="9" t="s">
        <v>812</v>
      </c>
      <c r="C1927" s="9" t="s">
        <v>1222</v>
      </c>
      <c r="D1927" s="5" t="s">
        <v>1223</v>
      </c>
      <c r="E1927" s="9" t="s">
        <v>815</v>
      </c>
      <c r="F1927" s="18" t="n">
        <f aca="false">'13 PRODUCTIVITY LIBRARY'!E45/'13 PRODUCTIVITY LIBRARY'!D45</f>
        <v>0.0434782608695652</v>
      </c>
      <c r="G1927" s="13" t="n">
        <f aca="false">N(INDEX('06 LABOUR RATE LIBRARY'!$D$5:$D$100,MATCH("LAB-PFT",'06 LABOUR RATE LIBRARY'!$A$5:$A$100,0)))</f>
        <v>2600</v>
      </c>
      <c r="H1927" s="21" t="n">
        <v>0</v>
      </c>
      <c r="I1927" s="18" t="n">
        <f aca="false">F1927*(1+H1927)</f>
        <v>0.0434782608695652</v>
      </c>
      <c r="J1927" s="13" t="n">
        <f aca="false">I1927*G1927</f>
        <v>113.04347826087</v>
      </c>
      <c r="K1927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1928" customFormat="false" ht="15" hidden="false" customHeight="true" outlineLevel="0" collapsed="false">
      <c r="A1928" s="9" t="s">
        <v>480</v>
      </c>
      <c r="B1928" s="9" t="s">
        <v>812</v>
      </c>
      <c r="C1928" s="9" t="s">
        <v>816</v>
      </c>
      <c r="D1928" s="5" t="s">
        <v>1224</v>
      </c>
      <c r="E1928" s="9" t="s">
        <v>815</v>
      </c>
      <c r="F1928" s="18" t="n">
        <f aca="false">'13 PRODUCTIVITY LIBRARY'!F45/'13 PRODUCTIVITY LIBRARY'!D45</f>
        <v>0.0434782608695652</v>
      </c>
      <c r="G1928" s="13" t="n">
        <f aca="false">N(INDEX('06 LABOUR RATE LIBRARY'!$D$5:$D$100,MATCH("LAB-HLP",'06 LABOUR RATE LIBRARY'!$A$5:$A$100,0)))</f>
        <v>1538</v>
      </c>
      <c r="H1928" s="21" t="n">
        <v>0</v>
      </c>
      <c r="I1928" s="18" t="n">
        <f aca="false">F1928*(1+H1928)</f>
        <v>0.0434782608695652</v>
      </c>
      <c r="J1928" s="13" t="n">
        <f aca="false">I1928*G1928</f>
        <v>66.8695652173913</v>
      </c>
      <c r="K192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929" customFormat="false" ht="15" hidden="false" customHeight="true" outlineLevel="0" collapsed="false">
      <c r="D1929" s="22" t="s">
        <v>825</v>
      </c>
      <c r="J1929" s="23" t="n">
        <f aca="false">SUMPRODUCT((B1923:B1928="Material")*F1923:F1928*G1923:G1928)</f>
        <v>489.0975</v>
      </c>
    </row>
    <row r="1930" customFormat="false" ht="15" hidden="false" customHeight="true" outlineLevel="0" collapsed="false">
      <c r="D1930" s="22" t="s">
        <v>826</v>
      </c>
      <c r="J1930" s="23" t="n">
        <f aca="false">SUMIF(B1923:B1928,"Material",J1923:J1928)-J1929</f>
        <v>15.48</v>
      </c>
    </row>
    <row r="1931" customFormat="false" ht="15" hidden="false" customHeight="true" outlineLevel="0" collapsed="false">
      <c r="D1931" s="24" t="s">
        <v>827</v>
      </c>
      <c r="J1931" s="14" t="n">
        <f aca="false">SUMIF(B1923:B1928,"Material",J1923:J1928)</f>
        <v>504.5775</v>
      </c>
    </row>
    <row r="1932" customFormat="false" ht="15" hidden="false" customHeight="true" outlineLevel="0" collapsed="false">
      <c r="D1932" s="24" t="s">
        <v>828</v>
      </c>
      <c r="J1932" s="14" t="n">
        <f aca="false">SUMIF(B1923:B1928,"Labour",J1923:J1928)</f>
        <v>179.913043478261</v>
      </c>
    </row>
    <row r="1933" customFormat="false" ht="15" hidden="false" customHeight="true" outlineLevel="0" collapsed="false">
      <c r="D1933" s="24" t="s">
        <v>829</v>
      </c>
      <c r="J1933" s="14" t="n">
        <f aca="false">SUMIF(B1923:B1928,"Equipment",J1923:J1928)</f>
        <v>0</v>
      </c>
    </row>
    <row r="1934" customFormat="false" ht="15" hidden="false" customHeight="true" outlineLevel="0" collapsed="false">
      <c r="D1934" s="24" t="s">
        <v>830</v>
      </c>
      <c r="J1934" s="14" t="n">
        <f aca="false">SUMIF(B1923:B1928,"Transport",J1923:J1928)</f>
        <v>0</v>
      </c>
    </row>
    <row r="1935" customFormat="false" ht="15" hidden="false" customHeight="true" outlineLevel="0" collapsed="false">
      <c r="D1935" s="24" t="s">
        <v>831</v>
      </c>
      <c r="J1935" s="14" t="n">
        <f aca="false">J1931+J1932+J1933+J1934</f>
        <v>684.490543478261</v>
      </c>
    </row>
    <row r="1936" customFormat="false" ht="15" hidden="false" customHeight="true" outlineLevel="0" collapsed="false">
      <c r="D1936" s="22" t="s">
        <v>832</v>
      </c>
      <c r="J1936" s="23" t="n">
        <f aca="false">J1935*OH_Site</f>
        <v>20.5347163043478</v>
      </c>
    </row>
    <row r="1937" customFormat="false" ht="15" hidden="false" customHeight="true" outlineLevel="0" collapsed="false">
      <c r="D1937" s="22" t="s">
        <v>833</v>
      </c>
      <c r="J1937" s="23" t="n">
        <f aca="false">J1935*OH_HO</f>
        <v>34.224527173913</v>
      </c>
    </row>
    <row r="1938" customFormat="false" ht="15" hidden="false" customHeight="true" outlineLevel="0" collapsed="false">
      <c r="D1938" s="22" t="s">
        <v>834</v>
      </c>
      <c r="J1938" s="23" t="n">
        <f aca="false">J1935*Profit</f>
        <v>68.4490543478261</v>
      </c>
    </row>
    <row r="1939" customFormat="false" ht="15" hidden="false" customHeight="true" outlineLevel="0" collapsed="false">
      <c r="D1939" s="24" t="s">
        <v>835</v>
      </c>
      <c r="J1939" s="14" t="n">
        <f aca="false">J1935+J1936+J1937+J1938</f>
        <v>807.698841304348</v>
      </c>
    </row>
    <row r="1940" customFormat="false" ht="15" hidden="false" customHeight="true" outlineLevel="0" collapsed="false">
      <c r="D1940" s="22" t="s">
        <v>836</v>
      </c>
      <c r="J1940" s="23" t="n">
        <f aca="false">IF(Tax_On="Yes",J1939*N(Tax_Rate),0)</f>
        <v>0</v>
      </c>
    </row>
    <row r="1941" customFormat="false" ht="15" hidden="false" customHeight="true" outlineLevel="0" collapsed="false">
      <c r="D1941" s="24" t="s">
        <v>1069</v>
      </c>
      <c r="J1941" s="14" t="n">
        <f aca="false">ROUND(J1939+J1940,0)</f>
        <v>808</v>
      </c>
    </row>
    <row r="1942" customFormat="false" ht="15" hidden="false" customHeight="true" outlineLevel="0" collapsed="false">
      <c r="D1942" s="25" t="s">
        <v>838</v>
      </c>
      <c r="J1942" s="26" t="n">
        <f aca="false">COUNTIF(K1923:K1928,"NO RATE")+COUNTIF(K1923:K1928,"OLD RATE")</f>
        <v>2</v>
      </c>
    </row>
    <row r="1944" customFormat="false" ht="39.75" hidden="false" customHeight="true" outlineLevel="0" collapsed="false">
      <c r="A1944" s="4" t="s">
        <v>486</v>
      </c>
      <c r="B1944" s="16" t="s">
        <v>488</v>
      </c>
      <c r="C1944" s="16"/>
      <c r="D1944" s="16"/>
      <c r="E1944" s="16"/>
      <c r="F1944" s="16"/>
      <c r="G1944" s="16"/>
      <c r="H1944" s="16"/>
      <c r="I1944" s="16"/>
      <c r="J1944" s="4" t="s">
        <v>1061</v>
      </c>
      <c r="K1944" s="17"/>
    </row>
    <row r="1945" customFormat="false" ht="21.75" hidden="false" customHeight="true" outlineLevel="0" collapsed="false">
      <c r="A1945" s="12" t="s">
        <v>75</v>
      </c>
      <c r="B1945" s="12" t="s">
        <v>789</v>
      </c>
      <c r="C1945" s="12" t="s">
        <v>790</v>
      </c>
      <c r="D1945" s="12" t="s">
        <v>791</v>
      </c>
      <c r="E1945" s="12" t="s">
        <v>81</v>
      </c>
      <c r="F1945" s="12" t="s">
        <v>792</v>
      </c>
      <c r="G1945" s="12" t="s">
        <v>793</v>
      </c>
      <c r="H1945" s="12" t="s">
        <v>794</v>
      </c>
      <c r="I1945" s="12" t="s">
        <v>795</v>
      </c>
      <c r="J1945" s="12" t="s">
        <v>796</v>
      </c>
      <c r="K1945" s="12" t="s">
        <v>797</v>
      </c>
    </row>
    <row r="1946" customFormat="false" ht="15" hidden="false" customHeight="true" outlineLevel="0" collapsed="false">
      <c r="A1946" s="9" t="s">
        <v>486</v>
      </c>
      <c r="B1946" s="9" t="s">
        <v>798</v>
      </c>
      <c r="C1946" s="9" t="s">
        <v>1225</v>
      </c>
      <c r="D1946" s="5" t="s">
        <v>1216</v>
      </c>
      <c r="E1946" s="9" t="s">
        <v>386</v>
      </c>
      <c r="F1946" s="18" t="n">
        <v>1</v>
      </c>
      <c r="G1946" s="13" t="n">
        <f aca="false">N(INDEX('05 MATERIAL RATE LIBRARY'!$E$5:$E$400,MATCH("MAT-BSP-200",'05 MATERIAL RATE LIBRARY'!$A$5:$A$400,0)))</f>
        <v>651.92</v>
      </c>
      <c r="H1946" s="19" t="n">
        <f aca="false">W_Pipe</f>
        <v>0.05</v>
      </c>
      <c r="I1946" s="18" t="n">
        <f aca="false">F1946*(1+H1946)</f>
        <v>1.05</v>
      </c>
      <c r="J1946" s="13" t="n">
        <f aca="false">I1946*G1946</f>
        <v>684.516</v>
      </c>
      <c r="K1946" s="20" t="str">
        <f aca="false">IF(INDEX('05 MATERIAL RATE LIBRARY'!$M$5:$M$400,MATCH("MAT-BSP-200",'05 MATERIAL RATE LIBRARY'!$A$5:$A$400,0))=1,"",IF(INDEX('05 MATERIAL RATE LIBRARY'!$M$5:$M$400,MATCH("MAT-BSP-200",'05 MATERIAL RATE LIBRARY'!$A$5:$A$400,0))=2,"OLD RATE","NO RATE"))</f>
        <v>OLD RATE</v>
      </c>
    </row>
    <row r="1947" customFormat="false" ht="15" hidden="false" customHeight="true" outlineLevel="0" collapsed="false">
      <c r="A1947" s="9" t="s">
        <v>486</v>
      </c>
      <c r="B1947" s="9" t="s">
        <v>798</v>
      </c>
      <c r="C1947" s="9" t="s">
        <v>1226</v>
      </c>
      <c r="D1947" s="5" t="s">
        <v>1227</v>
      </c>
      <c r="E1947" s="9" t="s">
        <v>386</v>
      </c>
      <c r="F1947" s="18" t="n">
        <v>1</v>
      </c>
      <c r="G1947" s="13" t="n">
        <f aca="false">N(INDEX('05 MATERIAL RATE LIBRARY'!$E$5:$E$400,MATCH("MAT-FFFIT-200",'05 MATERIAL RATE LIBRARY'!$A$5:$A$400,0)))</f>
        <v>314.88</v>
      </c>
      <c r="H1947" s="21" t="n">
        <v>0</v>
      </c>
      <c r="I1947" s="18" t="n">
        <f aca="false">F1947*(1+H1947)</f>
        <v>1</v>
      </c>
      <c r="J1947" s="13" t="n">
        <f aca="false">I1947*G1947</f>
        <v>314.88</v>
      </c>
      <c r="K1947" s="20" t="str">
        <f aca="false">IF(INDEX('05 MATERIAL RATE LIBRARY'!$M$5:$M$400,MATCH("MAT-FFFIT-200",'05 MATERIAL RATE LIBRARY'!$A$5:$A$400,0))=1,"",IF(INDEX('05 MATERIAL RATE LIBRARY'!$M$5:$M$400,MATCH("MAT-FFFIT-200",'05 MATERIAL RATE LIBRARY'!$A$5:$A$400,0))=2,"OLD RATE","NO RATE"))</f>
        <v/>
      </c>
    </row>
    <row r="1948" customFormat="false" ht="15" hidden="false" customHeight="true" outlineLevel="0" collapsed="false">
      <c r="A1948" s="9" t="s">
        <v>486</v>
      </c>
      <c r="B1948" s="9" t="s">
        <v>798</v>
      </c>
      <c r="C1948" s="9" t="s">
        <v>1132</v>
      </c>
      <c r="D1948" s="5" t="s">
        <v>1219</v>
      </c>
      <c r="E1948" s="9" t="s">
        <v>368</v>
      </c>
      <c r="F1948" s="18" t="n">
        <v>0.125</v>
      </c>
      <c r="G1948" s="13" t="n">
        <f aca="false">N(INDEX('05 MATERIAL RATE LIBRARY'!$E$5:$E$400,MATCH("MAT-CLMP",'05 MATERIAL RATE LIBRARY'!$A$5:$A$400,0)))</f>
        <v>123.1</v>
      </c>
      <c r="H1948" s="21" t="n">
        <v>0</v>
      </c>
      <c r="I1948" s="18" t="n">
        <f aca="false">F1948*(1+H1948)</f>
        <v>0.125</v>
      </c>
      <c r="J1948" s="13" t="n">
        <f aca="false">I1948*G1948</f>
        <v>15.3875</v>
      </c>
      <c r="K1948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949" customFormat="false" ht="15" hidden="false" customHeight="true" outlineLevel="0" collapsed="false">
      <c r="A1949" s="9" t="s">
        <v>486</v>
      </c>
      <c r="B1949" s="9" t="s">
        <v>798</v>
      </c>
      <c r="C1949" s="9" t="s">
        <v>1220</v>
      </c>
      <c r="D1949" s="5" t="s">
        <v>1221</v>
      </c>
      <c r="E1949" s="9" t="s">
        <v>386</v>
      </c>
      <c r="F1949" s="18" t="n">
        <v>1</v>
      </c>
      <c r="G1949" s="13" t="n">
        <f aca="false">N(INDEX('05 MATERIAL RATE LIBRARY'!$E$5:$E$400,MATCH("MAT-RDPNT",'05 MATERIAL RATE LIBRARY'!$A$5:$A$400,0)))</f>
        <v>14.57</v>
      </c>
      <c r="H1949" s="21" t="n">
        <v>0</v>
      </c>
      <c r="I1949" s="18" t="n">
        <f aca="false">F1949*(1+H1949)</f>
        <v>1</v>
      </c>
      <c r="J1949" s="13" t="n">
        <f aca="false">I1949*G1949</f>
        <v>14.57</v>
      </c>
      <c r="K1949" s="20" t="str">
        <f aca="false">IF(INDEX('05 MATERIAL RATE LIBRARY'!$M$5:$M$400,MATCH("MAT-RDPNT",'05 MATERIAL RATE LIBRARY'!$A$5:$A$400,0))=1,"",IF(INDEX('05 MATERIAL RATE LIBRARY'!$M$5:$M$400,MATCH("MAT-RDPNT",'05 MATERIAL RATE LIBRARY'!$A$5:$A$400,0))=2,"OLD RATE","NO RATE"))</f>
        <v/>
      </c>
    </row>
    <row r="1950" customFormat="false" ht="15" hidden="false" customHeight="true" outlineLevel="0" collapsed="false">
      <c r="A1950" s="9" t="s">
        <v>486</v>
      </c>
      <c r="B1950" s="9" t="s">
        <v>812</v>
      </c>
      <c r="C1950" s="9" t="s">
        <v>1222</v>
      </c>
      <c r="D1950" s="5" t="s">
        <v>1228</v>
      </c>
      <c r="E1950" s="9" t="s">
        <v>815</v>
      </c>
      <c r="F1950" s="18" t="n">
        <f aca="false">'13 PRODUCTIVITY LIBRARY'!E46/'13 PRODUCTIVITY LIBRARY'!D46</f>
        <v>0.0714285714285714</v>
      </c>
      <c r="G1950" s="13" t="n">
        <f aca="false">N(INDEX('06 LABOUR RATE LIBRARY'!$D$5:$D$100,MATCH("LAB-PFT",'06 LABOUR RATE LIBRARY'!$A$5:$A$100,0)))</f>
        <v>2600</v>
      </c>
      <c r="H1950" s="21" t="n">
        <v>0</v>
      </c>
      <c r="I1950" s="18" t="n">
        <f aca="false">F1950*(1+H1950)</f>
        <v>0.0714285714285714</v>
      </c>
      <c r="J1950" s="13" t="n">
        <f aca="false">I1950*G1950</f>
        <v>185.714285714286</v>
      </c>
      <c r="K1950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1951" customFormat="false" ht="15" hidden="false" customHeight="true" outlineLevel="0" collapsed="false">
      <c r="A1951" s="9" t="s">
        <v>486</v>
      </c>
      <c r="B1951" s="9" t="s">
        <v>812</v>
      </c>
      <c r="C1951" s="9" t="s">
        <v>816</v>
      </c>
      <c r="D1951" s="5" t="s">
        <v>1229</v>
      </c>
      <c r="E1951" s="9" t="s">
        <v>815</v>
      </c>
      <c r="F1951" s="18" t="n">
        <f aca="false">'13 PRODUCTIVITY LIBRARY'!F46/'13 PRODUCTIVITY LIBRARY'!D46</f>
        <v>0.0714285714285714</v>
      </c>
      <c r="G1951" s="13" t="n">
        <f aca="false">N(INDEX('06 LABOUR RATE LIBRARY'!$D$5:$D$100,MATCH("LAB-HLP",'06 LABOUR RATE LIBRARY'!$A$5:$A$100,0)))</f>
        <v>1538</v>
      </c>
      <c r="H1951" s="21" t="n">
        <v>0</v>
      </c>
      <c r="I1951" s="18" t="n">
        <f aca="false">F1951*(1+H1951)</f>
        <v>0.0714285714285714</v>
      </c>
      <c r="J1951" s="13" t="n">
        <f aca="false">I1951*G1951</f>
        <v>109.857142857143</v>
      </c>
      <c r="K195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952" customFormat="false" ht="15" hidden="false" customHeight="true" outlineLevel="0" collapsed="false">
      <c r="D1952" s="22" t="s">
        <v>825</v>
      </c>
      <c r="J1952" s="23" t="n">
        <f aca="false">SUMPRODUCT((B1946:B1951="Material")*F1946:F1951*G1946:G1951)</f>
        <v>996.7575</v>
      </c>
    </row>
    <row r="1953" customFormat="false" ht="15" hidden="false" customHeight="true" outlineLevel="0" collapsed="false">
      <c r="D1953" s="22" t="s">
        <v>826</v>
      </c>
      <c r="J1953" s="23" t="n">
        <f aca="false">SUMIF(B1946:B1951,"Material",J1946:J1951)-J1952</f>
        <v>32.596</v>
      </c>
    </row>
    <row r="1954" customFormat="false" ht="15" hidden="false" customHeight="true" outlineLevel="0" collapsed="false">
      <c r="D1954" s="24" t="s">
        <v>827</v>
      </c>
      <c r="J1954" s="14" t="n">
        <f aca="false">SUMIF(B1946:B1951,"Material",J1946:J1951)</f>
        <v>1029.3535</v>
      </c>
    </row>
    <row r="1955" customFormat="false" ht="15" hidden="false" customHeight="true" outlineLevel="0" collapsed="false">
      <c r="D1955" s="24" t="s">
        <v>828</v>
      </c>
      <c r="J1955" s="14" t="n">
        <f aca="false">SUMIF(B1946:B1951,"Labour",J1946:J1951)</f>
        <v>295.571428571429</v>
      </c>
    </row>
    <row r="1956" customFormat="false" ht="15" hidden="false" customHeight="true" outlineLevel="0" collapsed="false">
      <c r="D1956" s="24" t="s">
        <v>829</v>
      </c>
      <c r="J1956" s="14" t="n">
        <f aca="false">SUMIF(B1946:B1951,"Equipment",J1946:J1951)</f>
        <v>0</v>
      </c>
    </row>
    <row r="1957" customFormat="false" ht="15" hidden="false" customHeight="true" outlineLevel="0" collapsed="false">
      <c r="D1957" s="24" t="s">
        <v>830</v>
      </c>
      <c r="J1957" s="14" t="n">
        <f aca="false">SUMIF(B1946:B1951,"Transport",J1946:J1951)</f>
        <v>0</v>
      </c>
    </row>
    <row r="1958" customFormat="false" ht="15" hidden="false" customHeight="true" outlineLevel="0" collapsed="false">
      <c r="D1958" s="24" t="s">
        <v>831</v>
      </c>
      <c r="J1958" s="14" t="n">
        <f aca="false">J1954+J1955+J1956+J1957</f>
        <v>1324.92492857143</v>
      </c>
    </row>
    <row r="1959" customFormat="false" ht="15" hidden="false" customHeight="true" outlineLevel="0" collapsed="false">
      <c r="D1959" s="22" t="s">
        <v>832</v>
      </c>
      <c r="J1959" s="23" t="n">
        <f aca="false">J1958*OH_Site</f>
        <v>39.7477478571429</v>
      </c>
    </row>
    <row r="1960" customFormat="false" ht="15" hidden="false" customHeight="true" outlineLevel="0" collapsed="false">
      <c r="D1960" s="22" t="s">
        <v>833</v>
      </c>
      <c r="J1960" s="23" t="n">
        <f aca="false">J1958*OH_HO</f>
        <v>66.2462464285714</v>
      </c>
    </row>
    <row r="1961" customFormat="false" ht="15" hidden="false" customHeight="true" outlineLevel="0" collapsed="false">
      <c r="D1961" s="22" t="s">
        <v>834</v>
      </c>
      <c r="J1961" s="23" t="n">
        <f aca="false">J1958*Profit</f>
        <v>132.492492857143</v>
      </c>
    </row>
    <row r="1962" customFormat="false" ht="15" hidden="false" customHeight="true" outlineLevel="0" collapsed="false">
      <c r="D1962" s="24" t="s">
        <v>835</v>
      </c>
      <c r="J1962" s="14" t="n">
        <f aca="false">J1958+J1959+J1960+J1961</f>
        <v>1563.41141571429</v>
      </c>
    </row>
    <row r="1963" customFormat="false" ht="15" hidden="false" customHeight="true" outlineLevel="0" collapsed="false">
      <c r="D1963" s="22" t="s">
        <v>836</v>
      </c>
      <c r="J1963" s="23" t="n">
        <f aca="false">IF(Tax_On="Yes",J1962*N(Tax_Rate),0)</f>
        <v>0</v>
      </c>
    </row>
    <row r="1964" customFormat="false" ht="15" hidden="false" customHeight="true" outlineLevel="0" collapsed="false">
      <c r="D1964" s="24" t="s">
        <v>1069</v>
      </c>
      <c r="J1964" s="14" t="n">
        <f aca="false">ROUND(J1962+J1963,0)</f>
        <v>1563</v>
      </c>
    </row>
    <row r="1965" customFormat="false" ht="15" hidden="false" customHeight="true" outlineLevel="0" collapsed="false">
      <c r="D1965" s="25" t="s">
        <v>838</v>
      </c>
      <c r="J1965" s="26" t="n">
        <f aca="false">COUNTIF(K1946:K1951,"NO RATE")+COUNTIF(K1946:K1951,"OLD RATE")</f>
        <v>2</v>
      </c>
    </row>
    <row r="1967" customFormat="false" ht="39.75" hidden="false" customHeight="true" outlineLevel="0" collapsed="false">
      <c r="A1967" s="4" t="s">
        <v>489</v>
      </c>
      <c r="B1967" s="16" t="s">
        <v>491</v>
      </c>
      <c r="C1967" s="16"/>
      <c r="D1967" s="16"/>
      <c r="E1967" s="16"/>
      <c r="F1967" s="16"/>
      <c r="G1967" s="16"/>
      <c r="H1967" s="16"/>
      <c r="I1967" s="16"/>
      <c r="J1967" s="4" t="s">
        <v>1061</v>
      </c>
      <c r="K1967" s="17"/>
    </row>
    <row r="1968" customFormat="false" ht="21.75" hidden="false" customHeight="true" outlineLevel="0" collapsed="false">
      <c r="A1968" s="12" t="s">
        <v>75</v>
      </c>
      <c r="B1968" s="12" t="s">
        <v>789</v>
      </c>
      <c r="C1968" s="12" t="s">
        <v>790</v>
      </c>
      <c r="D1968" s="12" t="s">
        <v>791</v>
      </c>
      <c r="E1968" s="12" t="s">
        <v>81</v>
      </c>
      <c r="F1968" s="12" t="s">
        <v>792</v>
      </c>
      <c r="G1968" s="12" t="s">
        <v>793</v>
      </c>
      <c r="H1968" s="12" t="s">
        <v>794</v>
      </c>
      <c r="I1968" s="12" t="s">
        <v>795</v>
      </c>
      <c r="J1968" s="12" t="s">
        <v>796</v>
      </c>
      <c r="K1968" s="12" t="s">
        <v>797</v>
      </c>
    </row>
    <row r="1969" customFormat="false" ht="15" hidden="false" customHeight="true" outlineLevel="0" collapsed="false">
      <c r="A1969" s="9" t="s">
        <v>489</v>
      </c>
      <c r="B1969" s="9" t="s">
        <v>798</v>
      </c>
      <c r="C1969" s="9" t="s">
        <v>1230</v>
      </c>
      <c r="D1969" s="5" t="s">
        <v>1216</v>
      </c>
      <c r="E1969" s="9" t="s">
        <v>386</v>
      </c>
      <c r="F1969" s="18" t="n">
        <v>1</v>
      </c>
      <c r="G1969" s="13" t="n">
        <f aca="false">N(INDEX('05 MATERIAL RATE LIBRARY'!$E$5:$E$400,MATCH("MAT-BSP-400",'05 MATERIAL RATE LIBRARY'!$A$5:$A$400,0)))</f>
        <v>1878.66</v>
      </c>
      <c r="H1969" s="19" t="n">
        <f aca="false">W_Pipe</f>
        <v>0.05</v>
      </c>
      <c r="I1969" s="18" t="n">
        <f aca="false">F1969*(1+H1969)</f>
        <v>1.05</v>
      </c>
      <c r="J1969" s="13" t="n">
        <f aca="false">I1969*G1969</f>
        <v>1972.593</v>
      </c>
      <c r="K1969" s="20" t="str">
        <f aca="false">IF(INDEX('05 MATERIAL RATE LIBRARY'!$M$5:$M$400,MATCH("MAT-BSP-400",'05 MATERIAL RATE LIBRARY'!$A$5:$A$400,0))=1,"",IF(INDEX('05 MATERIAL RATE LIBRARY'!$M$5:$M$400,MATCH("MAT-BSP-400",'05 MATERIAL RATE LIBRARY'!$A$5:$A$400,0))=2,"OLD RATE","NO RATE"))</f>
        <v>OLD RATE</v>
      </c>
    </row>
    <row r="1970" customFormat="false" ht="15" hidden="false" customHeight="true" outlineLevel="0" collapsed="false">
      <c r="A1970" s="9" t="s">
        <v>489</v>
      </c>
      <c r="B1970" s="9" t="s">
        <v>798</v>
      </c>
      <c r="C1970" s="9" t="s">
        <v>1231</v>
      </c>
      <c r="D1970" s="5" t="s">
        <v>1232</v>
      </c>
      <c r="E1970" s="9" t="s">
        <v>386</v>
      </c>
      <c r="F1970" s="18" t="n">
        <v>1</v>
      </c>
      <c r="G1970" s="13" t="n">
        <f aca="false">N(INDEX('05 MATERIAL RATE LIBRARY'!$E$5:$E$400,MATCH("MAT-FFFIT-400",'05 MATERIAL RATE LIBRARY'!$A$5:$A$400,0)))</f>
        <v>907.39</v>
      </c>
      <c r="H1970" s="21" t="n">
        <v>0</v>
      </c>
      <c r="I1970" s="18" t="n">
        <f aca="false">F1970*(1+H1970)</f>
        <v>1</v>
      </c>
      <c r="J1970" s="13" t="n">
        <f aca="false">I1970*G1970</f>
        <v>907.39</v>
      </c>
      <c r="K1970" s="20" t="str">
        <f aca="false">IF(INDEX('05 MATERIAL RATE LIBRARY'!$M$5:$M$400,MATCH("MAT-FFFIT-400",'05 MATERIAL RATE LIBRARY'!$A$5:$A$400,0))=1,"",IF(INDEX('05 MATERIAL RATE LIBRARY'!$M$5:$M$400,MATCH("MAT-FFFIT-400",'05 MATERIAL RATE LIBRARY'!$A$5:$A$400,0))=2,"OLD RATE","NO RATE"))</f>
        <v/>
      </c>
    </row>
    <row r="1971" customFormat="false" ht="15" hidden="false" customHeight="true" outlineLevel="0" collapsed="false">
      <c r="A1971" s="9" t="s">
        <v>489</v>
      </c>
      <c r="B1971" s="9" t="s">
        <v>798</v>
      </c>
      <c r="C1971" s="9" t="s">
        <v>1132</v>
      </c>
      <c r="D1971" s="5" t="s">
        <v>1219</v>
      </c>
      <c r="E1971" s="9" t="s">
        <v>368</v>
      </c>
      <c r="F1971" s="18" t="n">
        <v>0.125</v>
      </c>
      <c r="G1971" s="13" t="n">
        <f aca="false">N(INDEX('05 MATERIAL RATE LIBRARY'!$E$5:$E$400,MATCH("MAT-CLMP",'05 MATERIAL RATE LIBRARY'!$A$5:$A$400,0)))</f>
        <v>123.1</v>
      </c>
      <c r="H1971" s="21" t="n">
        <v>0</v>
      </c>
      <c r="I1971" s="18" t="n">
        <f aca="false">F1971*(1+H1971)</f>
        <v>0.125</v>
      </c>
      <c r="J1971" s="13" t="n">
        <f aca="false">I1971*G1971</f>
        <v>15.3875</v>
      </c>
      <c r="K1971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1972" customFormat="false" ht="15" hidden="false" customHeight="true" outlineLevel="0" collapsed="false">
      <c r="A1972" s="9" t="s">
        <v>489</v>
      </c>
      <c r="B1972" s="9" t="s">
        <v>798</v>
      </c>
      <c r="C1972" s="9" t="s">
        <v>1220</v>
      </c>
      <c r="D1972" s="5" t="s">
        <v>1221</v>
      </c>
      <c r="E1972" s="9" t="s">
        <v>386</v>
      </c>
      <c r="F1972" s="18" t="n">
        <v>1</v>
      </c>
      <c r="G1972" s="13" t="n">
        <f aca="false">N(INDEX('05 MATERIAL RATE LIBRARY'!$E$5:$E$400,MATCH("MAT-RDPNT",'05 MATERIAL RATE LIBRARY'!$A$5:$A$400,0)))</f>
        <v>14.57</v>
      </c>
      <c r="H1972" s="21" t="n">
        <v>0</v>
      </c>
      <c r="I1972" s="18" t="n">
        <f aca="false">F1972*(1+H1972)</f>
        <v>1</v>
      </c>
      <c r="J1972" s="13" t="n">
        <f aca="false">I1972*G1972</f>
        <v>14.57</v>
      </c>
      <c r="K1972" s="20" t="str">
        <f aca="false">IF(INDEX('05 MATERIAL RATE LIBRARY'!$M$5:$M$400,MATCH("MAT-RDPNT",'05 MATERIAL RATE LIBRARY'!$A$5:$A$400,0))=1,"",IF(INDEX('05 MATERIAL RATE LIBRARY'!$M$5:$M$400,MATCH("MAT-RDPNT",'05 MATERIAL RATE LIBRARY'!$A$5:$A$400,0))=2,"OLD RATE","NO RATE"))</f>
        <v/>
      </c>
    </row>
    <row r="1973" customFormat="false" ht="15" hidden="false" customHeight="true" outlineLevel="0" collapsed="false">
      <c r="A1973" s="9" t="s">
        <v>489</v>
      </c>
      <c r="B1973" s="9" t="s">
        <v>812</v>
      </c>
      <c r="C1973" s="9" t="s">
        <v>1222</v>
      </c>
      <c r="D1973" s="5" t="s">
        <v>1233</v>
      </c>
      <c r="E1973" s="9" t="s">
        <v>815</v>
      </c>
      <c r="F1973" s="18" t="n">
        <f aca="false">'13 PRODUCTIVITY LIBRARY'!E47/'13 PRODUCTIVITY LIBRARY'!D47</f>
        <v>0.133333333333333</v>
      </c>
      <c r="G1973" s="13" t="n">
        <f aca="false">N(INDEX('06 LABOUR RATE LIBRARY'!$D$5:$D$100,MATCH("LAB-PFT",'06 LABOUR RATE LIBRARY'!$A$5:$A$100,0)))</f>
        <v>2600</v>
      </c>
      <c r="H1973" s="21" t="n">
        <v>0</v>
      </c>
      <c r="I1973" s="18" t="n">
        <f aca="false">F1973*(1+H1973)</f>
        <v>0.133333333333333</v>
      </c>
      <c r="J1973" s="13" t="n">
        <f aca="false">I1973*G1973</f>
        <v>346.666666666667</v>
      </c>
      <c r="K1973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1974" customFormat="false" ht="15" hidden="false" customHeight="true" outlineLevel="0" collapsed="false">
      <c r="A1974" s="9" t="s">
        <v>489</v>
      </c>
      <c r="B1974" s="9" t="s">
        <v>812</v>
      </c>
      <c r="C1974" s="9" t="s">
        <v>816</v>
      </c>
      <c r="D1974" s="5" t="s">
        <v>1234</v>
      </c>
      <c r="E1974" s="9" t="s">
        <v>815</v>
      </c>
      <c r="F1974" s="18" t="n">
        <f aca="false">'13 PRODUCTIVITY LIBRARY'!F47/'13 PRODUCTIVITY LIBRARY'!D47</f>
        <v>0.133333333333333</v>
      </c>
      <c r="G1974" s="13" t="n">
        <f aca="false">N(INDEX('06 LABOUR RATE LIBRARY'!$D$5:$D$100,MATCH("LAB-HLP",'06 LABOUR RATE LIBRARY'!$A$5:$A$100,0)))</f>
        <v>1538</v>
      </c>
      <c r="H1974" s="21" t="n">
        <v>0</v>
      </c>
      <c r="I1974" s="18" t="n">
        <f aca="false">F1974*(1+H1974)</f>
        <v>0.133333333333333</v>
      </c>
      <c r="J1974" s="13" t="n">
        <f aca="false">I1974*G1974</f>
        <v>205.066666666667</v>
      </c>
      <c r="K197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975" customFormat="false" ht="15" hidden="false" customHeight="true" outlineLevel="0" collapsed="false">
      <c r="D1975" s="22" t="s">
        <v>825</v>
      </c>
      <c r="J1975" s="23" t="n">
        <f aca="false">SUMPRODUCT((B1969:B1974="Material")*F1969:F1974*G1969:G1974)</f>
        <v>2816.0075</v>
      </c>
    </row>
    <row r="1976" customFormat="false" ht="15" hidden="false" customHeight="true" outlineLevel="0" collapsed="false">
      <c r="D1976" s="22" t="s">
        <v>826</v>
      </c>
      <c r="J1976" s="23" t="n">
        <f aca="false">SUMIF(B1969:B1974,"Material",J1969:J1974)-J1975</f>
        <v>93.933</v>
      </c>
    </row>
    <row r="1977" customFormat="false" ht="15" hidden="false" customHeight="true" outlineLevel="0" collapsed="false">
      <c r="D1977" s="24" t="s">
        <v>827</v>
      </c>
      <c r="J1977" s="14" t="n">
        <f aca="false">SUMIF(B1969:B1974,"Material",J1969:J1974)</f>
        <v>2909.9405</v>
      </c>
    </row>
    <row r="1978" customFormat="false" ht="15" hidden="false" customHeight="true" outlineLevel="0" collapsed="false">
      <c r="D1978" s="24" t="s">
        <v>828</v>
      </c>
      <c r="J1978" s="14" t="n">
        <f aca="false">SUMIF(B1969:B1974,"Labour",J1969:J1974)</f>
        <v>551.733333333333</v>
      </c>
    </row>
    <row r="1979" customFormat="false" ht="15" hidden="false" customHeight="true" outlineLevel="0" collapsed="false">
      <c r="D1979" s="24" t="s">
        <v>829</v>
      </c>
      <c r="J1979" s="14" t="n">
        <f aca="false">SUMIF(B1969:B1974,"Equipment",J1969:J1974)</f>
        <v>0</v>
      </c>
    </row>
    <row r="1980" customFormat="false" ht="15" hidden="false" customHeight="true" outlineLevel="0" collapsed="false">
      <c r="D1980" s="24" t="s">
        <v>830</v>
      </c>
      <c r="J1980" s="14" t="n">
        <f aca="false">SUMIF(B1969:B1974,"Transport",J1969:J1974)</f>
        <v>0</v>
      </c>
    </row>
    <row r="1981" customFormat="false" ht="15" hidden="false" customHeight="true" outlineLevel="0" collapsed="false">
      <c r="D1981" s="24" t="s">
        <v>831</v>
      </c>
      <c r="J1981" s="14" t="n">
        <f aca="false">J1977+J1978+J1979+J1980</f>
        <v>3461.67383333333</v>
      </c>
    </row>
    <row r="1982" customFormat="false" ht="15" hidden="false" customHeight="true" outlineLevel="0" collapsed="false">
      <c r="D1982" s="22" t="s">
        <v>832</v>
      </c>
      <c r="J1982" s="23" t="n">
        <f aca="false">J1981*OH_Site</f>
        <v>103.850215</v>
      </c>
    </row>
    <row r="1983" customFormat="false" ht="15" hidden="false" customHeight="true" outlineLevel="0" collapsed="false">
      <c r="D1983" s="22" t="s">
        <v>833</v>
      </c>
      <c r="J1983" s="23" t="n">
        <f aca="false">J1981*OH_HO</f>
        <v>173.083691666667</v>
      </c>
    </row>
    <row r="1984" customFormat="false" ht="15" hidden="false" customHeight="true" outlineLevel="0" collapsed="false">
      <c r="D1984" s="22" t="s">
        <v>834</v>
      </c>
      <c r="J1984" s="23" t="n">
        <f aca="false">J1981*Profit</f>
        <v>346.167383333333</v>
      </c>
    </row>
    <row r="1985" customFormat="false" ht="15" hidden="false" customHeight="true" outlineLevel="0" collapsed="false">
      <c r="D1985" s="24" t="s">
        <v>835</v>
      </c>
      <c r="J1985" s="14" t="n">
        <f aca="false">J1981+J1982+J1983+J1984</f>
        <v>4084.77512333333</v>
      </c>
    </row>
    <row r="1986" customFormat="false" ht="15" hidden="false" customHeight="true" outlineLevel="0" collapsed="false">
      <c r="D1986" s="22" t="s">
        <v>836</v>
      </c>
      <c r="J1986" s="23" t="n">
        <f aca="false">IF(Tax_On="Yes",J1985*N(Tax_Rate),0)</f>
        <v>0</v>
      </c>
    </row>
    <row r="1987" customFormat="false" ht="15" hidden="false" customHeight="true" outlineLevel="0" collapsed="false">
      <c r="D1987" s="24" t="s">
        <v>1069</v>
      </c>
      <c r="J1987" s="14" t="n">
        <f aca="false">ROUND(J1985+J1986,0)</f>
        <v>4085</v>
      </c>
    </row>
    <row r="1988" customFormat="false" ht="15" hidden="false" customHeight="true" outlineLevel="0" collapsed="false">
      <c r="D1988" s="25" t="s">
        <v>838</v>
      </c>
      <c r="J1988" s="26" t="n">
        <f aca="false">COUNTIF(K1969:K1974,"NO RATE")+COUNTIF(K1969:K1974,"OLD RATE")</f>
        <v>2</v>
      </c>
    </row>
    <row r="1990" customFormat="false" ht="39.75" hidden="false" customHeight="true" outlineLevel="0" collapsed="false">
      <c r="A1990" s="4" t="s">
        <v>492</v>
      </c>
      <c r="B1990" s="16" t="s">
        <v>495</v>
      </c>
      <c r="C1990" s="16"/>
      <c r="D1990" s="16"/>
      <c r="E1990" s="16"/>
      <c r="F1990" s="16"/>
      <c r="G1990" s="16"/>
      <c r="H1990" s="16"/>
      <c r="I1990" s="16"/>
      <c r="J1990" s="4" t="s">
        <v>1032</v>
      </c>
      <c r="K1990" s="17"/>
    </row>
    <row r="1991" customFormat="false" ht="21.75" hidden="false" customHeight="true" outlineLevel="0" collapsed="false">
      <c r="A1991" s="12" t="s">
        <v>75</v>
      </c>
      <c r="B1991" s="12" t="s">
        <v>789</v>
      </c>
      <c r="C1991" s="12" t="s">
        <v>790</v>
      </c>
      <c r="D1991" s="12" t="s">
        <v>791</v>
      </c>
      <c r="E1991" s="12" t="s">
        <v>81</v>
      </c>
      <c r="F1991" s="12" t="s">
        <v>792</v>
      </c>
      <c r="G1991" s="12" t="s">
        <v>793</v>
      </c>
      <c r="H1991" s="12" t="s">
        <v>794</v>
      </c>
      <c r="I1991" s="12" t="s">
        <v>795</v>
      </c>
      <c r="J1991" s="12" t="s">
        <v>796</v>
      </c>
      <c r="K1991" s="12" t="s">
        <v>797</v>
      </c>
    </row>
    <row r="1992" customFormat="false" ht="15" hidden="false" customHeight="true" outlineLevel="0" collapsed="false">
      <c r="A1992" s="9" t="s">
        <v>492</v>
      </c>
      <c r="B1992" s="9" t="s">
        <v>798</v>
      </c>
      <c r="C1992" s="9" t="s">
        <v>1235</v>
      </c>
      <c r="D1992" s="5" t="s">
        <v>1236</v>
      </c>
      <c r="E1992" s="9" t="s">
        <v>368</v>
      </c>
      <c r="F1992" s="18" t="n">
        <v>1</v>
      </c>
      <c r="G1992" s="13" t="n">
        <f aca="false">N(INDEX('05 MATERIAL RATE LIBRARY'!$E$5:$E$400,MATCH("MAT-SPK",'05 MATERIAL RATE LIBRARY'!$A$5:$A$400,0)))</f>
        <v>1935</v>
      </c>
      <c r="H1992" s="21" t="n">
        <v>0</v>
      </c>
      <c r="I1992" s="18" t="n">
        <f aca="false">F1992*(1+H1992)</f>
        <v>1</v>
      </c>
      <c r="J1992" s="13" t="n">
        <f aca="false">I1992*G1992</f>
        <v>1935</v>
      </c>
      <c r="K1992" s="20" t="str">
        <f aca="false">IF(INDEX('05 MATERIAL RATE LIBRARY'!$M$5:$M$400,MATCH("MAT-SPK",'05 MATERIAL RATE LIBRARY'!$A$5:$A$400,0))=1,"",IF(INDEX('05 MATERIAL RATE LIBRARY'!$M$5:$M$400,MATCH("MAT-SPK",'05 MATERIAL RATE LIBRARY'!$A$5:$A$400,0))=2,"OLD RATE","NO RATE"))</f>
        <v/>
      </c>
    </row>
    <row r="1993" customFormat="false" ht="15" hidden="false" customHeight="true" outlineLevel="0" collapsed="false">
      <c r="A1993" s="9" t="s">
        <v>492</v>
      </c>
      <c r="B1993" s="9" t="s">
        <v>798</v>
      </c>
      <c r="C1993" s="9" t="s">
        <v>1215</v>
      </c>
      <c r="D1993" s="5" t="s">
        <v>1237</v>
      </c>
      <c r="E1993" s="9" t="s">
        <v>386</v>
      </c>
      <c r="F1993" s="18" t="n">
        <v>3</v>
      </c>
      <c r="G1993" s="13" t="n">
        <f aca="false">N(INDEX('05 MATERIAL RATE LIBRARY'!$E$5:$E$400,MATCH("MAT-BSP-100",'05 MATERIAL RATE LIBRARY'!$A$5:$A$400,0)))</f>
        <v>309.6</v>
      </c>
      <c r="H1993" s="21" t="n">
        <v>0</v>
      </c>
      <c r="I1993" s="18" t="n">
        <f aca="false">F1993*(1+H1993)</f>
        <v>3</v>
      </c>
      <c r="J1993" s="13" t="n">
        <f aca="false">I1993*G1993</f>
        <v>928.8</v>
      </c>
      <c r="K1993" s="20" t="str">
        <f aca="false">IF(INDEX('05 MATERIAL RATE LIBRARY'!$M$5:$M$400,MATCH("MAT-BSP-100",'05 MATERIAL RATE LIBRARY'!$A$5:$A$400,0))=1,"",IF(INDEX('05 MATERIAL RATE LIBRARY'!$M$5:$M$400,MATCH("MAT-BSP-100",'05 MATERIAL RATE LIBRARY'!$A$5:$A$400,0))=2,"OLD RATE","NO RATE"))</f>
        <v>OLD RATE</v>
      </c>
    </row>
    <row r="1994" customFormat="false" ht="15" hidden="false" customHeight="true" outlineLevel="0" collapsed="false">
      <c r="A1994" s="9" t="s">
        <v>492</v>
      </c>
      <c r="B1994" s="9" t="s">
        <v>812</v>
      </c>
      <c r="C1994" s="9" t="s">
        <v>1222</v>
      </c>
      <c r="D1994" s="5" t="s">
        <v>1238</v>
      </c>
      <c r="E1994" s="9" t="s">
        <v>815</v>
      </c>
      <c r="F1994" s="18" t="n">
        <f aca="false">'13 PRODUCTIVITY LIBRARY'!E48/'13 PRODUCTIVITY LIBRARY'!D48</f>
        <v>0.172413793103448</v>
      </c>
      <c r="G1994" s="13" t="n">
        <f aca="false">N(INDEX('06 LABOUR RATE LIBRARY'!$D$5:$D$100,MATCH("LAB-PFT",'06 LABOUR RATE LIBRARY'!$A$5:$A$100,0)))</f>
        <v>2600</v>
      </c>
      <c r="H1994" s="21" t="n">
        <v>0</v>
      </c>
      <c r="I1994" s="18" t="n">
        <f aca="false">F1994*(1+H1994)</f>
        <v>0.172413793103448</v>
      </c>
      <c r="J1994" s="13" t="n">
        <f aca="false">I1994*G1994</f>
        <v>448.275862068966</v>
      </c>
      <c r="K1994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1995" customFormat="false" ht="15" hidden="false" customHeight="true" outlineLevel="0" collapsed="false">
      <c r="A1995" s="9" t="s">
        <v>492</v>
      </c>
      <c r="B1995" s="9" t="s">
        <v>812</v>
      </c>
      <c r="C1995" s="9" t="s">
        <v>816</v>
      </c>
      <c r="D1995" s="5" t="s">
        <v>1239</v>
      </c>
      <c r="E1995" s="9" t="s">
        <v>815</v>
      </c>
      <c r="F1995" s="18" t="n">
        <f aca="false">'13 PRODUCTIVITY LIBRARY'!F48/'13 PRODUCTIVITY LIBRARY'!D48</f>
        <v>0.172413793103448</v>
      </c>
      <c r="G1995" s="13" t="n">
        <f aca="false">N(INDEX('06 LABOUR RATE LIBRARY'!$D$5:$D$100,MATCH("LAB-HLP",'06 LABOUR RATE LIBRARY'!$A$5:$A$100,0)))</f>
        <v>1538</v>
      </c>
      <c r="H1995" s="21" t="n">
        <v>0</v>
      </c>
      <c r="I1995" s="18" t="n">
        <f aca="false">F1995*(1+H1995)</f>
        <v>0.172413793103448</v>
      </c>
      <c r="J1995" s="13" t="n">
        <f aca="false">I1995*G1995</f>
        <v>265.172413793104</v>
      </c>
      <c r="K199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1996" customFormat="false" ht="15" hidden="false" customHeight="true" outlineLevel="0" collapsed="false">
      <c r="D1996" s="22" t="s">
        <v>825</v>
      </c>
      <c r="J1996" s="23" t="n">
        <f aca="false">SUMPRODUCT((B1992:B1995="Material")*F1992:F1995*G1992:G1995)</f>
        <v>2863.8</v>
      </c>
    </row>
    <row r="1997" customFormat="false" ht="15" hidden="false" customHeight="true" outlineLevel="0" collapsed="false">
      <c r="D1997" s="22" t="s">
        <v>826</v>
      </c>
      <c r="J1997" s="23" t="n">
        <f aca="false">SUMIF(B1992:B1995,"Material",J1992:J1995)-J1996</f>
        <v>0</v>
      </c>
    </row>
    <row r="1998" customFormat="false" ht="15" hidden="false" customHeight="true" outlineLevel="0" collapsed="false">
      <c r="D1998" s="24" t="s">
        <v>827</v>
      </c>
      <c r="J1998" s="14" t="n">
        <f aca="false">SUMIF(B1992:B1995,"Material",J1992:J1995)</f>
        <v>2863.8</v>
      </c>
    </row>
    <row r="1999" customFormat="false" ht="15" hidden="false" customHeight="true" outlineLevel="0" collapsed="false">
      <c r="D1999" s="24" t="s">
        <v>828</v>
      </c>
      <c r="J1999" s="14" t="n">
        <f aca="false">SUMIF(B1992:B1995,"Labour",J1992:J1995)</f>
        <v>713.448275862069</v>
      </c>
    </row>
    <row r="2000" customFormat="false" ht="15" hidden="false" customHeight="true" outlineLevel="0" collapsed="false">
      <c r="D2000" s="24" t="s">
        <v>829</v>
      </c>
      <c r="J2000" s="14" t="n">
        <f aca="false">SUMIF(B1992:B1995,"Equipment",J1992:J1995)</f>
        <v>0</v>
      </c>
    </row>
    <row r="2001" customFormat="false" ht="15" hidden="false" customHeight="true" outlineLevel="0" collapsed="false">
      <c r="D2001" s="24" t="s">
        <v>830</v>
      </c>
      <c r="J2001" s="14" t="n">
        <f aca="false">SUMIF(B1992:B1995,"Transport",J1992:J1995)</f>
        <v>0</v>
      </c>
    </row>
    <row r="2002" customFormat="false" ht="15" hidden="false" customHeight="true" outlineLevel="0" collapsed="false">
      <c r="D2002" s="24" t="s">
        <v>831</v>
      </c>
      <c r="J2002" s="14" t="n">
        <f aca="false">J1998+J1999+J2000+J2001</f>
        <v>3577.24827586207</v>
      </c>
    </row>
    <row r="2003" customFormat="false" ht="15" hidden="false" customHeight="true" outlineLevel="0" collapsed="false">
      <c r="D2003" s="22" t="s">
        <v>832</v>
      </c>
      <c r="J2003" s="23" t="n">
        <f aca="false">J2002*OH_Site</f>
        <v>107.317448275862</v>
      </c>
    </row>
    <row r="2004" customFormat="false" ht="15" hidden="false" customHeight="true" outlineLevel="0" collapsed="false">
      <c r="D2004" s="22" t="s">
        <v>833</v>
      </c>
      <c r="J2004" s="23" t="n">
        <f aca="false">J2002*OH_HO</f>
        <v>178.862413793103</v>
      </c>
    </row>
    <row r="2005" customFormat="false" ht="15" hidden="false" customHeight="true" outlineLevel="0" collapsed="false">
      <c r="D2005" s="22" t="s">
        <v>834</v>
      </c>
      <c r="J2005" s="23" t="n">
        <f aca="false">J2002*Profit</f>
        <v>357.724827586207</v>
      </c>
    </row>
    <row r="2006" customFormat="false" ht="15" hidden="false" customHeight="true" outlineLevel="0" collapsed="false">
      <c r="D2006" s="24" t="s">
        <v>835</v>
      </c>
      <c r="J2006" s="14" t="n">
        <f aca="false">J2002+J2003+J2004+J2005</f>
        <v>4221.15296551724</v>
      </c>
    </row>
    <row r="2007" customFormat="false" ht="15" hidden="false" customHeight="true" outlineLevel="0" collapsed="false">
      <c r="D2007" s="22" t="s">
        <v>836</v>
      </c>
      <c r="J2007" s="23" t="n">
        <f aca="false">IF(Tax_On="Yes",J2006*N(Tax_Rate),0)</f>
        <v>0</v>
      </c>
    </row>
    <row r="2008" customFormat="false" ht="15" hidden="false" customHeight="true" outlineLevel="0" collapsed="false">
      <c r="D2008" s="24" t="s">
        <v>1048</v>
      </c>
      <c r="J2008" s="14" t="n">
        <f aca="false">ROUND(J2006+J2007,0)</f>
        <v>4221</v>
      </c>
    </row>
    <row r="2009" customFormat="false" ht="15" hidden="false" customHeight="true" outlineLevel="0" collapsed="false">
      <c r="D2009" s="25" t="s">
        <v>838</v>
      </c>
      <c r="J2009" s="26" t="n">
        <f aca="false">COUNTIF(K1992:K1995,"NO RATE")+COUNTIF(K1992:K1995,"OLD RATE")</f>
        <v>1</v>
      </c>
    </row>
    <row r="2011" customFormat="false" ht="39.75" hidden="false" customHeight="true" outlineLevel="0" collapsed="false">
      <c r="A2011" s="4" t="s">
        <v>497</v>
      </c>
      <c r="B2011" s="16" t="s">
        <v>500</v>
      </c>
      <c r="C2011" s="16"/>
      <c r="D2011" s="16"/>
      <c r="E2011" s="16"/>
      <c r="F2011" s="16"/>
      <c r="G2011" s="16"/>
      <c r="H2011" s="16"/>
      <c r="I2011" s="16"/>
      <c r="J2011" s="4" t="s">
        <v>1032</v>
      </c>
      <c r="K2011" s="17"/>
    </row>
    <row r="2012" customFormat="false" ht="21.75" hidden="false" customHeight="true" outlineLevel="0" collapsed="false">
      <c r="A2012" s="12" t="s">
        <v>75</v>
      </c>
      <c r="B2012" s="12" t="s">
        <v>789</v>
      </c>
      <c r="C2012" s="12" t="s">
        <v>790</v>
      </c>
      <c r="D2012" s="12" t="s">
        <v>791</v>
      </c>
      <c r="E2012" s="12" t="s">
        <v>81</v>
      </c>
      <c r="F2012" s="12" t="s">
        <v>792</v>
      </c>
      <c r="G2012" s="12" t="s">
        <v>793</v>
      </c>
      <c r="H2012" s="12" t="s">
        <v>794</v>
      </c>
      <c r="I2012" s="12" t="s">
        <v>795</v>
      </c>
      <c r="J2012" s="12" t="s">
        <v>796</v>
      </c>
      <c r="K2012" s="12" t="s">
        <v>797</v>
      </c>
    </row>
    <row r="2013" customFormat="false" ht="15" hidden="false" customHeight="true" outlineLevel="0" collapsed="false">
      <c r="A2013" s="9" t="s">
        <v>497</v>
      </c>
      <c r="B2013" s="9" t="s">
        <v>798</v>
      </c>
      <c r="C2013" s="9" t="s">
        <v>1240</v>
      </c>
      <c r="D2013" s="5" t="s">
        <v>1241</v>
      </c>
      <c r="E2013" s="9" t="s">
        <v>368</v>
      </c>
      <c r="F2013" s="18" t="n">
        <v>1</v>
      </c>
      <c r="G2013" s="13" t="n">
        <f aca="false">N(INDEX('05 MATERIAL RATE LIBRARY'!$E$5:$E$400,MATCH("MAT-HRC",'05 MATERIAL RATE LIBRARY'!$A$5:$A$400,0)))</f>
        <v>103085</v>
      </c>
      <c r="H2013" s="21" t="n">
        <v>0</v>
      </c>
      <c r="I2013" s="18" t="n">
        <f aca="false">F2013*(1+H2013)</f>
        <v>1</v>
      </c>
      <c r="J2013" s="13" t="n">
        <f aca="false">I2013*G2013</f>
        <v>103085</v>
      </c>
      <c r="K2013" s="20" t="str">
        <f aca="false">IF(INDEX('05 MATERIAL RATE LIBRARY'!$M$5:$M$400,MATCH("MAT-HRC",'05 MATERIAL RATE LIBRARY'!$A$5:$A$400,0))=1,"",IF(INDEX('05 MATERIAL RATE LIBRARY'!$M$5:$M$400,MATCH("MAT-HRC",'05 MATERIAL RATE LIBRARY'!$A$5:$A$400,0))=2,"OLD RATE","NO RATE"))</f>
        <v/>
      </c>
    </row>
    <row r="2014" customFormat="false" ht="15" hidden="false" customHeight="true" outlineLevel="0" collapsed="false">
      <c r="A2014" s="9" t="s">
        <v>497</v>
      </c>
      <c r="B2014" s="9" t="s">
        <v>812</v>
      </c>
      <c r="C2014" s="9" t="s">
        <v>1222</v>
      </c>
      <c r="D2014" s="5" t="s">
        <v>1242</v>
      </c>
      <c r="E2014" s="9" t="s">
        <v>815</v>
      </c>
      <c r="F2014" s="18" t="n">
        <f aca="false">0.5</f>
        <v>0.5</v>
      </c>
      <c r="G2014" s="13" t="n">
        <f aca="false">N(INDEX('06 LABOUR RATE LIBRARY'!$D$5:$D$100,MATCH("LAB-PFT",'06 LABOUR RATE LIBRARY'!$A$5:$A$100,0)))</f>
        <v>2600</v>
      </c>
      <c r="H2014" s="21" t="n">
        <v>0</v>
      </c>
      <c r="I2014" s="18" t="n">
        <f aca="false">F2014*(1+H2014)</f>
        <v>0.5</v>
      </c>
      <c r="J2014" s="13" t="n">
        <f aca="false">I2014*G2014</f>
        <v>1300</v>
      </c>
      <c r="K2014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2015" customFormat="false" ht="15" hidden="false" customHeight="true" outlineLevel="0" collapsed="false">
      <c r="A2015" s="9" t="s">
        <v>497</v>
      </c>
      <c r="B2015" s="9" t="s">
        <v>812</v>
      </c>
      <c r="C2015" s="9" t="s">
        <v>816</v>
      </c>
      <c r="D2015" s="5" t="s">
        <v>1052</v>
      </c>
      <c r="E2015" s="9" t="s">
        <v>815</v>
      </c>
      <c r="F2015" s="18" t="n">
        <f aca="false">0.5</f>
        <v>0.5</v>
      </c>
      <c r="G2015" s="13" t="n">
        <f aca="false">N(INDEX('06 LABOUR RATE LIBRARY'!$D$5:$D$100,MATCH("LAB-HLP",'06 LABOUR RATE LIBRARY'!$A$5:$A$100,0)))</f>
        <v>1538</v>
      </c>
      <c r="H2015" s="21" t="n">
        <v>0</v>
      </c>
      <c r="I2015" s="18" t="n">
        <f aca="false">F2015*(1+H2015)</f>
        <v>0.5</v>
      </c>
      <c r="J2015" s="13" t="n">
        <f aca="false">I2015*G2015</f>
        <v>769</v>
      </c>
      <c r="K201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016" customFormat="false" ht="15" hidden="false" customHeight="true" outlineLevel="0" collapsed="false">
      <c r="D2016" s="22" t="s">
        <v>825</v>
      </c>
      <c r="J2016" s="23" t="n">
        <f aca="false">SUMPRODUCT((B2013:B2015="Material")*F2013:F2015*G2013:G2015)</f>
        <v>103085</v>
      </c>
    </row>
    <row r="2017" customFormat="false" ht="15" hidden="false" customHeight="true" outlineLevel="0" collapsed="false">
      <c r="D2017" s="22" t="s">
        <v>826</v>
      </c>
      <c r="J2017" s="23" t="n">
        <f aca="false">SUMIF(B2013:B2015,"Material",J2013:J2015)-J2016</f>
        <v>0</v>
      </c>
    </row>
    <row r="2018" customFormat="false" ht="15" hidden="false" customHeight="true" outlineLevel="0" collapsed="false">
      <c r="D2018" s="24" t="s">
        <v>827</v>
      </c>
      <c r="J2018" s="14" t="n">
        <f aca="false">SUMIF(B2013:B2015,"Material",J2013:J2015)</f>
        <v>103085</v>
      </c>
    </row>
    <row r="2019" customFormat="false" ht="15" hidden="false" customHeight="true" outlineLevel="0" collapsed="false">
      <c r="D2019" s="24" t="s">
        <v>828</v>
      </c>
      <c r="J2019" s="14" t="n">
        <f aca="false">SUMIF(B2013:B2015,"Labour",J2013:J2015)</f>
        <v>2069</v>
      </c>
    </row>
    <row r="2020" customFormat="false" ht="15" hidden="false" customHeight="true" outlineLevel="0" collapsed="false">
      <c r="D2020" s="24" t="s">
        <v>829</v>
      </c>
      <c r="J2020" s="14" t="n">
        <f aca="false">SUMIF(B2013:B2015,"Equipment",J2013:J2015)</f>
        <v>0</v>
      </c>
    </row>
    <row r="2021" customFormat="false" ht="15" hidden="false" customHeight="true" outlineLevel="0" collapsed="false">
      <c r="D2021" s="24" t="s">
        <v>830</v>
      </c>
      <c r="J2021" s="14" t="n">
        <f aca="false">SUMIF(B2013:B2015,"Transport",J2013:J2015)</f>
        <v>0</v>
      </c>
    </row>
    <row r="2022" customFormat="false" ht="15" hidden="false" customHeight="true" outlineLevel="0" collapsed="false">
      <c r="D2022" s="24" t="s">
        <v>831</v>
      </c>
      <c r="J2022" s="14" t="n">
        <f aca="false">J2018+J2019+J2020+J2021</f>
        <v>105154</v>
      </c>
    </row>
    <row r="2023" customFormat="false" ht="15" hidden="false" customHeight="true" outlineLevel="0" collapsed="false">
      <c r="D2023" s="22" t="s">
        <v>832</v>
      </c>
      <c r="J2023" s="23" t="n">
        <f aca="false">J2022*OH_Site</f>
        <v>3154.62</v>
      </c>
    </row>
    <row r="2024" customFormat="false" ht="15" hidden="false" customHeight="true" outlineLevel="0" collapsed="false">
      <c r="D2024" s="22" t="s">
        <v>833</v>
      </c>
      <c r="J2024" s="23" t="n">
        <f aca="false">J2022*OH_HO</f>
        <v>5257.7</v>
      </c>
    </row>
    <row r="2025" customFormat="false" ht="15" hidden="false" customHeight="true" outlineLevel="0" collapsed="false">
      <c r="D2025" s="22" t="s">
        <v>834</v>
      </c>
      <c r="J2025" s="23" t="n">
        <f aca="false">J2022*Profit</f>
        <v>10515.4</v>
      </c>
    </row>
    <row r="2026" customFormat="false" ht="15" hidden="false" customHeight="true" outlineLevel="0" collapsed="false">
      <c r="D2026" s="24" t="s">
        <v>835</v>
      </c>
      <c r="J2026" s="14" t="n">
        <f aca="false">J2022+J2023+J2024+J2025</f>
        <v>124081.72</v>
      </c>
    </row>
    <row r="2027" customFormat="false" ht="15" hidden="false" customHeight="true" outlineLevel="0" collapsed="false">
      <c r="D2027" s="22" t="s">
        <v>836</v>
      </c>
      <c r="J2027" s="23" t="n">
        <f aca="false">IF(Tax_On="Yes",J2026*N(Tax_Rate),0)</f>
        <v>0</v>
      </c>
    </row>
    <row r="2028" customFormat="false" ht="15" hidden="false" customHeight="true" outlineLevel="0" collapsed="false">
      <c r="D2028" s="24" t="s">
        <v>1048</v>
      </c>
      <c r="J2028" s="14" t="n">
        <f aca="false">ROUND(J2026+J2027,0)</f>
        <v>124082</v>
      </c>
    </row>
    <row r="2029" customFormat="false" ht="15" hidden="false" customHeight="true" outlineLevel="0" collapsed="false">
      <c r="D2029" s="25" t="s">
        <v>838</v>
      </c>
      <c r="J2029" s="26" t="n">
        <f aca="false">COUNTIF(K2013:K2015,"NO RATE")+COUNTIF(K2013:K2015,"OLD RATE")</f>
        <v>0</v>
      </c>
    </row>
    <row r="2031" customFormat="false" ht="39.75" hidden="false" customHeight="true" outlineLevel="0" collapsed="false">
      <c r="A2031" s="4" t="s">
        <v>502</v>
      </c>
      <c r="B2031" s="16" t="s">
        <v>506</v>
      </c>
      <c r="C2031" s="16"/>
      <c r="D2031" s="16"/>
      <c r="E2031" s="16"/>
      <c r="F2031" s="16"/>
      <c r="G2031" s="16"/>
      <c r="H2031" s="16"/>
      <c r="I2031" s="16"/>
      <c r="J2031" s="4" t="s">
        <v>1061</v>
      </c>
      <c r="K2031" s="17"/>
    </row>
    <row r="2032" customFormat="false" ht="21.75" hidden="false" customHeight="true" outlineLevel="0" collapsed="false">
      <c r="A2032" s="12" t="s">
        <v>75</v>
      </c>
      <c r="B2032" s="12" t="s">
        <v>789</v>
      </c>
      <c r="C2032" s="12" t="s">
        <v>790</v>
      </c>
      <c r="D2032" s="12" t="s">
        <v>791</v>
      </c>
      <c r="E2032" s="12" t="s">
        <v>81</v>
      </c>
      <c r="F2032" s="12" t="s">
        <v>792</v>
      </c>
      <c r="G2032" s="12" t="s">
        <v>793</v>
      </c>
      <c r="H2032" s="12" t="s">
        <v>794</v>
      </c>
      <c r="I2032" s="12" t="s">
        <v>795</v>
      </c>
      <c r="J2032" s="12" t="s">
        <v>796</v>
      </c>
      <c r="K2032" s="12" t="s">
        <v>797</v>
      </c>
    </row>
    <row r="2033" customFormat="false" ht="15" hidden="false" customHeight="true" outlineLevel="0" collapsed="false">
      <c r="A2033" s="9" t="s">
        <v>502</v>
      </c>
      <c r="B2033" s="9" t="s">
        <v>798</v>
      </c>
      <c r="C2033" s="9" t="s">
        <v>1243</v>
      </c>
      <c r="D2033" s="5" t="s">
        <v>1244</v>
      </c>
      <c r="E2033" s="9" t="s">
        <v>386</v>
      </c>
      <c r="F2033" s="18" t="n">
        <v>1</v>
      </c>
      <c r="G2033" s="13" t="n">
        <f aca="false">N(INDEX('05 MATERIAL RATE LIBRARY'!$E$5:$E$400,MATCH("MAT-CND-075",'05 MATERIAL RATE LIBRARY'!$A$5:$A$400,0)))</f>
        <v>44</v>
      </c>
      <c r="H2033" s="19" t="n">
        <f aca="false">W_Pipe</f>
        <v>0.05</v>
      </c>
      <c r="I2033" s="18" t="n">
        <f aca="false">F2033*(1+H2033)</f>
        <v>1.05</v>
      </c>
      <c r="J2033" s="13" t="n">
        <f aca="false">I2033*G2033</f>
        <v>46.2</v>
      </c>
      <c r="K2033" s="20" t="str">
        <f aca="false">IF(INDEX('05 MATERIAL RATE LIBRARY'!$M$5:$M$400,MATCH("MAT-CND-075",'05 MATERIAL RATE LIBRARY'!$A$5:$A$400,0))=1,"",IF(INDEX('05 MATERIAL RATE LIBRARY'!$M$5:$M$400,MATCH("MAT-CND-075",'05 MATERIAL RATE LIBRARY'!$A$5:$A$400,0))=2,"OLD RATE","NO RATE"))</f>
        <v/>
      </c>
    </row>
    <row r="2034" customFormat="false" ht="15" hidden="false" customHeight="true" outlineLevel="0" collapsed="false">
      <c r="A2034" s="9" t="s">
        <v>502</v>
      </c>
      <c r="B2034" s="9" t="s">
        <v>798</v>
      </c>
      <c r="C2034" s="9" t="s">
        <v>1245</v>
      </c>
      <c r="D2034" s="5" t="s">
        <v>1246</v>
      </c>
      <c r="E2034" s="9" t="s">
        <v>368</v>
      </c>
      <c r="F2034" s="18" t="n">
        <v>0.1</v>
      </c>
      <c r="G2034" s="13" t="n">
        <f aca="false">N(INDEX('05 MATERIAL RATE LIBRARY'!$E$5:$E$400,MATCH("MAT-CND-075-SO",'05 MATERIAL RATE LIBRARY'!$A$5:$A$400,0)))</f>
        <v>10.8</v>
      </c>
      <c r="H2034" s="21" t="n">
        <v>0</v>
      </c>
      <c r="I2034" s="18" t="n">
        <f aca="false">F2034*(1+H2034)</f>
        <v>0.1</v>
      </c>
      <c r="J2034" s="13" t="n">
        <f aca="false">I2034*G2034</f>
        <v>1.08</v>
      </c>
      <c r="K2034" s="20" t="str">
        <f aca="false">IF(INDEX('05 MATERIAL RATE LIBRARY'!$M$5:$M$400,MATCH("MAT-CND-075-SO",'05 MATERIAL RATE LIBRARY'!$A$5:$A$400,0))=1,"",IF(INDEX('05 MATERIAL RATE LIBRARY'!$M$5:$M$400,MATCH("MAT-CND-075-SO",'05 MATERIAL RATE LIBRARY'!$A$5:$A$400,0))=2,"OLD RATE","NO RATE"))</f>
        <v/>
      </c>
    </row>
    <row r="2035" customFormat="false" ht="15" hidden="false" customHeight="true" outlineLevel="0" collapsed="false">
      <c r="A2035" s="9" t="s">
        <v>502</v>
      </c>
      <c r="B2035" s="9" t="s">
        <v>798</v>
      </c>
      <c r="C2035" s="9" t="s">
        <v>1247</v>
      </c>
      <c r="D2035" s="5" t="s">
        <v>1248</v>
      </c>
      <c r="E2035" s="9" t="s">
        <v>368</v>
      </c>
      <c r="F2035" s="18" t="n">
        <v>0.1</v>
      </c>
      <c r="G2035" s="13" t="n">
        <f aca="false">N(INDEX('05 MATERIAL RATE LIBRARY'!$E$5:$E$400,MATCH("MAT-CND-075-BN",'05 MATERIAL RATE LIBRARY'!$A$5:$A$400,0)))</f>
        <v>35</v>
      </c>
      <c r="H2035" s="21" t="n">
        <v>0</v>
      </c>
      <c r="I2035" s="18" t="n">
        <f aca="false">F2035*(1+H2035)</f>
        <v>0.1</v>
      </c>
      <c r="J2035" s="13" t="n">
        <f aca="false">I2035*G2035</f>
        <v>3.5</v>
      </c>
      <c r="K2035" s="20" t="str">
        <f aca="false">IF(INDEX('05 MATERIAL RATE LIBRARY'!$M$5:$M$400,MATCH("MAT-CND-075-BN",'05 MATERIAL RATE LIBRARY'!$A$5:$A$400,0))=1,"",IF(INDEX('05 MATERIAL RATE LIBRARY'!$M$5:$M$400,MATCH("MAT-CND-075-BN",'05 MATERIAL RATE LIBRARY'!$A$5:$A$400,0))=2,"OLD RATE","NO RATE"))</f>
        <v/>
      </c>
    </row>
    <row r="2036" customFormat="false" ht="15" hidden="false" customHeight="true" outlineLevel="0" collapsed="false">
      <c r="A2036" s="9" t="s">
        <v>502</v>
      </c>
      <c r="B2036" s="9" t="s">
        <v>812</v>
      </c>
      <c r="C2036" s="9" t="s">
        <v>1249</v>
      </c>
      <c r="D2036" s="5" t="s">
        <v>1250</v>
      </c>
      <c r="E2036" s="9" t="s">
        <v>815</v>
      </c>
      <c r="F2036" s="18" t="n">
        <f aca="false">1/100</f>
        <v>0.01</v>
      </c>
      <c r="G2036" s="13" t="n">
        <f aca="false">N(INDEX('06 LABOUR RATE LIBRARY'!$D$5:$D$100,MATCH("LAB-ELC",'06 LABOUR RATE LIBRARY'!$A$5:$A$100,0)))</f>
        <v>2800</v>
      </c>
      <c r="H2036" s="21" t="n">
        <v>0</v>
      </c>
      <c r="I2036" s="18" t="n">
        <f aca="false">F2036*(1+H2036)</f>
        <v>0.01</v>
      </c>
      <c r="J2036" s="13" t="n">
        <f aca="false">I2036*G2036</f>
        <v>28</v>
      </c>
      <c r="K2036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037" customFormat="false" ht="15" hidden="false" customHeight="true" outlineLevel="0" collapsed="false">
      <c r="A2037" s="9" t="s">
        <v>502</v>
      </c>
      <c r="B2037" s="9" t="s">
        <v>812</v>
      </c>
      <c r="C2037" s="9" t="s">
        <v>816</v>
      </c>
      <c r="D2037" s="5" t="s">
        <v>1251</v>
      </c>
      <c r="E2037" s="9" t="s">
        <v>815</v>
      </c>
      <c r="F2037" s="18" t="n">
        <f aca="false">1/100</f>
        <v>0.01</v>
      </c>
      <c r="G2037" s="13" t="n">
        <f aca="false">N(INDEX('06 LABOUR RATE LIBRARY'!$D$5:$D$100,MATCH("LAB-HLP",'06 LABOUR RATE LIBRARY'!$A$5:$A$100,0)))</f>
        <v>1538</v>
      </c>
      <c r="H2037" s="21" t="n">
        <v>0</v>
      </c>
      <c r="I2037" s="18" t="n">
        <f aca="false">F2037*(1+H2037)</f>
        <v>0.01</v>
      </c>
      <c r="J2037" s="13" t="n">
        <f aca="false">I2037*G2037</f>
        <v>15.38</v>
      </c>
      <c r="K203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038" customFormat="false" ht="15" hidden="false" customHeight="true" outlineLevel="0" collapsed="false">
      <c r="D2038" s="22" t="s">
        <v>825</v>
      </c>
      <c r="J2038" s="23" t="n">
        <f aca="false">SUMPRODUCT((B2033:B2037="Material")*F2033:F2037*G2033:G2037)</f>
        <v>48.58</v>
      </c>
    </row>
    <row r="2039" customFormat="false" ht="15" hidden="false" customHeight="true" outlineLevel="0" collapsed="false">
      <c r="D2039" s="22" t="s">
        <v>826</v>
      </c>
      <c r="J2039" s="23" t="n">
        <f aca="false">SUMIF(B2033:B2037,"Material",J2033:J2037)-J2038</f>
        <v>2.2</v>
      </c>
    </row>
    <row r="2040" customFormat="false" ht="15" hidden="false" customHeight="true" outlineLevel="0" collapsed="false">
      <c r="D2040" s="24" t="s">
        <v>827</v>
      </c>
      <c r="J2040" s="14" t="n">
        <f aca="false">SUMIF(B2033:B2037,"Material",J2033:J2037)</f>
        <v>50.78</v>
      </c>
    </row>
    <row r="2041" customFormat="false" ht="15" hidden="false" customHeight="true" outlineLevel="0" collapsed="false">
      <c r="D2041" s="24" t="s">
        <v>828</v>
      </c>
      <c r="J2041" s="14" t="n">
        <f aca="false">SUMIF(B2033:B2037,"Labour",J2033:J2037)</f>
        <v>43.38</v>
      </c>
    </row>
    <row r="2042" customFormat="false" ht="15" hidden="false" customHeight="true" outlineLevel="0" collapsed="false">
      <c r="D2042" s="24" t="s">
        <v>829</v>
      </c>
      <c r="J2042" s="14" t="n">
        <f aca="false">SUMIF(B2033:B2037,"Equipment",J2033:J2037)</f>
        <v>0</v>
      </c>
    </row>
    <row r="2043" customFormat="false" ht="15" hidden="false" customHeight="true" outlineLevel="0" collapsed="false">
      <c r="D2043" s="24" t="s">
        <v>830</v>
      </c>
      <c r="J2043" s="14" t="n">
        <f aca="false">SUMIF(B2033:B2037,"Transport",J2033:J2037)</f>
        <v>0</v>
      </c>
    </row>
    <row r="2044" customFormat="false" ht="15" hidden="false" customHeight="true" outlineLevel="0" collapsed="false">
      <c r="D2044" s="24" t="s">
        <v>831</v>
      </c>
      <c r="J2044" s="14" t="n">
        <f aca="false">J2040+J2041+J2042+J2043</f>
        <v>94.16</v>
      </c>
    </row>
    <row r="2045" customFormat="false" ht="15" hidden="false" customHeight="true" outlineLevel="0" collapsed="false">
      <c r="D2045" s="22" t="s">
        <v>832</v>
      </c>
      <c r="J2045" s="23" t="n">
        <f aca="false">J2044*OH_Site</f>
        <v>2.8248</v>
      </c>
    </row>
    <row r="2046" customFormat="false" ht="15" hidden="false" customHeight="true" outlineLevel="0" collapsed="false">
      <c r="D2046" s="22" t="s">
        <v>833</v>
      </c>
      <c r="J2046" s="23" t="n">
        <f aca="false">J2044*OH_HO</f>
        <v>4.708</v>
      </c>
    </row>
    <row r="2047" customFormat="false" ht="15" hidden="false" customHeight="true" outlineLevel="0" collapsed="false">
      <c r="D2047" s="22" t="s">
        <v>834</v>
      </c>
      <c r="J2047" s="23" t="n">
        <f aca="false">J2044*Profit</f>
        <v>9.416</v>
      </c>
    </row>
    <row r="2048" customFormat="false" ht="15" hidden="false" customHeight="true" outlineLevel="0" collapsed="false">
      <c r="D2048" s="24" t="s">
        <v>835</v>
      </c>
      <c r="J2048" s="14" t="n">
        <f aca="false">J2044+J2045+J2046+J2047</f>
        <v>111.1088</v>
      </c>
    </row>
    <row r="2049" customFormat="false" ht="15" hidden="false" customHeight="true" outlineLevel="0" collapsed="false">
      <c r="D2049" s="22" t="s">
        <v>836</v>
      </c>
      <c r="J2049" s="23" t="n">
        <f aca="false">IF(Tax_On="Yes",J2048*N(Tax_Rate),0)</f>
        <v>0</v>
      </c>
    </row>
    <row r="2050" customFormat="false" ht="15" hidden="false" customHeight="true" outlineLevel="0" collapsed="false">
      <c r="D2050" s="24" t="s">
        <v>1069</v>
      </c>
      <c r="J2050" s="14" t="n">
        <f aca="false">ROUND(J2048+J2049,0)</f>
        <v>111</v>
      </c>
    </row>
    <row r="2051" customFormat="false" ht="15" hidden="false" customHeight="true" outlineLevel="0" collapsed="false">
      <c r="D2051" s="25" t="s">
        <v>838</v>
      </c>
      <c r="J2051" s="26" t="n">
        <f aca="false">COUNTIF(K2033:K2037,"NO RATE")+COUNTIF(K2033:K2037,"OLD RATE")</f>
        <v>0</v>
      </c>
    </row>
    <row r="2053" customFormat="false" ht="39.75" hidden="false" customHeight="true" outlineLevel="0" collapsed="false">
      <c r="A2053" s="4" t="s">
        <v>508</v>
      </c>
      <c r="B2053" s="16" t="s">
        <v>510</v>
      </c>
      <c r="C2053" s="16"/>
      <c r="D2053" s="16"/>
      <c r="E2053" s="16"/>
      <c r="F2053" s="16"/>
      <c r="G2053" s="16"/>
      <c r="H2053" s="16"/>
      <c r="I2053" s="16"/>
      <c r="J2053" s="4" t="s">
        <v>1061</v>
      </c>
      <c r="K2053" s="17"/>
    </row>
    <row r="2054" customFormat="false" ht="21.75" hidden="false" customHeight="true" outlineLevel="0" collapsed="false">
      <c r="A2054" s="12" t="s">
        <v>75</v>
      </c>
      <c r="B2054" s="12" t="s">
        <v>789</v>
      </c>
      <c r="C2054" s="12" t="s">
        <v>790</v>
      </c>
      <c r="D2054" s="12" t="s">
        <v>791</v>
      </c>
      <c r="E2054" s="12" t="s">
        <v>81</v>
      </c>
      <c r="F2054" s="12" t="s">
        <v>792</v>
      </c>
      <c r="G2054" s="12" t="s">
        <v>793</v>
      </c>
      <c r="H2054" s="12" t="s">
        <v>794</v>
      </c>
      <c r="I2054" s="12" t="s">
        <v>795</v>
      </c>
      <c r="J2054" s="12" t="s">
        <v>796</v>
      </c>
      <c r="K2054" s="12" t="s">
        <v>797</v>
      </c>
    </row>
    <row r="2055" customFormat="false" ht="15" hidden="false" customHeight="true" outlineLevel="0" collapsed="false">
      <c r="A2055" s="9" t="s">
        <v>508</v>
      </c>
      <c r="B2055" s="9" t="s">
        <v>798</v>
      </c>
      <c r="C2055" s="9" t="s">
        <v>1252</v>
      </c>
      <c r="D2055" s="5" t="s">
        <v>1244</v>
      </c>
      <c r="E2055" s="9" t="s">
        <v>386</v>
      </c>
      <c r="F2055" s="18" t="n">
        <v>1</v>
      </c>
      <c r="G2055" s="13" t="n">
        <f aca="false">N(INDEX('05 MATERIAL RATE LIBRARY'!$E$5:$E$400,MATCH("MAT-CND-100",'05 MATERIAL RATE LIBRARY'!$A$5:$A$400,0)))</f>
        <v>60.4</v>
      </c>
      <c r="H2055" s="19" t="n">
        <f aca="false">W_Pipe</f>
        <v>0.05</v>
      </c>
      <c r="I2055" s="18" t="n">
        <f aca="false">F2055*(1+H2055)</f>
        <v>1.05</v>
      </c>
      <c r="J2055" s="13" t="n">
        <f aca="false">I2055*G2055</f>
        <v>63.42</v>
      </c>
      <c r="K2055" s="20" t="str">
        <f aca="false">IF(INDEX('05 MATERIAL RATE LIBRARY'!$M$5:$M$400,MATCH("MAT-CND-100",'05 MATERIAL RATE LIBRARY'!$A$5:$A$400,0))=1,"",IF(INDEX('05 MATERIAL RATE LIBRARY'!$M$5:$M$400,MATCH("MAT-CND-100",'05 MATERIAL RATE LIBRARY'!$A$5:$A$400,0))=2,"OLD RATE","NO RATE"))</f>
        <v/>
      </c>
    </row>
    <row r="2056" customFormat="false" ht="15" hidden="false" customHeight="true" outlineLevel="0" collapsed="false">
      <c r="A2056" s="9" t="s">
        <v>508</v>
      </c>
      <c r="B2056" s="9" t="s">
        <v>798</v>
      </c>
      <c r="C2056" s="9" t="s">
        <v>1253</v>
      </c>
      <c r="D2056" s="5" t="s">
        <v>1246</v>
      </c>
      <c r="E2056" s="9" t="s">
        <v>368</v>
      </c>
      <c r="F2056" s="18" t="n">
        <v>0.1</v>
      </c>
      <c r="G2056" s="13" t="n">
        <f aca="false">N(INDEX('05 MATERIAL RATE LIBRARY'!$E$5:$E$400,MATCH("MAT-CND-100-SO",'05 MATERIAL RATE LIBRARY'!$A$5:$A$400,0)))</f>
        <v>20</v>
      </c>
      <c r="H2056" s="21" t="n">
        <v>0</v>
      </c>
      <c r="I2056" s="18" t="n">
        <f aca="false">F2056*(1+H2056)</f>
        <v>0.1</v>
      </c>
      <c r="J2056" s="13" t="n">
        <f aca="false">I2056*G2056</f>
        <v>2</v>
      </c>
      <c r="K2056" s="20" t="str">
        <f aca="false">IF(INDEX('05 MATERIAL RATE LIBRARY'!$M$5:$M$400,MATCH("MAT-CND-100-SO",'05 MATERIAL RATE LIBRARY'!$A$5:$A$400,0))=1,"",IF(INDEX('05 MATERIAL RATE LIBRARY'!$M$5:$M$400,MATCH("MAT-CND-100-SO",'05 MATERIAL RATE LIBRARY'!$A$5:$A$400,0))=2,"OLD RATE","NO RATE"))</f>
        <v/>
      </c>
    </row>
    <row r="2057" customFormat="false" ht="15" hidden="false" customHeight="true" outlineLevel="0" collapsed="false">
      <c r="A2057" s="9" t="s">
        <v>508</v>
      </c>
      <c r="B2057" s="9" t="s">
        <v>798</v>
      </c>
      <c r="C2057" s="9" t="s">
        <v>1254</v>
      </c>
      <c r="D2057" s="5" t="s">
        <v>1248</v>
      </c>
      <c r="E2057" s="9" t="s">
        <v>368</v>
      </c>
      <c r="F2057" s="18" t="n">
        <v>0.1</v>
      </c>
      <c r="G2057" s="13" t="n">
        <f aca="false">N(INDEX('05 MATERIAL RATE LIBRARY'!$E$5:$E$400,MATCH("MAT-CND-100-BN",'05 MATERIAL RATE LIBRARY'!$A$5:$A$400,0)))</f>
        <v>47</v>
      </c>
      <c r="H2057" s="21" t="n">
        <v>0</v>
      </c>
      <c r="I2057" s="18" t="n">
        <f aca="false">F2057*(1+H2057)</f>
        <v>0.1</v>
      </c>
      <c r="J2057" s="13" t="n">
        <f aca="false">I2057*G2057</f>
        <v>4.7</v>
      </c>
      <c r="K2057" s="20" t="str">
        <f aca="false">IF(INDEX('05 MATERIAL RATE LIBRARY'!$M$5:$M$400,MATCH("MAT-CND-100-BN",'05 MATERIAL RATE LIBRARY'!$A$5:$A$400,0))=1,"",IF(INDEX('05 MATERIAL RATE LIBRARY'!$M$5:$M$400,MATCH("MAT-CND-100-BN",'05 MATERIAL RATE LIBRARY'!$A$5:$A$400,0))=2,"OLD RATE","NO RATE"))</f>
        <v/>
      </c>
    </row>
    <row r="2058" customFormat="false" ht="15" hidden="false" customHeight="true" outlineLevel="0" collapsed="false">
      <c r="A2058" s="9" t="s">
        <v>508</v>
      </c>
      <c r="B2058" s="9" t="s">
        <v>812</v>
      </c>
      <c r="C2058" s="9" t="s">
        <v>1249</v>
      </c>
      <c r="D2058" s="5" t="s">
        <v>1250</v>
      </c>
      <c r="E2058" s="9" t="s">
        <v>815</v>
      </c>
      <c r="F2058" s="18" t="n">
        <f aca="false">1/100</f>
        <v>0.01</v>
      </c>
      <c r="G2058" s="13" t="n">
        <f aca="false">N(INDEX('06 LABOUR RATE LIBRARY'!$D$5:$D$100,MATCH("LAB-ELC",'06 LABOUR RATE LIBRARY'!$A$5:$A$100,0)))</f>
        <v>2800</v>
      </c>
      <c r="H2058" s="21" t="n">
        <v>0</v>
      </c>
      <c r="I2058" s="18" t="n">
        <f aca="false">F2058*(1+H2058)</f>
        <v>0.01</v>
      </c>
      <c r="J2058" s="13" t="n">
        <f aca="false">I2058*G2058</f>
        <v>28</v>
      </c>
      <c r="K2058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059" customFormat="false" ht="15" hidden="false" customHeight="true" outlineLevel="0" collapsed="false">
      <c r="A2059" s="9" t="s">
        <v>508</v>
      </c>
      <c r="B2059" s="9" t="s">
        <v>812</v>
      </c>
      <c r="C2059" s="9" t="s">
        <v>816</v>
      </c>
      <c r="D2059" s="5" t="s">
        <v>1251</v>
      </c>
      <c r="E2059" s="9" t="s">
        <v>815</v>
      </c>
      <c r="F2059" s="18" t="n">
        <f aca="false">1/100</f>
        <v>0.01</v>
      </c>
      <c r="G2059" s="13" t="n">
        <f aca="false">N(INDEX('06 LABOUR RATE LIBRARY'!$D$5:$D$100,MATCH("LAB-HLP",'06 LABOUR RATE LIBRARY'!$A$5:$A$100,0)))</f>
        <v>1538</v>
      </c>
      <c r="H2059" s="21" t="n">
        <v>0</v>
      </c>
      <c r="I2059" s="18" t="n">
        <f aca="false">F2059*(1+H2059)</f>
        <v>0.01</v>
      </c>
      <c r="J2059" s="13" t="n">
        <f aca="false">I2059*G2059</f>
        <v>15.38</v>
      </c>
      <c r="K205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060" customFormat="false" ht="15" hidden="false" customHeight="true" outlineLevel="0" collapsed="false">
      <c r="D2060" s="22" t="s">
        <v>825</v>
      </c>
      <c r="J2060" s="23" t="n">
        <f aca="false">SUMPRODUCT((B2055:B2059="Material")*F2055:F2059*G2055:G2059)</f>
        <v>67.1</v>
      </c>
    </row>
    <row r="2061" customFormat="false" ht="15" hidden="false" customHeight="true" outlineLevel="0" collapsed="false">
      <c r="D2061" s="22" t="s">
        <v>826</v>
      </c>
      <c r="J2061" s="23" t="n">
        <f aca="false">SUMIF(B2055:B2059,"Material",J2055:J2059)-J2060</f>
        <v>3.02000000000001</v>
      </c>
    </row>
    <row r="2062" customFormat="false" ht="15" hidden="false" customHeight="true" outlineLevel="0" collapsed="false">
      <c r="D2062" s="24" t="s">
        <v>827</v>
      </c>
      <c r="J2062" s="14" t="n">
        <f aca="false">SUMIF(B2055:B2059,"Material",J2055:J2059)</f>
        <v>70.12</v>
      </c>
    </row>
    <row r="2063" customFormat="false" ht="15" hidden="false" customHeight="true" outlineLevel="0" collapsed="false">
      <c r="D2063" s="24" t="s">
        <v>828</v>
      </c>
      <c r="J2063" s="14" t="n">
        <f aca="false">SUMIF(B2055:B2059,"Labour",J2055:J2059)</f>
        <v>43.38</v>
      </c>
    </row>
    <row r="2064" customFormat="false" ht="15" hidden="false" customHeight="true" outlineLevel="0" collapsed="false">
      <c r="D2064" s="24" t="s">
        <v>829</v>
      </c>
      <c r="J2064" s="14" t="n">
        <f aca="false">SUMIF(B2055:B2059,"Equipment",J2055:J2059)</f>
        <v>0</v>
      </c>
    </row>
    <row r="2065" customFormat="false" ht="15" hidden="false" customHeight="true" outlineLevel="0" collapsed="false">
      <c r="D2065" s="24" t="s">
        <v>830</v>
      </c>
      <c r="J2065" s="14" t="n">
        <f aca="false">SUMIF(B2055:B2059,"Transport",J2055:J2059)</f>
        <v>0</v>
      </c>
    </row>
    <row r="2066" customFormat="false" ht="15" hidden="false" customHeight="true" outlineLevel="0" collapsed="false">
      <c r="D2066" s="24" t="s">
        <v>831</v>
      </c>
      <c r="J2066" s="14" t="n">
        <f aca="false">J2062+J2063+J2064+J2065</f>
        <v>113.5</v>
      </c>
    </row>
    <row r="2067" customFormat="false" ht="15" hidden="false" customHeight="true" outlineLevel="0" collapsed="false">
      <c r="D2067" s="22" t="s">
        <v>832</v>
      </c>
      <c r="J2067" s="23" t="n">
        <f aca="false">J2066*OH_Site</f>
        <v>3.405</v>
      </c>
    </row>
    <row r="2068" customFormat="false" ht="15" hidden="false" customHeight="true" outlineLevel="0" collapsed="false">
      <c r="D2068" s="22" t="s">
        <v>833</v>
      </c>
      <c r="J2068" s="23" t="n">
        <f aca="false">J2066*OH_HO</f>
        <v>5.675</v>
      </c>
    </row>
    <row r="2069" customFormat="false" ht="15" hidden="false" customHeight="true" outlineLevel="0" collapsed="false">
      <c r="D2069" s="22" t="s">
        <v>834</v>
      </c>
      <c r="J2069" s="23" t="n">
        <f aca="false">J2066*Profit</f>
        <v>11.35</v>
      </c>
    </row>
    <row r="2070" customFormat="false" ht="15" hidden="false" customHeight="true" outlineLevel="0" collapsed="false">
      <c r="D2070" s="24" t="s">
        <v>835</v>
      </c>
      <c r="J2070" s="14" t="n">
        <f aca="false">J2066+J2067+J2068+J2069</f>
        <v>133.93</v>
      </c>
    </row>
    <row r="2071" customFormat="false" ht="15" hidden="false" customHeight="true" outlineLevel="0" collapsed="false">
      <c r="D2071" s="22" t="s">
        <v>836</v>
      </c>
      <c r="J2071" s="23" t="n">
        <f aca="false">IF(Tax_On="Yes",J2070*N(Tax_Rate),0)</f>
        <v>0</v>
      </c>
    </row>
    <row r="2072" customFormat="false" ht="15" hidden="false" customHeight="true" outlineLevel="0" collapsed="false">
      <c r="D2072" s="24" t="s">
        <v>1069</v>
      </c>
      <c r="J2072" s="14" t="n">
        <f aca="false">ROUND(J2070+J2071,0)</f>
        <v>134</v>
      </c>
    </row>
    <row r="2073" customFormat="false" ht="15" hidden="false" customHeight="true" outlineLevel="0" collapsed="false">
      <c r="D2073" s="25" t="s">
        <v>838</v>
      </c>
      <c r="J2073" s="26" t="n">
        <f aca="false">COUNTIF(K2055:K2059,"NO RATE")+COUNTIF(K2055:K2059,"OLD RATE")</f>
        <v>0</v>
      </c>
    </row>
    <row r="2075" customFormat="false" ht="39.75" hidden="false" customHeight="true" outlineLevel="0" collapsed="false">
      <c r="A2075" s="4" t="s">
        <v>511</v>
      </c>
      <c r="B2075" s="16" t="s">
        <v>514</v>
      </c>
      <c r="C2075" s="16"/>
      <c r="D2075" s="16"/>
      <c r="E2075" s="16"/>
      <c r="F2075" s="16"/>
      <c r="G2075" s="16"/>
      <c r="H2075" s="16"/>
      <c r="I2075" s="16"/>
      <c r="J2075" s="4" t="s">
        <v>1061</v>
      </c>
      <c r="K2075" s="17"/>
    </row>
    <row r="2076" customFormat="false" ht="21.75" hidden="false" customHeight="true" outlineLevel="0" collapsed="false">
      <c r="A2076" s="12" t="s">
        <v>75</v>
      </c>
      <c r="B2076" s="12" t="s">
        <v>789</v>
      </c>
      <c r="C2076" s="12" t="s">
        <v>790</v>
      </c>
      <c r="D2076" s="12" t="s">
        <v>791</v>
      </c>
      <c r="E2076" s="12" t="s">
        <v>81</v>
      </c>
      <c r="F2076" s="12" t="s">
        <v>792</v>
      </c>
      <c r="G2076" s="12" t="s">
        <v>793</v>
      </c>
      <c r="H2076" s="12" t="s">
        <v>794</v>
      </c>
      <c r="I2076" s="12" t="s">
        <v>795</v>
      </c>
      <c r="J2076" s="12" t="s">
        <v>796</v>
      </c>
      <c r="K2076" s="12" t="s">
        <v>797</v>
      </c>
    </row>
    <row r="2077" customFormat="false" ht="15" hidden="false" customHeight="true" outlineLevel="0" collapsed="false">
      <c r="A2077" s="9" t="s">
        <v>511</v>
      </c>
      <c r="B2077" s="9" t="s">
        <v>798</v>
      </c>
      <c r="C2077" s="9" t="s">
        <v>1255</v>
      </c>
      <c r="D2077" s="5" t="s">
        <v>1256</v>
      </c>
      <c r="E2077" s="9" t="s">
        <v>386</v>
      </c>
      <c r="F2077" s="18" t="n">
        <v>1</v>
      </c>
      <c r="G2077" s="13" t="n">
        <f aca="false">N(INDEX('05 MATERIAL RATE LIBRARY'!$E$5:$E$400,MATCH("MAT-CBL-329",'05 MATERIAL RATE LIBRARY'!$A$5:$A$400,0)))</f>
        <v>25.56</v>
      </c>
      <c r="H2077" s="19" t="n">
        <f aca="false">W_Cbl</f>
        <v>0.03</v>
      </c>
      <c r="I2077" s="18" t="n">
        <f aca="false">F2077*(1+H2077)</f>
        <v>1.03</v>
      </c>
      <c r="J2077" s="13" t="n">
        <f aca="false">I2077*G2077</f>
        <v>26.3268</v>
      </c>
      <c r="K2077" s="20" t="str">
        <f aca="false">IF(INDEX('05 MATERIAL RATE LIBRARY'!$M$5:$M$400,MATCH("MAT-CBL-329",'05 MATERIAL RATE LIBRARY'!$A$5:$A$400,0))=1,"",IF(INDEX('05 MATERIAL RATE LIBRARY'!$M$5:$M$400,MATCH("MAT-CBL-329",'05 MATERIAL RATE LIBRARY'!$A$5:$A$400,0))=2,"OLD RATE","NO RATE"))</f>
        <v/>
      </c>
    </row>
    <row r="2078" customFormat="false" ht="15" hidden="false" customHeight="true" outlineLevel="0" collapsed="false">
      <c r="A2078" s="9" t="s">
        <v>511</v>
      </c>
      <c r="B2078" s="9" t="s">
        <v>812</v>
      </c>
      <c r="C2078" s="9" t="s">
        <v>1249</v>
      </c>
      <c r="D2078" s="5" t="s">
        <v>1257</v>
      </c>
      <c r="E2078" s="9" t="s">
        <v>815</v>
      </c>
      <c r="F2078" s="18" t="n">
        <f aca="false">1/800</f>
        <v>0.00125</v>
      </c>
      <c r="G2078" s="13" t="n">
        <f aca="false">N(INDEX('06 LABOUR RATE LIBRARY'!$D$5:$D$100,MATCH("LAB-ELC",'06 LABOUR RATE LIBRARY'!$A$5:$A$100,0)))</f>
        <v>2800</v>
      </c>
      <c r="H2078" s="21" t="n">
        <v>0</v>
      </c>
      <c r="I2078" s="18" t="n">
        <f aca="false">F2078*(1+H2078)</f>
        <v>0.00125</v>
      </c>
      <c r="J2078" s="13" t="n">
        <f aca="false">I2078*G2078</f>
        <v>3.5</v>
      </c>
      <c r="K2078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079" customFormat="false" ht="15" hidden="false" customHeight="true" outlineLevel="0" collapsed="false">
      <c r="A2079" s="9" t="s">
        <v>511</v>
      </c>
      <c r="B2079" s="9" t="s">
        <v>812</v>
      </c>
      <c r="C2079" s="9" t="s">
        <v>816</v>
      </c>
      <c r="D2079" s="5" t="s">
        <v>1258</v>
      </c>
      <c r="E2079" s="9" t="s">
        <v>815</v>
      </c>
      <c r="F2079" s="18" t="n">
        <f aca="false">1/800</f>
        <v>0.00125</v>
      </c>
      <c r="G2079" s="13" t="n">
        <f aca="false">N(INDEX('06 LABOUR RATE LIBRARY'!$D$5:$D$100,MATCH("LAB-HLP",'06 LABOUR RATE LIBRARY'!$A$5:$A$100,0)))</f>
        <v>1538</v>
      </c>
      <c r="H2079" s="21" t="n">
        <v>0</v>
      </c>
      <c r="I2079" s="18" t="n">
        <f aca="false">F2079*(1+H2079)</f>
        <v>0.00125</v>
      </c>
      <c r="J2079" s="13" t="n">
        <f aca="false">I2079*G2079</f>
        <v>1.9225</v>
      </c>
      <c r="K207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080" customFormat="false" ht="15" hidden="false" customHeight="true" outlineLevel="0" collapsed="false">
      <c r="D2080" s="22" t="s">
        <v>825</v>
      </c>
      <c r="J2080" s="23" t="n">
        <f aca="false">SUMPRODUCT((B2077:B2079="Material")*F2077:F2079*G2077:G2079)</f>
        <v>25.56</v>
      </c>
    </row>
    <row r="2081" customFormat="false" ht="15" hidden="false" customHeight="true" outlineLevel="0" collapsed="false">
      <c r="D2081" s="22" t="s">
        <v>826</v>
      </c>
      <c r="J2081" s="23" t="n">
        <f aca="false">SUMIF(B2077:B2079,"Material",J2077:J2079)-J2080</f>
        <v>0.7668</v>
      </c>
    </row>
    <row r="2082" customFormat="false" ht="15" hidden="false" customHeight="true" outlineLevel="0" collapsed="false">
      <c r="D2082" s="24" t="s">
        <v>827</v>
      </c>
      <c r="J2082" s="14" t="n">
        <f aca="false">SUMIF(B2077:B2079,"Material",J2077:J2079)</f>
        <v>26.3268</v>
      </c>
    </row>
    <row r="2083" customFormat="false" ht="15" hidden="false" customHeight="true" outlineLevel="0" collapsed="false">
      <c r="D2083" s="24" t="s">
        <v>828</v>
      </c>
      <c r="J2083" s="14" t="n">
        <f aca="false">SUMIF(B2077:B2079,"Labour",J2077:J2079)</f>
        <v>5.4225</v>
      </c>
    </row>
    <row r="2084" customFormat="false" ht="15" hidden="false" customHeight="true" outlineLevel="0" collapsed="false">
      <c r="D2084" s="24" t="s">
        <v>829</v>
      </c>
      <c r="J2084" s="14" t="n">
        <f aca="false">SUMIF(B2077:B2079,"Equipment",J2077:J2079)</f>
        <v>0</v>
      </c>
    </row>
    <row r="2085" customFormat="false" ht="15" hidden="false" customHeight="true" outlineLevel="0" collapsed="false">
      <c r="D2085" s="24" t="s">
        <v>830</v>
      </c>
      <c r="J2085" s="14" t="n">
        <f aca="false">SUMIF(B2077:B2079,"Transport",J2077:J2079)</f>
        <v>0</v>
      </c>
    </row>
    <row r="2086" customFormat="false" ht="15" hidden="false" customHeight="true" outlineLevel="0" collapsed="false">
      <c r="D2086" s="24" t="s">
        <v>831</v>
      </c>
      <c r="J2086" s="14" t="n">
        <f aca="false">J2082+J2083+J2084+J2085</f>
        <v>31.7493</v>
      </c>
    </row>
    <row r="2087" customFormat="false" ht="15" hidden="false" customHeight="true" outlineLevel="0" collapsed="false">
      <c r="D2087" s="22" t="s">
        <v>832</v>
      </c>
      <c r="J2087" s="23" t="n">
        <f aca="false">J2086*OH_Site</f>
        <v>0.952479</v>
      </c>
    </row>
    <row r="2088" customFormat="false" ht="15" hidden="false" customHeight="true" outlineLevel="0" collapsed="false">
      <c r="D2088" s="22" t="s">
        <v>833</v>
      </c>
      <c r="J2088" s="23" t="n">
        <f aca="false">J2086*OH_HO</f>
        <v>1.587465</v>
      </c>
    </row>
    <row r="2089" customFormat="false" ht="15" hidden="false" customHeight="true" outlineLevel="0" collapsed="false">
      <c r="D2089" s="22" t="s">
        <v>834</v>
      </c>
      <c r="J2089" s="23" t="n">
        <f aca="false">J2086*Profit</f>
        <v>3.17493</v>
      </c>
    </row>
    <row r="2090" customFormat="false" ht="15" hidden="false" customHeight="true" outlineLevel="0" collapsed="false">
      <c r="D2090" s="24" t="s">
        <v>835</v>
      </c>
      <c r="J2090" s="14" t="n">
        <f aca="false">J2086+J2087+J2088+J2089</f>
        <v>37.464174</v>
      </c>
    </row>
    <row r="2091" customFormat="false" ht="15" hidden="false" customHeight="true" outlineLevel="0" collapsed="false">
      <c r="D2091" s="22" t="s">
        <v>836</v>
      </c>
      <c r="J2091" s="23" t="n">
        <f aca="false">IF(Tax_On="Yes",J2090*N(Tax_Rate),0)</f>
        <v>0</v>
      </c>
    </row>
    <row r="2092" customFormat="false" ht="15" hidden="false" customHeight="true" outlineLevel="0" collapsed="false">
      <c r="D2092" s="24" t="s">
        <v>1069</v>
      </c>
      <c r="J2092" s="14" t="n">
        <f aca="false">ROUND(J2090+J2091,0)</f>
        <v>37</v>
      </c>
    </row>
    <row r="2093" customFormat="false" ht="15" hidden="false" customHeight="true" outlineLevel="0" collapsed="false">
      <c r="D2093" s="25" t="s">
        <v>838</v>
      </c>
      <c r="J2093" s="26" t="n">
        <f aca="false">COUNTIF(K2077:K2079,"NO RATE")+COUNTIF(K2077:K2079,"OLD RATE")</f>
        <v>0</v>
      </c>
    </row>
    <row r="2095" customFormat="false" ht="39.75" hidden="false" customHeight="true" outlineLevel="0" collapsed="false">
      <c r="A2095" s="4" t="s">
        <v>516</v>
      </c>
      <c r="B2095" s="16" t="s">
        <v>518</v>
      </c>
      <c r="C2095" s="16"/>
      <c r="D2095" s="16"/>
      <c r="E2095" s="16"/>
      <c r="F2095" s="16"/>
      <c r="G2095" s="16"/>
      <c r="H2095" s="16"/>
      <c r="I2095" s="16"/>
      <c r="J2095" s="4" t="s">
        <v>1061</v>
      </c>
      <c r="K2095" s="17"/>
    </row>
    <row r="2096" customFormat="false" ht="21.75" hidden="false" customHeight="true" outlineLevel="0" collapsed="false">
      <c r="A2096" s="12" t="s">
        <v>75</v>
      </c>
      <c r="B2096" s="12" t="s">
        <v>789</v>
      </c>
      <c r="C2096" s="12" t="s">
        <v>790</v>
      </c>
      <c r="D2096" s="12" t="s">
        <v>791</v>
      </c>
      <c r="E2096" s="12" t="s">
        <v>81</v>
      </c>
      <c r="F2096" s="12" t="s">
        <v>792</v>
      </c>
      <c r="G2096" s="12" t="s">
        <v>793</v>
      </c>
      <c r="H2096" s="12" t="s">
        <v>794</v>
      </c>
      <c r="I2096" s="12" t="s">
        <v>795</v>
      </c>
      <c r="J2096" s="12" t="s">
        <v>796</v>
      </c>
      <c r="K2096" s="12" t="s">
        <v>797</v>
      </c>
    </row>
    <row r="2097" customFormat="false" ht="15" hidden="false" customHeight="true" outlineLevel="0" collapsed="false">
      <c r="A2097" s="9" t="s">
        <v>516</v>
      </c>
      <c r="B2097" s="9" t="s">
        <v>798</v>
      </c>
      <c r="C2097" s="9" t="s">
        <v>1259</v>
      </c>
      <c r="D2097" s="5" t="s">
        <v>1256</v>
      </c>
      <c r="E2097" s="9" t="s">
        <v>386</v>
      </c>
      <c r="F2097" s="18" t="n">
        <v>1</v>
      </c>
      <c r="G2097" s="13" t="n">
        <f aca="false">N(INDEX('05 MATERIAL RATE LIBRARY'!$E$5:$E$400,MATCH("MAT-CBL-729",'05 MATERIAL RATE LIBRARY'!$A$5:$A$400,0)))</f>
        <v>39.66</v>
      </c>
      <c r="H2097" s="19" t="n">
        <f aca="false">W_Cbl</f>
        <v>0.03</v>
      </c>
      <c r="I2097" s="18" t="n">
        <f aca="false">F2097*(1+H2097)</f>
        <v>1.03</v>
      </c>
      <c r="J2097" s="13" t="n">
        <f aca="false">I2097*G2097</f>
        <v>40.8498</v>
      </c>
      <c r="K2097" s="20" t="str">
        <f aca="false">IF(INDEX('05 MATERIAL RATE LIBRARY'!$M$5:$M$400,MATCH("MAT-CBL-729",'05 MATERIAL RATE LIBRARY'!$A$5:$A$400,0))=1,"",IF(INDEX('05 MATERIAL RATE LIBRARY'!$M$5:$M$400,MATCH("MAT-CBL-729",'05 MATERIAL RATE LIBRARY'!$A$5:$A$400,0))=2,"OLD RATE","NO RATE"))</f>
        <v/>
      </c>
    </row>
    <row r="2098" customFormat="false" ht="15" hidden="false" customHeight="true" outlineLevel="0" collapsed="false">
      <c r="A2098" s="9" t="s">
        <v>516</v>
      </c>
      <c r="B2098" s="9" t="s">
        <v>812</v>
      </c>
      <c r="C2098" s="9" t="s">
        <v>1249</v>
      </c>
      <c r="D2098" s="5" t="s">
        <v>1257</v>
      </c>
      <c r="E2098" s="9" t="s">
        <v>815</v>
      </c>
      <c r="F2098" s="18" t="n">
        <f aca="false">1/800</f>
        <v>0.00125</v>
      </c>
      <c r="G2098" s="13" t="n">
        <f aca="false">N(INDEX('06 LABOUR RATE LIBRARY'!$D$5:$D$100,MATCH("LAB-ELC",'06 LABOUR RATE LIBRARY'!$A$5:$A$100,0)))</f>
        <v>2800</v>
      </c>
      <c r="H2098" s="21" t="n">
        <v>0</v>
      </c>
      <c r="I2098" s="18" t="n">
        <f aca="false">F2098*(1+H2098)</f>
        <v>0.00125</v>
      </c>
      <c r="J2098" s="13" t="n">
        <f aca="false">I2098*G2098</f>
        <v>3.5</v>
      </c>
      <c r="K2098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099" customFormat="false" ht="15" hidden="false" customHeight="true" outlineLevel="0" collapsed="false">
      <c r="A2099" s="9" t="s">
        <v>516</v>
      </c>
      <c r="B2099" s="9" t="s">
        <v>812</v>
      </c>
      <c r="C2099" s="9" t="s">
        <v>816</v>
      </c>
      <c r="D2099" s="5" t="s">
        <v>1258</v>
      </c>
      <c r="E2099" s="9" t="s">
        <v>815</v>
      </c>
      <c r="F2099" s="18" t="n">
        <f aca="false">1/800</f>
        <v>0.00125</v>
      </c>
      <c r="G2099" s="13" t="n">
        <f aca="false">N(INDEX('06 LABOUR RATE LIBRARY'!$D$5:$D$100,MATCH("LAB-HLP",'06 LABOUR RATE LIBRARY'!$A$5:$A$100,0)))</f>
        <v>1538</v>
      </c>
      <c r="H2099" s="21" t="n">
        <v>0</v>
      </c>
      <c r="I2099" s="18" t="n">
        <f aca="false">F2099*(1+H2099)</f>
        <v>0.00125</v>
      </c>
      <c r="J2099" s="13" t="n">
        <f aca="false">I2099*G2099</f>
        <v>1.9225</v>
      </c>
      <c r="K209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100" customFormat="false" ht="15" hidden="false" customHeight="true" outlineLevel="0" collapsed="false">
      <c r="D2100" s="22" t="s">
        <v>825</v>
      </c>
      <c r="J2100" s="23" t="n">
        <f aca="false">SUMPRODUCT((B2097:B2099="Material")*F2097:F2099*G2097:G2099)</f>
        <v>39.66</v>
      </c>
    </row>
    <row r="2101" customFormat="false" ht="15" hidden="false" customHeight="true" outlineLevel="0" collapsed="false">
      <c r="D2101" s="22" t="s">
        <v>826</v>
      </c>
      <c r="J2101" s="23" t="n">
        <f aca="false">SUMIF(B2097:B2099,"Material",J2097:J2099)-J2100</f>
        <v>1.1898</v>
      </c>
    </row>
    <row r="2102" customFormat="false" ht="15" hidden="false" customHeight="true" outlineLevel="0" collapsed="false">
      <c r="D2102" s="24" t="s">
        <v>827</v>
      </c>
      <c r="J2102" s="14" t="n">
        <f aca="false">SUMIF(B2097:B2099,"Material",J2097:J2099)</f>
        <v>40.8498</v>
      </c>
    </row>
    <row r="2103" customFormat="false" ht="15" hidden="false" customHeight="true" outlineLevel="0" collapsed="false">
      <c r="D2103" s="24" t="s">
        <v>828</v>
      </c>
      <c r="J2103" s="14" t="n">
        <f aca="false">SUMIF(B2097:B2099,"Labour",J2097:J2099)</f>
        <v>5.4225</v>
      </c>
    </row>
    <row r="2104" customFormat="false" ht="15" hidden="false" customHeight="true" outlineLevel="0" collapsed="false">
      <c r="D2104" s="24" t="s">
        <v>829</v>
      </c>
      <c r="J2104" s="14" t="n">
        <f aca="false">SUMIF(B2097:B2099,"Equipment",J2097:J2099)</f>
        <v>0</v>
      </c>
    </row>
    <row r="2105" customFormat="false" ht="15" hidden="false" customHeight="true" outlineLevel="0" collapsed="false">
      <c r="D2105" s="24" t="s">
        <v>830</v>
      </c>
      <c r="J2105" s="14" t="n">
        <f aca="false">SUMIF(B2097:B2099,"Transport",J2097:J2099)</f>
        <v>0</v>
      </c>
    </row>
    <row r="2106" customFormat="false" ht="15" hidden="false" customHeight="true" outlineLevel="0" collapsed="false">
      <c r="D2106" s="24" t="s">
        <v>831</v>
      </c>
      <c r="J2106" s="14" t="n">
        <f aca="false">J2102+J2103+J2104+J2105</f>
        <v>46.2723</v>
      </c>
    </row>
    <row r="2107" customFormat="false" ht="15" hidden="false" customHeight="true" outlineLevel="0" collapsed="false">
      <c r="D2107" s="22" t="s">
        <v>832</v>
      </c>
      <c r="J2107" s="23" t="n">
        <f aca="false">J2106*OH_Site</f>
        <v>1.388169</v>
      </c>
    </row>
    <row r="2108" customFormat="false" ht="15" hidden="false" customHeight="true" outlineLevel="0" collapsed="false">
      <c r="D2108" s="22" t="s">
        <v>833</v>
      </c>
      <c r="J2108" s="23" t="n">
        <f aca="false">J2106*OH_HO</f>
        <v>2.313615</v>
      </c>
    </row>
    <row r="2109" customFormat="false" ht="15" hidden="false" customHeight="true" outlineLevel="0" collapsed="false">
      <c r="D2109" s="22" t="s">
        <v>834</v>
      </c>
      <c r="J2109" s="23" t="n">
        <f aca="false">J2106*Profit</f>
        <v>4.62723</v>
      </c>
    </row>
    <row r="2110" customFormat="false" ht="15" hidden="false" customHeight="true" outlineLevel="0" collapsed="false">
      <c r="D2110" s="24" t="s">
        <v>835</v>
      </c>
      <c r="J2110" s="14" t="n">
        <f aca="false">J2106+J2107+J2108+J2109</f>
        <v>54.601314</v>
      </c>
    </row>
    <row r="2111" customFormat="false" ht="15" hidden="false" customHeight="true" outlineLevel="0" collapsed="false">
      <c r="D2111" s="22" t="s">
        <v>836</v>
      </c>
      <c r="J2111" s="23" t="n">
        <f aca="false">IF(Tax_On="Yes",J2110*N(Tax_Rate),0)</f>
        <v>0</v>
      </c>
    </row>
    <row r="2112" customFormat="false" ht="15" hidden="false" customHeight="true" outlineLevel="0" collapsed="false">
      <c r="D2112" s="24" t="s">
        <v>1069</v>
      </c>
      <c r="J2112" s="14" t="n">
        <f aca="false">ROUND(J2110+J2111,0)</f>
        <v>55</v>
      </c>
    </row>
    <row r="2113" customFormat="false" ht="15" hidden="false" customHeight="true" outlineLevel="0" collapsed="false">
      <c r="D2113" s="25" t="s">
        <v>838</v>
      </c>
      <c r="J2113" s="26" t="n">
        <f aca="false">COUNTIF(K2097:K2099,"NO RATE")+COUNTIF(K2097:K2099,"OLD RATE")</f>
        <v>0</v>
      </c>
    </row>
    <row r="2115" customFormat="false" ht="39.75" hidden="false" customHeight="true" outlineLevel="0" collapsed="false">
      <c r="A2115" s="4" t="s">
        <v>519</v>
      </c>
      <c r="B2115" s="16" t="s">
        <v>521</v>
      </c>
      <c r="C2115" s="16"/>
      <c r="D2115" s="16"/>
      <c r="E2115" s="16"/>
      <c r="F2115" s="16"/>
      <c r="G2115" s="16"/>
      <c r="H2115" s="16"/>
      <c r="I2115" s="16"/>
      <c r="J2115" s="4" t="s">
        <v>1061</v>
      </c>
      <c r="K2115" s="17"/>
    </row>
    <row r="2116" customFormat="false" ht="21.75" hidden="false" customHeight="true" outlineLevel="0" collapsed="false">
      <c r="A2116" s="12" t="s">
        <v>75</v>
      </c>
      <c r="B2116" s="12" t="s">
        <v>789</v>
      </c>
      <c r="C2116" s="12" t="s">
        <v>790</v>
      </c>
      <c r="D2116" s="12" t="s">
        <v>791</v>
      </c>
      <c r="E2116" s="12" t="s">
        <v>81</v>
      </c>
      <c r="F2116" s="12" t="s">
        <v>792</v>
      </c>
      <c r="G2116" s="12" t="s">
        <v>793</v>
      </c>
      <c r="H2116" s="12" t="s">
        <v>794</v>
      </c>
      <c r="I2116" s="12" t="s">
        <v>795</v>
      </c>
      <c r="J2116" s="12" t="s">
        <v>796</v>
      </c>
      <c r="K2116" s="12" t="s">
        <v>797</v>
      </c>
    </row>
    <row r="2117" customFormat="false" ht="15" hidden="false" customHeight="true" outlineLevel="0" collapsed="false">
      <c r="A2117" s="9" t="s">
        <v>519</v>
      </c>
      <c r="B2117" s="9" t="s">
        <v>798</v>
      </c>
      <c r="C2117" s="9" t="s">
        <v>1260</v>
      </c>
      <c r="D2117" s="5" t="s">
        <v>1256</v>
      </c>
      <c r="E2117" s="9" t="s">
        <v>386</v>
      </c>
      <c r="F2117" s="18" t="n">
        <v>1</v>
      </c>
      <c r="G2117" s="13" t="n">
        <f aca="false">N(INDEX('05 MATERIAL RATE LIBRARY'!$E$5:$E$400,MATCH("MAT-CBL-744",'05 MATERIAL RATE LIBRARY'!$A$5:$A$400,0)))</f>
        <v>63.19</v>
      </c>
      <c r="H2117" s="19" t="n">
        <f aca="false">W_Cbl</f>
        <v>0.03</v>
      </c>
      <c r="I2117" s="18" t="n">
        <f aca="false">F2117*(1+H2117)</f>
        <v>1.03</v>
      </c>
      <c r="J2117" s="13" t="n">
        <f aca="false">I2117*G2117</f>
        <v>65.0857</v>
      </c>
      <c r="K2117" s="20" t="str">
        <f aca="false">IF(INDEX('05 MATERIAL RATE LIBRARY'!$M$5:$M$400,MATCH("MAT-CBL-744",'05 MATERIAL RATE LIBRARY'!$A$5:$A$400,0))=1,"",IF(INDEX('05 MATERIAL RATE LIBRARY'!$M$5:$M$400,MATCH("MAT-CBL-744",'05 MATERIAL RATE LIBRARY'!$A$5:$A$400,0))=2,"OLD RATE","NO RATE"))</f>
        <v/>
      </c>
    </row>
    <row r="2118" customFormat="false" ht="15" hidden="false" customHeight="true" outlineLevel="0" collapsed="false">
      <c r="A2118" s="9" t="s">
        <v>519</v>
      </c>
      <c r="B2118" s="9" t="s">
        <v>812</v>
      </c>
      <c r="C2118" s="9" t="s">
        <v>1249</v>
      </c>
      <c r="D2118" s="5" t="s">
        <v>1257</v>
      </c>
      <c r="E2118" s="9" t="s">
        <v>815</v>
      </c>
      <c r="F2118" s="18" t="n">
        <f aca="false">1/800</f>
        <v>0.00125</v>
      </c>
      <c r="G2118" s="13" t="n">
        <f aca="false">N(INDEX('06 LABOUR RATE LIBRARY'!$D$5:$D$100,MATCH("LAB-ELC",'06 LABOUR RATE LIBRARY'!$A$5:$A$100,0)))</f>
        <v>2800</v>
      </c>
      <c r="H2118" s="21" t="n">
        <v>0</v>
      </c>
      <c r="I2118" s="18" t="n">
        <f aca="false">F2118*(1+H2118)</f>
        <v>0.00125</v>
      </c>
      <c r="J2118" s="13" t="n">
        <f aca="false">I2118*G2118</f>
        <v>3.5</v>
      </c>
      <c r="K2118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119" customFormat="false" ht="15" hidden="false" customHeight="true" outlineLevel="0" collapsed="false">
      <c r="A2119" s="9" t="s">
        <v>519</v>
      </c>
      <c r="B2119" s="9" t="s">
        <v>812</v>
      </c>
      <c r="C2119" s="9" t="s">
        <v>816</v>
      </c>
      <c r="D2119" s="5" t="s">
        <v>1258</v>
      </c>
      <c r="E2119" s="9" t="s">
        <v>815</v>
      </c>
      <c r="F2119" s="18" t="n">
        <f aca="false">1/800</f>
        <v>0.00125</v>
      </c>
      <c r="G2119" s="13" t="n">
        <f aca="false">N(INDEX('06 LABOUR RATE LIBRARY'!$D$5:$D$100,MATCH("LAB-HLP",'06 LABOUR RATE LIBRARY'!$A$5:$A$100,0)))</f>
        <v>1538</v>
      </c>
      <c r="H2119" s="21" t="n">
        <v>0</v>
      </c>
      <c r="I2119" s="18" t="n">
        <f aca="false">F2119*(1+H2119)</f>
        <v>0.00125</v>
      </c>
      <c r="J2119" s="13" t="n">
        <f aca="false">I2119*G2119</f>
        <v>1.9225</v>
      </c>
      <c r="K211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120" customFormat="false" ht="15" hidden="false" customHeight="true" outlineLevel="0" collapsed="false">
      <c r="D2120" s="22" t="s">
        <v>825</v>
      </c>
      <c r="J2120" s="23" t="n">
        <f aca="false">SUMPRODUCT((B2117:B2119="Material")*F2117:F2119*G2117:G2119)</f>
        <v>63.19</v>
      </c>
    </row>
    <row r="2121" customFormat="false" ht="15" hidden="false" customHeight="true" outlineLevel="0" collapsed="false">
      <c r="D2121" s="22" t="s">
        <v>826</v>
      </c>
      <c r="J2121" s="23" t="n">
        <f aca="false">SUMIF(B2117:B2119,"Material",J2117:J2119)-J2120</f>
        <v>1.89570000000001</v>
      </c>
    </row>
    <row r="2122" customFormat="false" ht="15" hidden="false" customHeight="true" outlineLevel="0" collapsed="false">
      <c r="D2122" s="24" t="s">
        <v>827</v>
      </c>
      <c r="J2122" s="14" t="n">
        <f aca="false">SUMIF(B2117:B2119,"Material",J2117:J2119)</f>
        <v>65.0857</v>
      </c>
    </row>
    <row r="2123" customFormat="false" ht="15" hidden="false" customHeight="true" outlineLevel="0" collapsed="false">
      <c r="D2123" s="24" t="s">
        <v>828</v>
      </c>
      <c r="J2123" s="14" t="n">
        <f aca="false">SUMIF(B2117:B2119,"Labour",J2117:J2119)</f>
        <v>5.4225</v>
      </c>
    </row>
    <row r="2124" customFormat="false" ht="15" hidden="false" customHeight="true" outlineLevel="0" collapsed="false">
      <c r="D2124" s="24" t="s">
        <v>829</v>
      </c>
      <c r="J2124" s="14" t="n">
        <f aca="false">SUMIF(B2117:B2119,"Equipment",J2117:J2119)</f>
        <v>0</v>
      </c>
    </row>
    <row r="2125" customFormat="false" ht="15" hidden="false" customHeight="true" outlineLevel="0" collapsed="false">
      <c r="D2125" s="24" t="s">
        <v>830</v>
      </c>
      <c r="J2125" s="14" t="n">
        <f aca="false">SUMIF(B2117:B2119,"Transport",J2117:J2119)</f>
        <v>0</v>
      </c>
    </row>
    <row r="2126" customFormat="false" ht="15" hidden="false" customHeight="true" outlineLevel="0" collapsed="false">
      <c r="D2126" s="24" t="s">
        <v>831</v>
      </c>
      <c r="J2126" s="14" t="n">
        <f aca="false">J2122+J2123+J2124+J2125</f>
        <v>70.5082</v>
      </c>
    </row>
    <row r="2127" customFormat="false" ht="15" hidden="false" customHeight="true" outlineLevel="0" collapsed="false">
      <c r="D2127" s="22" t="s">
        <v>832</v>
      </c>
      <c r="J2127" s="23" t="n">
        <f aca="false">J2126*OH_Site</f>
        <v>2.115246</v>
      </c>
    </row>
    <row r="2128" customFormat="false" ht="15" hidden="false" customHeight="true" outlineLevel="0" collapsed="false">
      <c r="D2128" s="22" t="s">
        <v>833</v>
      </c>
      <c r="J2128" s="23" t="n">
        <f aca="false">J2126*OH_HO</f>
        <v>3.52541</v>
      </c>
    </row>
    <row r="2129" customFormat="false" ht="15" hidden="false" customHeight="true" outlineLevel="0" collapsed="false">
      <c r="D2129" s="22" t="s">
        <v>834</v>
      </c>
      <c r="J2129" s="23" t="n">
        <f aca="false">J2126*Profit</f>
        <v>7.05082</v>
      </c>
    </row>
    <row r="2130" customFormat="false" ht="15" hidden="false" customHeight="true" outlineLevel="0" collapsed="false">
      <c r="D2130" s="24" t="s">
        <v>835</v>
      </c>
      <c r="J2130" s="14" t="n">
        <f aca="false">J2126+J2127+J2128+J2129</f>
        <v>83.199676</v>
      </c>
    </row>
    <row r="2131" customFormat="false" ht="15" hidden="false" customHeight="true" outlineLevel="0" collapsed="false">
      <c r="D2131" s="22" t="s">
        <v>836</v>
      </c>
      <c r="J2131" s="23" t="n">
        <f aca="false">IF(Tax_On="Yes",J2130*N(Tax_Rate),0)</f>
        <v>0</v>
      </c>
    </row>
    <row r="2132" customFormat="false" ht="15" hidden="false" customHeight="true" outlineLevel="0" collapsed="false">
      <c r="D2132" s="24" t="s">
        <v>1069</v>
      </c>
      <c r="J2132" s="14" t="n">
        <f aca="false">ROUND(J2130+J2131,0)</f>
        <v>83</v>
      </c>
    </row>
    <row r="2133" customFormat="false" ht="15" hidden="false" customHeight="true" outlineLevel="0" collapsed="false">
      <c r="D2133" s="25" t="s">
        <v>838</v>
      </c>
      <c r="J2133" s="26" t="n">
        <f aca="false">COUNTIF(K2117:K2119,"NO RATE")+COUNTIF(K2117:K2119,"OLD RATE")</f>
        <v>0</v>
      </c>
    </row>
    <row r="2135" customFormat="false" ht="39.75" hidden="false" customHeight="true" outlineLevel="0" collapsed="false">
      <c r="A2135" s="4" t="s">
        <v>522</v>
      </c>
      <c r="B2135" s="16" t="s">
        <v>525</v>
      </c>
      <c r="C2135" s="16"/>
      <c r="D2135" s="16"/>
      <c r="E2135" s="16"/>
      <c r="F2135" s="16"/>
      <c r="G2135" s="16"/>
      <c r="H2135" s="16"/>
      <c r="I2135" s="16"/>
      <c r="J2135" s="4" t="s">
        <v>1032</v>
      </c>
      <c r="K2135" s="17"/>
    </row>
    <row r="2136" customFormat="false" ht="21.75" hidden="false" customHeight="true" outlineLevel="0" collapsed="false">
      <c r="A2136" s="12" t="s">
        <v>75</v>
      </c>
      <c r="B2136" s="12" t="s">
        <v>789</v>
      </c>
      <c r="C2136" s="12" t="s">
        <v>790</v>
      </c>
      <c r="D2136" s="12" t="s">
        <v>791</v>
      </c>
      <c r="E2136" s="12" t="s">
        <v>81</v>
      </c>
      <c r="F2136" s="12" t="s">
        <v>792</v>
      </c>
      <c r="G2136" s="12" t="s">
        <v>793</v>
      </c>
      <c r="H2136" s="12" t="s">
        <v>794</v>
      </c>
      <c r="I2136" s="12" t="s">
        <v>795</v>
      </c>
      <c r="J2136" s="12" t="s">
        <v>796</v>
      </c>
      <c r="K2136" s="12" t="s">
        <v>797</v>
      </c>
    </row>
    <row r="2137" customFormat="false" ht="15" hidden="false" customHeight="true" outlineLevel="0" collapsed="false">
      <c r="A2137" s="9" t="s">
        <v>522</v>
      </c>
      <c r="B2137" s="9" t="s">
        <v>798</v>
      </c>
      <c r="C2137" s="9" t="s">
        <v>1243</v>
      </c>
      <c r="D2137" s="5" t="s">
        <v>1261</v>
      </c>
      <c r="E2137" s="9" t="s">
        <v>386</v>
      </c>
      <c r="F2137" s="18" t="n">
        <v>25</v>
      </c>
      <c r="G2137" s="13" t="n">
        <f aca="false">N(INDEX('05 MATERIAL RATE LIBRARY'!$E$5:$E$400,MATCH("MAT-CND-075",'05 MATERIAL RATE LIBRARY'!$A$5:$A$400,0)))</f>
        <v>44</v>
      </c>
      <c r="H2137" s="19" t="n">
        <f aca="false">W_Pipe</f>
        <v>0.05</v>
      </c>
      <c r="I2137" s="18" t="n">
        <f aca="false">F2137*(1+H2137)</f>
        <v>26.25</v>
      </c>
      <c r="J2137" s="13" t="n">
        <f aca="false">I2137*G2137</f>
        <v>1155</v>
      </c>
      <c r="K2137" s="20" t="str">
        <f aca="false">IF(INDEX('05 MATERIAL RATE LIBRARY'!$M$5:$M$400,MATCH("MAT-CND-075",'05 MATERIAL RATE LIBRARY'!$A$5:$A$400,0))=1,"",IF(INDEX('05 MATERIAL RATE LIBRARY'!$M$5:$M$400,MATCH("MAT-CND-075",'05 MATERIAL RATE LIBRARY'!$A$5:$A$400,0))=2,"OLD RATE","NO RATE"))</f>
        <v/>
      </c>
    </row>
    <row r="2138" customFormat="false" ht="15" hidden="false" customHeight="true" outlineLevel="0" collapsed="false">
      <c r="A2138" s="9" t="s">
        <v>522</v>
      </c>
      <c r="B2138" s="9" t="s">
        <v>798</v>
      </c>
      <c r="C2138" s="9" t="s">
        <v>1247</v>
      </c>
      <c r="D2138" s="5" t="s">
        <v>1262</v>
      </c>
      <c r="E2138" s="9" t="s">
        <v>368</v>
      </c>
      <c r="F2138" s="18" t="n">
        <v>3</v>
      </c>
      <c r="G2138" s="13" t="n">
        <f aca="false">N(INDEX('05 MATERIAL RATE LIBRARY'!$E$5:$E$400,MATCH("MAT-CND-075-BN",'05 MATERIAL RATE LIBRARY'!$A$5:$A$400,0)))</f>
        <v>35</v>
      </c>
      <c r="H2138" s="21" t="n">
        <v>0</v>
      </c>
      <c r="I2138" s="18" t="n">
        <f aca="false">F2138*(1+H2138)</f>
        <v>3</v>
      </c>
      <c r="J2138" s="13" t="n">
        <f aca="false">I2138*G2138</f>
        <v>105</v>
      </c>
      <c r="K2138" s="20" t="str">
        <f aca="false">IF(INDEX('05 MATERIAL RATE LIBRARY'!$M$5:$M$400,MATCH("MAT-CND-075-BN",'05 MATERIAL RATE LIBRARY'!$A$5:$A$400,0))=1,"",IF(INDEX('05 MATERIAL RATE LIBRARY'!$M$5:$M$400,MATCH("MAT-CND-075-BN",'05 MATERIAL RATE LIBRARY'!$A$5:$A$400,0))=2,"OLD RATE","NO RATE"))</f>
        <v/>
      </c>
    </row>
    <row r="2139" customFormat="false" ht="15" hidden="false" customHeight="true" outlineLevel="0" collapsed="false">
      <c r="A2139" s="9" t="s">
        <v>522</v>
      </c>
      <c r="B2139" s="9" t="s">
        <v>798</v>
      </c>
      <c r="C2139" s="9" t="s">
        <v>1255</v>
      </c>
      <c r="D2139" s="5" t="s">
        <v>1263</v>
      </c>
      <c r="E2139" s="9" t="s">
        <v>386</v>
      </c>
      <c r="F2139" s="18" t="n">
        <v>75</v>
      </c>
      <c r="G2139" s="13" t="n">
        <f aca="false">N(INDEX('05 MATERIAL RATE LIBRARY'!$E$5:$E$400,MATCH("MAT-CBL-329",'05 MATERIAL RATE LIBRARY'!$A$5:$A$400,0)))</f>
        <v>25.56</v>
      </c>
      <c r="H2139" s="19" t="n">
        <f aca="false">W_Cbl</f>
        <v>0.03</v>
      </c>
      <c r="I2139" s="18" t="n">
        <f aca="false">F2139*(1+H2139)</f>
        <v>77.25</v>
      </c>
      <c r="J2139" s="13" t="n">
        <f aca="false">I2139*G2139</f>
        <v>1974.51</v>
      </c>
      <c r="K2139" s="20" t="str">
        <f aca="false">IF(INDEX('05 MATERIAL RATE LIBRARY'!$M$5:$M$400,MATCH("MAT-CBL-329",'05 MATERIAL RATE LIBRARY'!$A$5:$A$400,0))=1,"",IF(INDEX('05 MATERIAL RATE LIBRARY'!$M$5:$M$400,MATCH("MAT-CBL-329",'05 MATERIAL RATE LIBRARY'!$A$5:$A$400,0))=2,"OLD RATE","NO RATE"))</f>
        <v/>
      </c>
    </row>
    <row r="2140" customFormat="false" ht="15" hidden="false" customHeight="true" outlineLevel="0" collapsed="false">
      <c r="A2140" s="9" t="s">
        <v>522</v>
      </c>
      <c r="B2140" s="9" t="s">
        <v>798</v>
      </c>
      <c r="C2140" s="9" t="s">
        <v>1264</v>
      </c>
      <c r="D2140" s="5" t="s">
        <v>1265</v>
      </c>
      <c r="E2140" s="9" t="s">
        <v>368</v>
      </c>
      <c r="F2140" s="18" t="n">
        <v>1</v>
      </c>
      <c r="G2140" s="13" t="n">
        <f aca="false">N(INDEX('05 MATERIAL RATE LIBRARY'!$E$5:$E$400,MATCH("MAT-SW",'05 MATERIAL RATE LIBRARY'!$A$5:$A$400,0)))</f>
        <v>336</v>
      </c>
      <c r="H2140" s="21" t="n">
        <v>0</v>
      </c>
      <c r="I2140" s="18" t="n">
        <f aca="false">F2140*(1+H2140)</f>
        <v>1</v>
      </c>
      <c r="J2140" s="13" t="n">
        <f aca="false">I2140*G2140</f>
        <v>336</v>
      </c>
      <c r="K2140" s="20" t="str">
        <f aca="false">IF(INDEX('05 MATERIAL RATE LIBRARY'!$M$5:$M$400,MATCH("MAT-SW",'05 MATERIAL RATE LIBRARY'!$A$5:$A$400,0))=1,"",IF(INDEX('05 MATERIAL RATE LIBRARY'!$M$5:$M$400,MATCH("MAT-SW",'05 MATERIAL RATE LIBRARY'!$A$5:$A$400,0))=2,"OLD RATE","NO RATE"))</f>
        <v/>
      </c>
    </row>
    <row r="2141" customFormat="false" ht="15" hidden="false" customHeight="true" outlineLevel="0" collapsed="false">
      <c r="A2141" s="9" t="s">
        <v>522</v>
      </c>
      <c r="B2141" s="9" t="s">
        <v>798</v>
      </c>
      <c r="C2141" s="9" t="s">
        <v>1266</v>
      </c>
      <c r="D2141" s="5" t="s">
        <v>1267</v>
      </c>
      <c r="E2141" s="9" t="s">
        <v>368</v>
      </c>
      <c r="F2141" s="18" t="n">
        <v>1</v>
      </c>
      <c r="G2141" s="13" t="n">
        <f aca="false">N(INDEX('05 MATERIAL RATE LIBRARY'!$E$5:$E$400,MATCH("MAT-BOX-SW",'05 MATERIAL RATE LIBRARY'!$A$5:$A$400,0)))</f>
        <v>120</v>
      </c>
      <c r="H2141" s="21" t="n">
        <v>0</v>
      </c>
      <c r="I2141" s="18" t="n">
        <f aca="false">F2141*(1+H2141)</f>
        <v>1</v>
      </c>
      <c r="J2141" s="13" t="n">
        <f aca="false">I2141*G2141</f>
        <v>120</v>
      </c>
      <c r="K2141" s="20" t="str">
        <f aca="false">IF(INDEX('05 MATERIAL RATE LIBRARY'!$M$5:$M$400,MATCH("MAT-BOX-SW",'05 MATERIAL RATE LIBRARY'!$A$5:$A$400,0))=1,"",IF(INDEX('05 MATERIAL RATE LIBRARY'!$M$5:$M$400,MATCH("MAT-BOX-SW",'05 MATERIAL RATE LIBRARY'!$A$5:$A$400,0))=2,"OLD RATE","NO RATE"))</f>
        <v/>
      </c>
    </row>
    <row r="2142" customFormat="false" ht="15" hidden="false" customHeight="true" outlineLevel="0" collapsed="false">
      <c r="A2142" s="9" t="s">
        <v>522</v>
      </c>
      <c r="B2142" s="9" t="s">
        <v>798</v>
      </c>
      <c r="C2142" s="9" t="s">
        <v>1268</v>
      </c>
      <c r="D2142" s="5" t="s">
        <v>1269</v>
      </c>
      <c r="E2142" s="9" t="s">
        <v>368</v>
      </c>
      <c r="F2142" s="18" t="n">
        <v>1</v>
      </c>
      <c r="G2142" s="13" t="n">
        <f aca="false">N(INDEX('05 MATERIAL RATE LIBRARY'!$E$5:$E$400,MATCH("MAT-BOX-LT",'05 MATERIAL RATE LIBRARY'!$A$5:$A$400,0)))</f>
        <v>72</v>
      </c>
      <c r="H2142" s="21" t="n">
        <v>0</v>
      </c>
      <c r="I2142" s="18" t="n">
        <f aca="false">F2142*(1+H2142)</f>
        <v>1</v>
      </c>
      <c r="J2142" s="13" t="n">
        <f aca="false">I2142*G2142</f>
        <v>72</v>
      </c>
      <c r="K2142" s="20" t="str">
        <f aca="false">IF(INDEX('05 MATERIAL RATE LIBRARY'!$M$5:$M$400,MATCH("MAT-BOX-LT",'05 MATERIAL RATE LIBRARY'!$A$5:$A$400,0))=1,"",IF(INDEX('05 MATERIAL RATE LIBRARY'!$M$5:$M$400,MATCH("MAT-BOX-LT",'05 MATERIAL RATE LIBRARY'!$A$5:$A$400,0))=2,"OLD RATE","NO RATE"))</f>
        <v/>
      </c>
    </row>
    <row r="2143" customFormat="false" ht="15" hidden="false" customHeight="true" outlineLevel="0" collapsed="false">
      <c r="A2143" s="9" t="s">
        <v>522</v>
      </c>
      <c r="B2143" s="9" t="s">
        <v>812</v>
      </c>
      <c r="C2143" s="9" t="s">
        <v>1249</v>
      </c>
      <c r="D2143" s="5" t="s">
        <v>1270</v>
      </c>
      <c r="E2143" s="9" t="s">
        <v>815</v>
      </c>
      <c r="F2143" s="18" t="n">
        <f aca="false">0.25</f>
        <v>0.25</v>
      </c>
      <c r="G2143" s="13" t="n">
        <f aca="false">N(INDEX('06 LABOUR RATE LIBRARY'!$D$5:$D$100,MATCH("LAB-ELC",'06 LABOUR RATE LIBRARY'!$A$5:$A$100,0)))</f>
        <v>2800</v>
      </c>
      <c r="H2143" s="21" t="n">
        <v>0</v>
      </c>
      <c r="I2143" s="18" t="n">
        <f aca="false">F2143*(1+H2143)</f>
        <v>0.25</v>
      </c>
      <c r="J2143" s="13" t="n">
        <f aca="false">I2143*G2143</f>
        <v>700</v>
      </c>
      <c r="K2143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144" customFormat="false" ht="15" hidden="false" customHeight="true" outlineLevel="0" collapsed="false">
      <c r="A2144" s="9" t="s">
        <v>522</v>
      </c>
      <c r="B2144" s="9" t="s">
        <v>812</v>
      </c>
      <c r="C2144" s="9" t="s">
        <v>816</v>
      </c>
      <c r="D2144" s="5" t="s">
        <v>1271</v>
      </c>
      <c r="E2144" s="9" t="s">
        <v>815</v>
      </c>
      <c r="F2144" s="18" t="n">
        <f aca="false">0.25</f>
        <v>0.25</v>
      </c>
      <c r="G2144" s="13" t="n">
        <f aca="false">N(INDEX('06 LABOUR RATE LIBRARY'!$D$5:$D$100,MATCH("LAB-HLP",'06 LABOUR RATE LIBRARY'!$A$5:$A$100,0)))</f>
        <v>1538</v>
      </c>
      <c r="H2144" s="21" t="n">
        <v>0</v>
      </c>
      <c r="I2144" s="18" t="n">
        <f aca="false">F2144*(1+H2144)</f>
        <v>0.25</v>
      </c>
      <c r="J2144" s="13" t="n">
        <f aca="false">I2144*G2144</f>
        <v>384.5</v>
      </c>
      <c r="K214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145" customFormat="false" ht="15" hidden="false" customHeight="true" outlineLevel="0" collapsed="false">
      <c r="D2145" s="22" t="s">
        <v>825</v>
      </c>
      <c r="J2145" s="23" t="n">
        <f aca="false">SUMPRODUCT((B2137:B2144="Material")*F2137:F2144*G2137:G2144)</f>
        <v>3650</v>
      </c>
    </row>
    <row r="2146" customFormat="false" ht="15" hidden="false" customHeight="true" outlineLevel="0" collapsed="false">
      <c r="D2146" s="22" t="s">
        <v>826</v>
      </c>
      <c r="J2146" s="23" t="n">
        <f aca="false">SUMIF(B2137:B2144,"Material",J2137:J2144)-J2145</f>
        <v>112.51</v>
      </c>
    </row>
    <row r="2147" customFormat="false" ht="15" hidden="false" customHeight="true" outlineLevel="0" collapsed="false">
      <c r="D2147" s="24" t="s">
        <v>827</v>
      </c>
      <c r="J2147" s="14" t="n">
        <f aca="false">SUMIF(B2137:B2144,"Material",J2137:J2144)</f>
        <v>3762.51</v>
      </c>
    </row>
    <row r="2148" customFormat="false" ht="15" hidden="false" customHeight="true" outlineLevel="0" collapsed="false">
      <c r="D2148" s="24" t="s">
        <v>828</v>
      </c>
      <c r="J2148" s="14" t="n">
        <f aca="false">SUMIF(B2137:B2144,"Labour",J2137:J2144)</f>
        <v>1084.5</v>
      </c>
    </row>
    <row r="2149" customFormat="false" ht="15" hidden="false" customHeight="true" outlineLevel="0" collapsed="false">
      <c r="D2149" s="24" t="s">
        <v>829</v>
      </c>
      <c r="J2149" s="14" t="n">
        <f aca="false">SUMIF(B2137:B2144,"Equipment",J2137:J2144)</f>
        <v>0</v>
      </c>
    </row>
    <row r="2150" customFormat="false" ht="15" hidden="false" customHeight="true" outlineLevel="0" collapsed="false">
      <c r="D2150" s="24" t="s">
        <v>830</v>
      </c>
      <c r="J2150" s="14" t="n">
        <f aca="false">SUMIF(B2137:B2144,"Transport",J2137:J2144)</f>
        <v>0</v>
      </c>
    </row>
    <row r="2151" customFormat="false" ht="15" hidden="false" customHeight="true" outlineLevel="0" collapsed="false">
      <c r="D2151" s="24" t="s">
        <v>831</v>
      </c>
      <c r="J2151" s="14" t="n">
        <f aca="false">J2147+J2148+J2149+J2150</f>
        <v>4847.01</v>
      </c>
    </row>
    <row r="2152" customFormat="false" ht="15" hidden="false" customHeight="true" outlineLevel="0" collapsed="false">
      <c r="D2152" s="22" t="s">
        <v>832</v>
      </c>
      <c r="J2152" s="23" t="n">
        <f aca="false">J2151*OH_Site</f>
        <v>145.4103</v>
      </c>
    </row>
    <row r="2153" customFormat="false" ht="15" hidden="false" customHeight="true" outlineLevel="0" collapsed="false">
      <c r="D2153" s="22" t="s">
        <v>833</v>
      </c>
      <c r="J2153" s="23" t="n">
        <f aca="false">J2151*OH_HO</f>
        <v>242.3505</v>
      </c>
    </row>
    <row r="2154" customFormat="false" ht="15" hidden="false" customHeight="true" outlineLevel="0" collapsed="false">
      <c r="D2154" s="22" t="s">
        <v>834</v>
      </c>
      <c r="J2154" s="23" t="n">
        <f aca="false">J2151*Profit</f>
        <v>484.701</v>
      </c>
    </row>
    <row r="2155" customFormat="false" ht="15" hidden="false" customHeight="true" outlineLevel="0" collapsed="false">
      <c r="D2155" s="24" t="s">
        <v>835</v>
      </c>
      <c r="J2155" s="14" t="n">
        <f aca="false">J2151+J2152+J2153+J2154</f>
        <v>5719.4718</v>
      </c>
    </row>
    <row r="2156" customFormat="false" ht="15" hidden="false" customHeight="true" outlineLevel="0" collapsed="false">
      <c r="D2156" s="22" t="s">
        <v>836</v>
      </c>
      <c r="J2156" s="23" t="n">
        <f aca="false">IF(Tax_On="Yes",J2155*N(Tax_Rate),0)</f>
        <v>0</v>
      </c>
    </row>
    <row r="2157" customFormat="false" ht="15" hidden="false" customHeight="true" outlineLevel="0" collapsed="false">
      <c r="D2157" s="24" t="s">
        <v>1048</v>
      </c>
      <c r="J2157" s="14" t="n">
        <f aca="false">ROUND(J2155+J2156,0)</f>
        <v>5719</v>
      </c>
    </row>
    <row r="2158" customFormat="false" ht="15" hidden="false" customHeight="true" outlineLevel="0" collapsed="false">
      <c r="D2158" s="25" t="s">
        <v>838</v>
      </c>
      <c r="J2158" s="26" t="n">
        <f aca="false">COUNTIF(K2137:K2144,"NO RATE")+COUNTIF(K2137:K2144,"OLD RATE")</f>
        <v>0</v>
      </c>
    </row>
    <row r="2160" customFormat="false" ht="39.75" hidden="false" customHeight="true" outlineLevel="0" collapsed="false">
      <c r="A2160" s="4" t="s">
        <v>527</v>
      </c>
      <c r="B2160" s="16" t="s">
        <v>529</v>
      </c>
      <c r="C2160" s="16"/>
      <c r="D2160" s="16"/>
      <c r="E2160" s="16"/>
      <c r="F2160" s="16"/>
      <c r="G2160" s="16"/>
      <c r="H2160" s="16"/>
      <c r="I2160" s="16"/>
      <c r="J2160" s="4" t="s">
        <v>1032</v>
      </c>
      <c r="K2160" s="17"/>
    </row>
    <row r="2161" customFormat="false" ht="21.75" hidden="false" customHeight="true" outlineLevel="0" collapsed="false">
      <c r="A2161" s="12" t="s">
        <v>75</v>
      </c>
      <c r="B2161" s="12" t="s">
        <v>789</v>
      </c>
      <c r="C2161" s="12" t="s">
        <v>790</v>
      </c>
      <c r="D2161" s="12" t="s">
        <v>791</v>
      </c>
      <c r="E2161" s="12" t="s">
        <v>81</v>
      </c>
      <c r="F2161" s="12" t="s">
        <v>792</v>
      </c>
      <c r="G2161" s="12" t="s">
        <v>793</v>
      </c>
      <c r="H2161" s="12" t="s">
        <v>794</v>
      </c>
      <c r="I2161" s="12" t="s">
        <v>795</v>
      </c>
      <c r="J2161" s="12" t="s">
        <v>796</v>
      </c>
      <c r="K2161" s="12" t="s">
        <v>797</v>
      </c>
    </row>
    <row r="2162" customFormat="false" ht="15" hidden="false" customHeight="true" outlineLevel="0" collapsed="false">
      <c r="A2162" s="9" t="s">
        <v>527</v>
      </c>
      <c r="B2162" s="9" t="s">
        <v>798</v>
      </c>
      <c r="C2162" s="9" t="s">
        <v>1243</v>
      </c>
      <c r="D2162" s="5" t="s">
        <v>1272</v>
      </c>
      <c r="E2162" s="9" t="s">
        <v>386</v>
      </c>
      <c r="F2162" s="18" t="n">
        <v>30</v>
      </c>
      <c r="G2162" s="13" t="n">
        <f aca="false">N(INDEX('05 MATERIAL RATE LIBRARY'!$E$5:$E$400,MATCH("MAT-CND-075",'05 MATERIAL RATE LIBRARY'!$A$5:$A$400,0)))</f>
        <v>44</v>
      </c>
      <c r="H2162" s="19" t="n">
        <f aca="false">W_Pipe</f>
        <v>0.05</v>
      </c>
      <c r="I2162" s="18" t="n">
        <f aca="false">F2162*(1+H2162)</f>
        <v>31.5</v>
      </c>
      <c r="J2162" s="13" t="n">
        <f aca="false">I2162*G2162</f>
        <v>1386</v>
      </c>
      <c r="K2162" s="20" t="str">
        <f aca="false">IF(INDEX('05 MATERIAL RATE LIBRARY'!$M$5:$M$400,MATCH("MAT-CND-075",'05 MATERIAL RATE LIBRARY'!$A$5:$A$400,0))=1,"",IF(INDEX('05 MATERIAL RATE LIBRARY'!$M$5:$M$400,MATCH("MAT-CND-075",'05 MATERIAL RATE LIBRARY'!$A$5:$A$400,0))=2,"OLD RATE","NO RATE"))</f>
        <v/>
      </c>
    </row>
    <row r="2163" customFormat="false" ht="15" hidden="false" customHeight="true" outlineLevel="0" collapsed="false">
      <c r="A2163" s="9" t="s">
        <v>527</v>
      </c>
      <c r="B2163" s="9" t="s">
        <v>798</v>
      </c>
      <c r="C2163" s="9" t="s">
        <v>1247</v>
      </c>
      <c r="D2163" s="5" t="s">
        <v>1262</v>
      </c>
      <c r="E2163" s="9" t="s">
        <v>368</v>
      </c>
      <c r="F2163" s="18" t="n">
        <v>3</v>
      </c>
      <c r="G2163" s="13" t="n">
        <f aca="false">N(INDEX('05 MATERIAL RATE LIBRARY'!$E$5:$E$400,MATCH("MAT-CND-075-BN",'05 MATERIAL RATE LIBRARY'!$A$5:$A$400,0)))</f>
        <v>35</v>
      </c>
      <c r="H2163" s="21" t="n">
        <v>0</v>
      </c>
      <c r="I2163" s="18" t="n">
        <f aca="false">F2163*(1+H2163)</f>
        <v>3</v>
      </c>
      <c r="J2163" s="13" t="n">
        <f aca="false">I2163*G2163</f>
        <v>105</v>
      </c>
      <c r="K2163" s="20" t="str">
        <f aca="false">IF(INDEX('05 MATERIAL RATE LIBRARY'!$M$5:$M$400,MATCH("MAT-CND-075-BN",'05 MATERIAL RATE LIBRARY'!$A$5:$A$400,0))=1,"",IF(INDEX('05 MATERIAL RATE LIBRARY'!$M$5:$M$400,MATCH("MAT-CND-075-BN",'05 MATERIAL RATE LIBRARY'!$A$5:$A$400,0))=2,"OLD RATE","NO RATE"))</f>
        <v/>
      </c>
    </row>
    <row r="2164" customFormat="false" ht="15" hidden="false" customHeight="true" outlineLevel="0" collapsed="false">
      <c r="A2164" s="9" t="s">
        <v>527</v>
      </c>
      <c r="B2164" s="9" t="s">
        <v>798</v>
      </c>
      <c r="C2164" s="9" t="s">
        <v>1259</v>
      </c>
      <c r="D2164" s="5" t="s">
        <v>1273</v>
      </c>
      <c r="E2164" s="9" t="s">
        <v>386</v>
      </c>
      <c r="F2164" s="18" t="n">
        <v>90</v>
      </c>
      <c r="G2164" s="13" t="n">
        <f aca="false">N(INDEX('05 MATERIAL RATE LIBRARY'!$E$5:$E$400,MATCH("MAT-CBL-729",'05 MATERIAL RATE LIBRARY'!$A$5:$A$400,0)))</f>
        <v>39.66</v>
      </c>
      <c r="H2164" s="19" t="n">
        <f aca="false">W_Cbl</f>
        <v>0.03</v>
      </c>
      <c r="I2164" s="18" t="n">
        <f aca="false">F2164*(1+H2164)</f>
        <v>92.7</v>
      </c>
      <c r="J2164" s="13" t="n">
        <f aca="false">I2164*G2164</f>
        <v>3676.482</v>
      </c>
      <c r="K2164" s="20" t="str">
        <f aca="false">IF(INDEX('05 MATERIAL RATE LIBRARY'!$M$5:$M$400,MATCH("MAT-CBL-729",'05 MATERIAL RATE LIBRARY'!$A$5:$A$400,0))=1,"",IF(INDEX('05 MATERIAL RATE LIBRARY'!$M$5:$M$400,MATCH("MAT-CBL-729",'05 MATERIAL RATE LIBRARY'!$A$5:$A$400,0))=2,"OLD RATE","NO RATE"))</f>
        <v/>
      </c>
    </row>
    <row r="2165" customFormat="false" ht="15" hidden="false" customHeight="true" outlineLevel="0" collapsed="false">
      <c r="A2165" s="9" t="s">
        <v>527</v>
      </c>
      <c r="B2165" s="9" t="s">
        <v>798</v>
      </c>
      <c r="C2165" s="9" t="s">
        <v>1274</v>
      </c>
      <c r="D2165" s="5" t="s">
        <v>1275</v>
      </c>
      <c r="E2165" s="9" t="s">
        <v>368</v>
      </c>
      <c r="F2165" s="18" t="n">
        <v>1</v>
      </c>
      <c r="G2165" s="13" t="n">
        <f aca="false">N(INDEX('05 MATERIAL RATE LIBRARY'!$E$5:$E$400,MATCH("MAT-SKT",'05 MATERIAL RATE LIBRARY'!$A$5:$A$400,0)))</f>
        <v>891</v>
      </c>
      <c r="H2165" s="21" t="n">
        <v>0</v>
      </c>
      <c r="I2165" s="18" t="n">
        <f aca="false">F2165*(1+H2165)</f>
        <v>1</v>
      </c>
      <c r="J2165" s="13" t="n">
        <f aca="false">I2165*G2165</f>
        <v>891</v>
      </c>
      <c r="K2165" s="20" t="str">
        <f aca="false">IF(INDEX('05 MATERIAL RATE LIBRARY'!$M$5:$M$400,MATCH("MAT-SKT",'05 MATERIAL RATE LIBRARY'!$A$5:$A$400,0))=1,"",IF(INDEX('05 MATERIAL RATE LIBRARY'!$M$5:$M$400,MATCH("MAT-SKT",'05 MATERIAL RATE LIBRARY'!$A$5:$A$400,0))=2,"OLD RATE","NO RATE"))</f>
        <v/>
      </c>
    </row>
    <row r="2166" customFormat="false" ht="15" hidden="false" customHeight="true" outlineLevel="0" collapsed="false">
      <c r="A2166" s="9" t="s">
        <v>527</v>
      </c>
      <c r="B2166" s="9" t="s">
        <v>798</v>
      </c>
      <c r="C2166" s="9" t="s">
        <v>1276</v>
      </c>
      <c r="D2166" s="5" t="s">
        <v>1277</v>
      </c>
      <c r="E2166" s="9" t="s">
        <v>368</v>
      </c>
      <c r="F2166" s="18" t="n">
        <v>1</v>
      </c>
      <c r="G2166" s="13" t="n">
        <f aca="false">N(INDEX('05 MATERIAL RATE LIBRARY'!$E$5:$E$400,MATCH("MAT-BOX-SK",'05 MATERIAL RATE LIBRARY'!$A$5:$A$400,0)))</f>
        <v>185</v>
      </c>
      <c r="H2166" s="21" t="n">
        <v>0</v>
      </c>
      <c r="I2166" s="18" t="n">
        <f aca="false">F2166*(1+H2166)</f>
        <v>1</v>
      </c>
      <c r="J2166" s="13" t="n">
        <f aca="false">I2166*G2166</f>
        <v>185</v>
      </c>
      <c r="K2166" s="20" t="str">
        <f aca="false">IF(INDEX('05 MATERIAL RATE LIBRARY'!$M$5:$M$400,MATCH("MAT-BOX-SK",'05 MATERIAL RATE LIBRARY'!$A$5:$A$400,0))=1,"",IF(INDEX('05 MATERIAL RATE LIBRARY'!$M$5:$M$400,MATCH("MAT-BOX-SK",'05 MATERIAL RATE LIBRARY'!$A$5:$A$400,0))=2,"OLD RATE","NO RATE"))</f>
        <v/>
      </c>
    </row>
    <row r="2167" customFormat="false" ht="15" hidden="false" customHeight="true" outlineLevel="0" collapsed="false">
      <c r="A2167" s="9" t="s">
        <v>527</v>
      </c>
      <c r="B2167" s="9" t="s">
        <v>812</v>
      </c>
      <c r="C2167" s="9" t="s">
        <v>1249</v>
      </c>
      <c r="D2167" s="5" t="s">
        <v>1278</v>
      </c>
      <c r="E2167" s="9" t="s">
        <v>815</v>
      </c>
      <c r="F2167" s="18" t="n">
        <f aca="false">0.3</f>
        <v>0.3</v>
      </c>
      <c r="G2167" s="13" t="n">
        <f aca="false">N(INDEX('06 LABOUR RATE LIBRARY'!$D$5:$D$100,MATCH("LAB-ELC",'06 LABOUR RATE LIBRARY'!$A$5:$A$100,0)))</f>
        <v>2800</v>
      </c>
      <c r="H2167" s="21" t="n">
        <v>0</v>
      </c>
      <c r="I2167" s="18" t="n">
        <f aca="false">F2167*(1+H2167)</f>
        <v>0.3</v>
      </c>
      <c r="J2167" s="13" t="n">
        <f aca="false">I2167*G2167</f>
        <v>840</v>
      </c>
      <c r="K2167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168" customFormat="false" ht="15" hidden="false" customHeight="true" outlineLevel="0" collapsed="false">
      <c r="A2168" s="9" t="s">
        <v>527</v>
      </c>
      <c r="B2168" s="9" t="s">
        <v>812</v>
      </c>
      <c r="C2168" s="9" t="s">
        <v>816</v>
      </c>
      <c r="D2168" s="5" t="s">
        <v>1279</v>
      </c>
      <c r="E2168" s="9" t="s">
        <v>815</v>
      </c>
      <c r="F2168" s="18" t="n">
        <f aca="false">0.3</f>
        <v>0.3</v>
      </c>
      <c r="G2168" s="13" t="n">
        <f aca="false">N(INDEX('06 LABOUR RATE LIBRARY'!$D$5:$D$100,MATCH("LAB-HLP",'06 LABOUR RATE LIBRARY'!$A$5:$A$100,0)))</f>
        <v>1538</v>
      </c>
      <c r="H2168" s="21" t="n">
        <v>0</v>
      </c>
      <c r="I2168" s="18" t="n">
        <f aca="false">F2168*(1+H2168)</f>
        <v>0.3</v>
      </c>
      <c r="J2168" s="13" t="n">
        <f aca="false">I2168*G2168</f>
        <v>461.4</v>
      </c>
      <c r="K216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169" customFormat="false" ht="15" hidden="false" customHeight="true" outlineLevel="0" collapsed="false">
      <c r="D2169" s="22" t="s">
        <v>825</v>
      </c>
      <c r="J2169" s="23" t="n">
        <f aca="false">SUMPRODUCT((B2162:B2168="Material")*F2162:F2168*G2162:G2168)</f>
        <v>6070.4</v>
      </c>
    </row>
    <row r="2170" customFormat="false" ht="15" hidden="false" customHeight="true" outlineLevel="0" collapsed="false">
      <c r="D2170" s="22" t="s">
        <v>826</v>
      </c>
      <c r="J2170" s="23" t="n">
        <f aca="false">SUMIF(B2162:B2168,"Material",J2162:J2168)-J2169</f>
        <v>173.082</v>
      </c>
    </row>
    <row r="2171" customFormat="false" ht="15" hidden="false" customHeight="true" outlineLevel="0" collapsed="false">
      <c r="D2171" s="24" t="s">
        <v>827</v>
      </c>
      <c r="J2171" s="14" t="n">
        <f aca="false">SUMIF(B2162:B2168,"Material",J2162:J2168)</f>
        <v>6243.482</v>
      </c>
    </row>
    <row r="2172" customFormat="false" ht="15" hidden="false" customHeight="true" outlineLevel="0" collapsed="false">
      <c r="D2172" s="24" t="s">
        <v>828</v>
      </c>
      <c r="J2172" s="14" t="n">
        <f aca="false">SUMIF(B2162:B2168,"Labour",J2162:J2168)</f>
        <v>1301.4</v>
      </c>
    </row>
    <row r="2173" customFormat="false" ht="15" hidden="false" customHeight="true" outlineLevel="0" collapsed="false">
      <c r="D2173" s="24" t="s">
        <v>829</v>
      </c>
      <c r="J2173" s="14" t="n">
        <f aca="false">SUMIF(B2162:B2168,"Equipment",J2162:J2168)</f>
        <v>0</v>
      </c>
    </row>
    <row r="2174" customFormat="false" ht="15" hidden="false" customHeight="true" outlineLevel="0" collapsed="false">
      <c r="D2174" s="24" t="s">
        <v>830</v>
      </c>
      <c r="J2174" s="14" t="n">
        <f aca="false">SUMIF(B2162:B2168,"Transport",J2162:J2168)</f>
        <v>0</v>
      </c>
    </row>
    <row r="2175" customFormat="false" ht="15" hidden="false" customHeight="true" outlineLevel="0" collapsed="false">
      <c r="D2175" s="24" t="s">
        <v>831</v>
      </c>
      <c r="J2175" s="14" t="n">
        <f aca="false">J2171+J2172+J2173+J2174</f>
        <v>7544.882</v>
      </c>
    </row>
    <row r="2176" customFormat="false" ht="15" hidden="false" customHeight="true" outlineLevel="0" collapsed="false">
      <c r="D2176" s="22" t="s">
        <v>832</v>
      </c>
      <c r="J2176" s="23" t="n">
        <f aca="false">J2175*OH_Site</f>
        <v>226.34646</v>
      </c>
    </row>
    <row r="2177" customFormat="false" ht="15" hidden="false" customHeight="true" outlineLevel="0" collapsed="false">
      <c r="D2177" s="22" t="s">
        <v>833</v>
      </c>
      <c r="J2177" s="23" t="n">
        <f aca="false">J2175*OH_HO</f>
        <v>377.2441</v>
      </c>
    </row>
    <row r="2178" customFormat="false" ht="15" hidden="false" customHeight="true" outlineLevel="0" collapsed="false">
      <c r="D2178" s="22" t="s">
        <v>834</v>
      </c>
      <c r="J2178" s="23" t="n">
        <f aca="false">J2175*Profit</f>
        <v>754.4882</v>
      </c>
    </row>
    <row r="2179" customFormat="false" ht="15" hidden="false" customHeight="true" outlineLevel="0" collapsed="false">
      <c r="D2179" s="24" t="s">
        <v>835</v>
      </c>
      <c r="J2179" s="14" t="n">
        <f aca="false">J2175+J2176+J2177+J2178</f>
        <v>8902.96076</v>
      </c>
    </row>
    <row r="2180" customFormat="false" ht="15" hidden="false" customHeight="true" outlineLevel="0" collapsed="false">
      <c r="D2180" s="22" t="s">
        <v>836</v>
      </c>
      <c r="J2180" s="23" t="n">
        <f aca="false">IF(Tax_On="Yes",J2179*N(Tax_Rate),0)</f>
        <v>0</v>
      </c>
    </row>
    <row r="2181" customFormat="false" ht="15" hidden="false" customHeight="true" outlineLevel="0" collapsed="false">
      <c r="D2181" s="24" t="s">
        <v>1048</v>
      </c>
      <c r="J2181" s="14" t="n">
        <f aca="false">ROUND(J2179+J2180,0)</f>
        <v>8903</v>
      </c>
    </row>
    <row r="2182" customFormat="false" ht="15" hidden="false" customHeight="true" outlineLevel="0" collapsed="false">
      <c r="D2182" s="25" t="s">
        <v>838</v>
      </c>
      <c r="J2182" s="26" t="n">
        <f aca="false">COUNTIF(K2162:K2168,"NO RATE")+COUNTIF(K2162:K2168,"OLD RATE")</f>
        <v>0</v>
      </c>
    </row>
    <row r="2184" customFormat="false" ht="39.75" hidden="false" customHeight="true" outlineLevel="0" collapsed="false">
      <c r="A2184" s="4" t="s">
        <v>531</v>
      </c>
      <c r="B2184" s="16" t="s">
        <v>534</v>
      </c>
      <c r="C2184" s="16"/>
      <c r="D2184" s="16"/>
      <c r="E2184" s="16"/>
      <c r="F2184" s="16"/>
      <c r="G2184" s="16"/>
      <c r="H2184" s="16"/>
      <c r="I2184" s="16"/>
      <c r="J2184" s="4" t="s">
        <v>1032</v>
      </c>
      <c r="K2184" s="17"/>
    </row>
    <row r="2185" customFormat="false" ht="21.75" hidden="false" customHeight="true" outlineLevel="0" collapsed="false">
      <c r="A2185" s="12" t="s">
        <v>75</v>
      </c>
      <c r="B2185" s="12" t="s">
        <v>789</v>
      </c>
      <c r="C2185" s="12" t="s">
        <v>790</v>
      </c>
      <c r="D2185" s="12" t="s">
        <v>791</v>
      </c>
      <c r="E2185" s="12" t="s">
        <v>81</v>
      </c>
      <c r="F2185" s="12" t="s">
        <v>792</v>
      </c>
      <c r="G2185" s="12" t="s">
        <v>793</v>
      </c>
      <c r="H2185" s="12" t="s">
        <v>794</v>
      </c>
      <c r="I2185" s="12" t="s">
        <v>795</v>
      </c>
      <c r="J2185" s="12" t="s">
        <v>796</v>
      </c>
      <c r="K2185" s="12" t="s">
        <v>797</v>
      </c>
    </row>
    <row r="2186" customFormat="false" ht="15" hidden="false" customHeight="true" outlineLevel="0" collapsed="false">
      <c r="A2186" s="9" t="s">
        <v>531</v>
      </c>
      <c r="B2186" s="9" t="s">
        <v>798</v>
      </c>
      <c r="C2186" s="9" t="s">
        <v>1280</v>
      </c>
      <c r="D2186" s="5" t="s">
        <v>1281</v>
      </c>
      <c r="E2186" s="9" t="s">
        <v>1066</v>
      </c>
      <c r="F2186" s="18" t="n">
        <v>1</v>
      </c>
      <c r="G2186" s="13" t="n">
        <f aca="false">N(INDEX('05 MATERIAL RATE LIBRARY'!$E$5:$E$400,MATCH("MAT-EPIT",'05 MATERIAL RATE LIBRARY'!$A$5:$A$400,0)))</f>
        <v>43731.2</v>
      </c>
      <c r="H2186" s="21" t="n">
        <v>0</v>
      </c>
      <c r="I2186" s="18" t="n">
        <f aca="false">F2186*(1+H2186)</f>
        <v>1</v>
      </c>
      <c r="J2186" s="13" t="n">
        <f aca="false">I2186*G2186</f>
        <v>43731.2</v>
      </c>
      <c r="K2186" s="20" t="str">
        <f aca="false">IF(INDEX('05 MATERIAL RATE LIBRARY'!$M$5:$M$400,MATCH("MAT-EPIT",'05 MATERIAL RATE LIBRARY'!$A$5:$A$400,0))=1,"",IF(INDEX('05 MATERIAL RATE LIBRARY'!$M$5:$M$400,MATCH("MAT-EPIT",'05 MATERIAL RATE LIBRARY'!$A$5:$A$400,0))=2,"OLD RATE","NO RATE"))</f>
        <v/>
      </c>
    </row>
    <row r="2187" customFormat="false" ht="15" hidden="false" customHeight="true" outlineLevel="0" collapsed="false">
      <c r="A2187" s="9" t="s">
        <v>531</v>
      </c>
      <c r="B2187" s="9" t="s">
        <v>812</v>
      </c>
      <c r="C2187" s="9" t="s">
        <v>1249</v>
      </c>
      <c r="D2187" s="5" t="s">
        <v>1282</v>
      </c>
      <c r="E2187" s="9" t="s">
        <v>815</v>
      </c>
      <c r="F2187" s="18" t="n">
        <f aca="false">1</f>
        <v>1</v>
      </c>
      <c r="G2187" s="13" t="n">
        <f aca="false">N(INDEX('06 LABOUR RATE LIBRARY'!$D$5:$D$100,MATCH("LAB-ELC",'06 LABOUR RATE LIBRARY'!$A$5:$A$100,0)))</f>
        <v>2800</v>
      </c>
      <c r="H2187" s="21" t="n">
        <v>0</v>
      </c>
      <c r="I2187" s="18" t="n">
        <f aca="false">F2187*(1+H2187)</f>
        <v>1</v>
      </c>
      <c r="J2187" s="13" t="n">
        <f aca="false">I2187*G2187</f>
        <v>2800</v>
      </c>
      <c r="K2187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188" customFormat="false" ht="15" hidden="false" customHeight="true" outlineLevel="0" collapsed="false">
      <c r="A2188" s="9" t="s">
        <v>531</v>
      </c>
      <c r="B2188" s="9" t="s">
        <v>812</v>
      </c>
      <c r="C2188" s="9" t="s">
        <v>816</v>
      </c>
      <c r="D2188" s="5" t="s">
        <v>1283</v>
      </c>
      <c r="E2188" s="9" t="s">
        <v>815</v>
      </c>
      <c r="F2188" s="18" t="n">
        <f aca="false">2</f>
        <v>2</v>
      </c>
      <c r="G2188" s="13" t="n">
        <f aca="false">N(INDEX('06 LABOUR RATE LIBRARY'!$D$5:$D$100,MATCH("LAB-HLP",'06 LABOUR RATE LIBRARY'!$A$5:$A$100,0)))</f>
        <v>1538</v>
      </c>
      <c r="H2188" s="21" t="n">
        <v>0</v>
      </c>
      <c r="I2188" s="18" t="n">
        <f aca="false">F2188*(1+H2188)</f>
        <v>2</v>
      </c>
      <c r="J2188" s="13" t="n">
        <f aca="false">I2188*G2188</f>
        <v>3076</v>
      </c>
      <c r="K218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189" customFormat="false" ht="15" hidden="false" customHeight="true" outlineLevel="0" collapsed="false">
      <c r="D2189" s="22" t="s">
        <v>825</v>
      </c>
      <c r="J2189" s="23" t="n">
        <f aca="false">SUMPRODUCT((B2186:B2188="Material")*F2186:F2188*G2186:G2188)</f>
        <v>43731.2</v>
      </c>
    </row>
    <row r="2190" customFormat="false" ht="15" hidden="false" customHeight="true" outlineLevel="0" collapsed="false">
      <c r="D2190" s="22" t="s">
        <v>826</v>
      </c>
      <c r="J2190" s="23" t="n">
        <f aca="false">SUMIF(B2186:B2188,"Material",J2186:J2188)-J2189</f>
        <v>0</v>
      </c>
    </row>
    <row r="2191" customFormat="false" ht="15" hidden="false" customHeight="true" outlineLevel="0" collapsed="false">
      <c r="D2191" s="24" t="s">
        <v>827</v>
      </c>
      <c r="J2191" s="14" t="n">
        <f aca="false">SUMIF(B2186:B2188,"Material",J2186:J2188)</f>
        <v>43731.2</v>
      </c>
    </row>
    <row r="2192" customFormat="false" ht="15" hidden="false" customHeight="true" outlineLevel="0" collapsed="false">
      <c r="D2192" s="24" t="s">
        <v>828</v>
      </c>
      <c r="J2192" s="14" t="n">
        <f aca="false">SUMIF(B2186:B2188,"Labour",J2186:J2188)</f>
        <v>5876</v>
      </c>
    </row>
    <row r="2193" customFormat="false" ht="15" hidden="false" customHeight="true" outlineLevel="0" collapsed="false">
      <c r="D2193" s="24" t="s">
        <v>829</v>
      </c>
      <c r="J2193" s="14" t="n">
        <f aca="false">SUMIF(B2186:B2188,"Equipment",J2186:J2188)</f>
        <v>0</v>
      </c>
    </row>
    <row r="2194" customFormat="false" ht="15" hidden="false" customHeight="true" outlineLevel="0" collapsed="false">
      <c r="D2194" s="24" t="s">
        <v>830</v>
      </c>
      <c r="J2194" s="14" t="n">
        <f aca="false">SUMIF(B2186:B2188,"Transport",J2186:J2188)</f>
        <v>0</v>
      </c>
    </row>
    <row r="2195" customFormat="false" ht="15" hidden="false" customHeight="true" outlineLevel="0" collapsed="false">
      <c r="D2195" s="24" t="s">
        <v>831</v>
      </c>
      <c r="J2195" s="14" t="n">
        <f aca="false">J2191+J2192+J2193+J2194</f>
        <v>49607.2</v>
      </c>
    </row>
    <row r="2196" customFormat="false" ht="15" hidden="false" customHeight="true" outlineLevel="0" collapsed="false">
      <c r="D2196" s="22" t="s">
        <v>832</v>
      </c>
      <c r="J2196" s="23" t="n">
        <f aca="false">J2195*OH_Site</f>
        <v>1488.216</v>
      </c>
    </row>
    <row r="2197" customFormat="false" ht="15" hidden="false" customHeight="true" outlineLevel="0" collapsed="false">
      <c r="D2197" s="22" t="s">
        <v>833</v>
      </c>
      <c r="J2197" s="23" t="n">
        <f aca="false">J2195*OH_HO</f>
        <v>2480.36</v>
      </c>
    </row>
    <row r="2198" customFormat="false" ht="15" hidden="false" customHeight="true" outlineLevel="0" collapsed="false">
      <c r="D2198" s="22" t="s">
        <v>834</v>
      </c>
      <c r="J2198" s="23" t="n">
        <f aca="false">J2195*Profit</f>
        <v>4960.72</v>
      </c>
    </row>
    <row r="2199" customFormat="false" ht="15" hidden="false" customHeight="true" outlineLevel="0" collapsed="false">
      <c r="D2199" s="24" t="s">
        <v>835</v>
      </c>
      <c r="J2199" s="14" t="n">
        <f aca="false">J2195+J2196+J2197+J2198</f>
        <v>58536.496</v>
      </c>
    </row>
    <row r="2200" customFormat="false" ht="15" hidden="false" customHeight="true" outlineLevel="0" collapsed="false">
      <c r="D2200" s="22" t="s">
        <v>836</v>
      </c>
      <c r="J2200" s="23" t="n">
        <f aca="false">IF(Tax_On="Yes",J2199*N(Tax_Rate),0)</f>
        <v>0</v>
      </c>
    </row>
    <row r="2201" customFormat="false" ht="15" hidden="false" customHeight="true" outlineLevel="0" collapsed="false">
      <c r="D2201" s="24" t="s">
        <v>1048</v>
      </c>
      <c r="J2201" s="14" t="n">
        <f aca="false">ROUND(J2199+J2200,0)</f>
        <v>58536</v>
      </c>
    </row>
    <row r="2202" customFormat="false" ht="15" hidden="false" customHeight="true" outlineLevel="0" collapsed="false">
      <c r="D2202" s="25" t="s">
        <v>838</v>
      </c>
      <c r="J2202" s="26" t="n">
        <f aca="false">COUNTIF(K2186:K2188,"NO RATE")+COUNTIF(K2186:K2188,"OLD RATE")</f>
        <v>0</v>
      </c>
    </row>
    <row r="2204" customFormat="false" ht="39.75" hidden="false" customHeight="true" outlineLevel="0" collapsed="false">
      <c r="A2204" s="4" t="s">
        <v>536</v>
      </c>
      <c r="B2204" s="16" t="s">
        <v>539</v>
      </c>
      <c r="C2204" s="16"/>
      <c r="D2204" s="16"/>
      <c r="E2204" s="16"/>
      <c r="F2204" s="16"/>
      <c r="G2204" s="16"/>
      <c r="H2204" s="16"/>
      <c r="I2204" s="16"/>
      <c r="J2204" s="4" t="s">
        <v>1032</v>
      </c>
      <c r="K2204" s="17"/>
    </row>
    <row r="2205" customFormat="false" ht="21.75" hidden="false" customHeight="true" outlineLevel="0" collapsed="false">
      <c r="A2205" s="12" t="s">
        <v>75</v>
      </c>
      <c r="B2205" s="12" t="s">
        <v>789</v>
      </c>
      <c r="C2205" s="12" t="s">
        <v>790</v>
      </c>
      <c r="D2205" s="12" t="s">
        <v>791</v>
      </c>
      <c r="E2205" s="12" t="s">
        <v>81</v>
      </c>
      <c r="F2205" s="12" t="s">
        <v>792</v>
      </c>
      <c r="G2205" s="12" t="s">
        <v>793</v>
      </c>
      <c r="H2205" s="12" t="s">
        <v>794</v>
      </c>
      <c r="I2205" s="12" t="s">
        <v>795</v>
      </c>
      <c r="J2205" s="12" t="s">
        <v>796</v>
      </c>
      <c r="K2205" s="12" t="s">
        <v>797</v>
      </c>
    </row>
    <row r="2206" customFormat="false" ht="15" hidden="false" customHeight="true" outlineLevel="0" collapsed="false">
      <c r="A2206" s="9" t="s">
        <v>536</v>
      </c>
      <c r="B2206" s="9" t="s">
        <v>798</v>
      </c>
      <c r="C2206" s="9" t="s">
        <v>1284</v>
      </c>
      <c r="D2206" s="5" t="s">
        <v>1285</v>
      </c>
      <c r="E2206" s="9" t="s">
        <v>368</v>
      </c>
      <c r="F2206" s="18" t="n">
        <v>1</v>
      </c>
      <c r="G2206" s="13" t="n">
        <f aca="false">N(INDEX('05 MATERIAL RATE LIBRARY'!$E$5:$E$400,MATCH("MAT-DB",'05 MATERIAL RATE LIBRARY'!$A$5:$A$400,0)))</f>
        <v>59777.62</v>
      </c>
      <c r="H2206" s="21" t="n">
        <v>0</v>
      </c>
      <c r="I2206" s="18" t="n">
        <f aca="false">F2206*(1+H2206)</f>
        <v>1</v>
      </c>
      <c r="J2206" s="13" t="n">
        <f aca="false">I2206*G2206</f>
        <v>59777.62</v>
      </c>
      <c r="K2206" s="20" t="str">
        <f aca="false">IF(INDEX('05 MATERIAL RATE LIBRARY'!$M$5:$M$400,MATCH("MAT-DB",'05 MATERIAL RATE LIBRARY'!$A$5:$A$400,0))=1,"",IF(INDEX('05 MATERIAL RATE LIBRARY'!$M$5:$M$400,MATCH("MAT-DB",'05 MATERIAL RATE LIBRARY'!$A$5:$A$400,0))=2,"OLD RATE","NO RATE"))</f>
        <v>OLD RATE</v>
      </c>
    </row>
    <row r="2207" customFormat="false" ht="15" hidden="false" customHeight="true" outlineLevel="0" collapsed="false">
      <c r="A2207" s="9" t="s">
        <v>536</v>
      </c>
      <c r="B2207" s="9" t="s">
        <v>812</v>
      </c>
      <c r="C2207" s="9" t="s">
        <v>1249</v>
      </c>
      <c r="D2207" s="5" t="s">
        <v>1282</v>
      </c>
      <c r="E2207" s="9" t="s">
        <v>815</v>
      </c>
      <c r="F2207" s="18" t="n">
        <f aca="false">1</f>
        <v>1</v>
      </c>
      <c r="G2207" s="13" t="n">
        <f aca="false">N(INDEX('06 LABOUR RATE LIBRARY'!$D$5:$D$100,MATCH("LAB-ELC",'06 LABOUR RATE LIBRARY'!$A$5:$A$100,0)))</f>
        <v>2800</v>
      </c>
      <c r="H2207" s="21" t="n">
        <v>0</v>
      </c>
      <c r="I2207" s="18" t="n">
        <f aca="false">F2207*(1+H2207)</f>
        <v>1</v>
      </c>
      <c r="J2207" s="13" t="n">
        <f aca="false">I2207*G2207</f>
        <v>2800</v>
      </c>
      <c r="K2207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208" customFormat="false" ht="15" hidden="false" customHeight="true" outlineLevel="0" collapsed="false">
      <c r="A2208" s="9" t="s">
        <v>536</v>
      </c>
      <c r="B2208" s="9" t="s">
        <v>812</v>
      </c>
      <c r="C2208" s="9" t="s">
        <v>816</v>
      </c>
      <c r="D2208" s="5" t="s">
        <v>1286</v>
      </c>
      <c r="E2208" s="9" t="s">
        <v>815</v>
      </c>
      <c r="F2208" s="18" t="n">
        <f aca="false">1</f>
        <v>1</v>
      </c>
      <c r="G2208" s="13" t="n">
        <f aca="false">N(INDEX('06 LABOUR RATE LIBRARY'!$D$5:$D$100,MATCH("LAB-HLP",'06 LABOUR RATE LIBRARY'!$A$5:$A$100,0)))</f>
        <v>1538</v>
      </c>
      <c r="H2208" s="21" t="n">
        <v>0</v>
      </c>
      <c r="I2208" s="18" t="n">
        <f aca="false">F2208*(1+H2208)</f>
        <v>1</v>
      </c>
      <c r="J2208" s="13" t="n">
        <f aca="false">I2208*G2208</f>
        <v>1538</v>
      </c>
      <c r="K220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209" customFormat="false" ht="15" hidden="false" customHeight="true" outlineLevel="0" collapsed="false">
      <c r="D2209" s="22" t="s">
        <v>825</v>
      </c>
      <c r="J2209" s="23" t="n">
        <f aca="false">SUMPRODUCT((B2206:B2208="Material")*F2206:F2208*G2206:G2208)</f>
        <v>59777.62</v>
      </c>
    </row>
    <row r="2210" customFormat="false" ht="15" hidden="false" customHeight="true" outlineLevel="0" collapsed="false">
      <c r="D2210" s="22" t="s">
        <v>826</v>
      </c>
      <c r="J2210" s="23" t="n">
        <f aca="false">SUMIF(B2206:B2208,"Material",J2206:J2208)-J2209</f>
        <v>0</v>
      </c>
    </row>
    <row r="2211" customFormat="false" ht="15" hidden="false" customHeight="true" outlineLevel="0" collapsed="false">
      <c r="D2211" s="24" t="s">
        <v>827</v>
      </c>
      <c r="J2211" s="14" t="n">
        <f aca="false">SUMIF(B2206:B2208,"Material",J2206:J2208)</f>
        <v>59777.62</v>
      </c>
    </row>
    <row r="2212" customFormat="false" ht="15" hidden="false" customHeight="true" outlineLevel="0" collapsed="false">
      <c r="D2212" s="24" t="s">
        <v>828</v>
      </c>
      <c r="J2212" s="14" t="n">
        <f aca="false">SUMIF(B2206:B2208,"Labour",J2206:J2208)</f>
        <v>4338</v>
      </c>
    </row>
    <row r="2213" customFormat="false" ht="15" hidden="false" customHeight="true" outlineLevel="0" collapsed="false">
      <c r="D2213" s="24" t="s">
        <v>829</v>
      </c>
      <c r="J2213" s="14" t="n">
        <f aca="false">SUMIF(B2206:B2208,"Equipment",J2206:J2208)</f>
        <v>0</v>
      </c>
    </row>
    <row r="2214" customFormat="false" ht="15" hidden="false" customHeight="true" outlineLevel="0" collapsed="false">
      <c r="D2214" s="24" t="s">
        <v>830</v>
      </c>
      <c r="J2214" s="14" t="n">
        <f aca="false">SUMIF(B2206:B2208,"Transport",J2206:J2208)</f>
        <v>0</v>
      </c>
    </row>
    <row r="2215" customFormat="false" ht="15" hidden="false" customHeight="true" outlineLevel="0" collapsed="false">
      <c r="D2215" s="24" t="s">
        <v>831</v>
      </c>
      <c r="J2215" s="14" t="n">
        <f aca="false">J2211+J2212+J2213+J2214</f>
        <v>64115.62</v>
      </c>
    </row>
    <row r="2216" customFormat="false" ht="15" hidden="false" customHeight="true" outlineLevel="0" collapsed="false">
      <c r="D2216" s="22" t="s">
        <v>832</v>
      </c>
      <c r="J2216" s="23" t="n">
        <f aca="false">J2215*OH_Site</f>
        <v>1923.4686</v>
      </c>
    </row>
    <row r="2217" customFormat="false" ht="15" hidden="false" customHeight="true" outlineLevel="0" collapsed="false">
      <c r="D2217" s="22" t="s">
        <v>833</v>
      </c>
      <c r="J2217" s="23" t="n">
        <f aca="false">J2215*OH_HO</f>
        <v>3205.781</v>
      </c>
    </row>
    <row r="2218" customFormat="false" ht="15" hidden="false" customHeight="true" outlineLevel="0" collapsed="false">
      <c r="D2218" s="22" t="s">
        <v>834</v>
      </c>
      <c r="J2218" s="23" t="n">
        <f aca="false">J2215*Profit</f>
        <v>6411.562</v>
      </c>
    </row>
    <row r="2219" customFormat="false" ht="15" hidden="false" customHeight="true" outlineLevel="0" collapsed="false">
      <c r="D2219" s="24" t="s">
        <v>835</v>
      </c>
      <c r="J2219" s="14" t="n">
        <f aca="false">J2215+J2216+J2217+J2218</f>
        <v>75656.4316</v>
      </c>
    </row>
    <row r="2220" customFormat="false" ht="15" hidden="false" customHeight="true" outlineLevel="0" collapsed="false">
      <c r="D2220" s="22" t="s">
        <v>836</v>
      </c>
      <c r="J2220" s="23" t="n">
        <f aca="false">IF(Tax_On="Yes",J2219*N(Tax_Rate),0)</f>
        <v>0</v>
      </c>
    </row>
    <row r="2221" customFormat="false" ht="15" hidden="false" customHeight="true" outlineLevel="0" collapsed="false">
      <c r="D2221" s="24" t="s">
        <v>1048</v>
      </c>
      <c r="J2221" s="14" t="n">
        <f aca="false">ROUND(J2219+J2220,0)</f>
        <v>75656</v>
      </c>
    </row>
    <row r="2222" customFormat="false" ht="15" hidden="false" customHeight="true" outlineLevel="0" collapsed="false">
      <c r="D2222" s="25" t="s">
        <v>838</v>
      </c>
      <c r="J2222" s="26" t="n">
        <f aca="false">COUNTIF(K2206:K2208,"NO RATE")+COUNTIF(K2206:K2208,"OLD RATE")</f>
        <v>1</v>
      </c>
    </row>
    <row r="2224" customFormat="false" ht="39.75" hidden="false" customHeight="true" outlineLevel="0" collapsed="false">
      <c r="A2224" s="4" t="s">
        <v>540</v>
      </c>
      <c r="B2224" s="16" t="s">
        <v>543</v>
      </c>
      <c r="C2224" s="16"/>
      <c r="D2224" s="16"/>
      <c r="E2224" s="16"/>
      <c r="F2224" s="16"/>
      <c r="G2224" s="16"/>
      <c r="H2224" s="16"/>
      <c r="I2224" s="16"/>
      <c r="J2224" s="4" t="s">
        <v>1032</v>
      </c>
      <c r="K2224" s="17"/>
    </row>
    <row r="2225" customFormat="false" ht="21.75" hidden="false" customHeight="true" outlineLevel="0" collapsed="false">
      <c r="A2225" s="12" t="s">
        <v>75</v>
      </c>
      <c r="B2225" s="12" t="s">
        <v>789</v>
      </c>
      <c r="C2225" s="12" t="s">
        <v>790</v>
      </c>
      <c r="D2225" s="12" t="s">
        <v>791</v>
      </c>
      <c r="E2225" s="12" t="s">
        <v>81</v>
      </c>
      <c r="F2225" s="12" t="s">
        <v>792</v>
      </c>
      <c r="G2225" s="12" t="s">
        <v>793</v>
      </c>
      <c r="H2225" s="12" t="s">
        <v>794</v>
      </c>
      <c r="I2225" s="12" t="s">
        <v>795</v>
      </c>
      <c r="J2225" s="12" t="s">
        <v>796</v>
      </c>
      <c r="K2225" s="12" t="s">
        <v>797</v>
      </c>
    </row>
    <row r="2226" customFormat="false" ht="15" hidden="false" customHeight="true" outlineLevel="0" collapsed="false">
      <c r="A2226" s="9" t="s">
        <v>540</v>
      </c>
      <c r="B2226" s="9" t="s">
        <v>798</v>
      </c>
      <c r="C2226" s="9" t="s">
        <v>1287</v>
      </c>
      <c r="D2226" s="5" t="s">
        <v>1288</v>
      </c>
      <c r="E2226" s="9" t="s">
        <v>368</v>
      </c>
      <c r="F2226" s="18" t="n">
        <v>1</v>
      </c>
      <c r="G2226" s="13" t="n">
        <f aca="false">N(INDEX('05 MATERIAL RATE LIBRARY'!$E$5:$E$400,MATCH("MAT-IPC",'05 MATERIAL RATE LIBRARY'!$A$5:$A$400,0)))</f>
        <v>9200</v>
      </c>
      <c r="H2226" s="21" t="n">
        <v>0</v>
      </c>
      <c r="I2226" s="18" t="n">
        <f aca="false">F2226*(1+H2226)</f>
        <v>1</v>
      </c>
      <c r="J2226" s="13" t="n">
        <f aca="false">I2226*G2226</f>
        <v>9200</v>
      </c>
      <c r="K2226" s="20" t="str">
        <f aca="false">IF(INDEX('05 MATERIAL RATE LIBRARY'!$M$5:$M$400,MATCH("MAT-IPC",'05 MATERIAL RATE LIBRARY'!$A$5:$A$400,0))=1,"",IF(INDEX('05 MATERIAL RATE LIBRARY'!$M$5:$M$400,MATCH("MAT-IPC",'05 MATERIAL RATE LIBRARY'!$A$5:$A$400,0))=2,"OLD RATE","NO RATE"))</f>
        <v/>
      </c>
    </row>
    <row r="2227" customFormat="false" ht="15" hidden="false" customHeight="true" outlineLevel="0" collapsed="false">
      <c r="A2227" s="9" t="s">
        <v>540</v>
      </c>
      <c r="B2227" s="9" t="s">
        <v>798</v>
      </c>
      <c r="C2227" s="9" t="s">
        <v>1289</v>
      </c>
      <c r="D2227" s="5" t="s">
        <v>1290</v>
      </c>
      <c r="E2227" s="9" t="s">
        <v>386</v>
      </c>
      <c r="F2227" s="18" t="n">
        <v>100</v>
      </c>
      <c r="G2227" s="13" t="n">
        <f aca="false">N(INDEX('05 MATERIAL RATE LIBRARY'!$E$5:$E$400,MATCH("MAT-CAT6",'05 MATERIAL RATE LIBRARY'!$A$5:$A$400,0)))</f>
        <v>56.41</v>
      </c>
      <c r="H2227" s="19" t="n">
        <f aca="false">W_Cbl</f>
        <v>0.03</v>
      </c>
      <c r="I2227" s="18" t="n">
        <f aca="false">F2227*(1+H2227)</f>
        <v>103</v>
      </c>
      <c r="J2227" s="13" t="n">
        <f aca="false">I2227*G2227</f>
        <v>5810.23</v>
      </c>
      <c r="K2227" s="20" t="str">
        <f aca="false">IF(INDEX('05 MATERIAL RATE LIBRARY'!$M$5:$M$400,MATCH("MAT-CAT6",'05 MATERIAL RATE LIBRARY'!$A$5:$A$400,0))=1,"",IF(INDEX('05 MATERIAL RATE LIBRARY'!$M$5:$M$400,MATCH("MAT-CAT6",'05 MATERIAL RATE LIBRARY'!$A$5:$A$400,0))=2,"OLD RATE","NO RATE"))</f>
        <v/>
      </c>
    </row>
    <row r="2228" customFormat="false" ht="15" hidden="false" customHeight="true" outlineLevel="0" collapsed="false">
      <c r="A2228" s="9" t="s">
        <v>540</v>
      </c>
      <c r="B2228" s="9" t="s">
        <v>798</v>
      </c>
      <c r="C2228" s="9" t="s">
        <v>1243</v>
      </c>
      <c r="D2228" s="5" t="s">
        <v>1291</v>
      </c>
      <c r="E2228" s="9" t="s">
        <v>386</v>
      </c>
      <c r="F2228" s="18" t="n">
        <v>100</v>
      </c>
      <c r="G2228" s="13" t="n">
        <f aca="false">N(INDEX('05 MATERIAL RATE LIBRARY'!$E$5:$E$400,MATCH("MAT-CND-075",'05 MATERIAL RATE LIBRARY'!$A$5:$A$400,0)))</f>
        <v>44</v>
      </c>
      <c r="H2228" s="19" t="n">
        <f aca="false">W_Pipe</f>
        <v>0.05</v>
      </c>
      <c r="I2228" s="18" t="n">
        <f aca="false">F2228*(1+H2228)</f>
        <v>105</v>
      </c>
      <c r="J2228" s="13" t="n">
        <f aca="false">I2228*G2228</f>
        <v>4620</v>
      </c>
      <c r="K2228" s="20" t="str">
        <f aca="false">IF(INDEX('05 MATERIAL RATE LIBRARY'!$M$5:$M$400,MATCH("MAT-CND-075",'05 MATERIAL RATE LIBRARY'!$A$5:$A$400,0))=1,"",IF(INDEX('05 MATERIAL RATE LIBRARY'!$M$5:$M$400,MATCH("MAT-CND-075",'05 MATERIAL RATE LIBRARY'!$A$5:$A$400,0))=2,"OLD RATE","NO RATE"))</f>
        <v/>
      </c>
    </row>
    <row r="2229" customFormat="false" ht="15" hidden="false" customHeight="true" outlineLevel="0" collapsed="false">
      <c r="A2229" s="9" t="s">
        <v>540</v>
      </c>
      <c r="B2229" s="9" t="s">
        <v>812</v>
      </c>
      <c r="C2229" s="9" t="s">
        <v>1249</v>
      </c>
      <c r="D2229" s="5" t="s">
        <v>1292</v>
      </c>
      <c r="E2229" s="9" t="s">
        <v>815</v>
      </c>
      <c r="F2229" s="18" t="n">
        <f aca="false">0.5</f>
        <v>0.5</v>
      </c>
      <c r="G2229" s="13" t="n">
        <f aca="false">N(INDEX('06 LABOUR RATE LIBRARY'!$D$5:$D$100,MATCH("LAB-ELC",'06 LABOUR RATE LIBRARY'!$A$5:$A$100,0)))</f>
        <v>2800</v>
      </c>
      <c r="H2229" s="21" t="n">
        <v>0</v>
      </c>
      <c r="I2229" s="18" t="n">
        <f aca="false">F2229*(1+H2229)</f>
        <v>0.5</v>
      </c>
      <c r="J2229" s="13" t="n">
        <f aca="false">I2229*G2229</f>
        <v>1400</v>
      </c>
      <c r="K2229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230" customFormat="false" ht="15" hidden="false" customHeight="true" outlineLevel="0" collapsed="false">
      <c r="A2230" s="9" t="s">
        <v>540</v>
      </c>
      <c r="B2230" s="9" t="s">
        <v>812</v>
      </c>
      <c r="C2230" s="9" t="s">
        <v>816</v>
      </c>
      <c r="D2230" s="5" t="s">
        <v>1052</v>
      </c>
      <c r="E2230" s="9" t="s">
        <v>815</v>
      </c>
      <c r="F2230" s="18" t="n">
        <f aca="false">0.5</f>
        <v>0.5</v>
      </c>
      <c r="G2230" s="13" t="n">
        <f aca="false">N(INDEX('06 LABOUR RATE LIBRARY'!$D$5:$D$100,MATCH("LAB-HLP",'06 LABOUR RATE LIBRARY'!$A$5:$A$100,0)))</f>
        <v>1538</v>
      </c>
      <c r="H2230" s="21" t="n">
        <v>0</v>
      </c>
      <c r="I2230" s="18" t="n">
        <f aca="false">F2230*(1+H2230)</f>
        <v>0.5</v>
      </c>
      <c r="J2230" s="13" t="n">
        <f aca="false">I2230*G2230</f>
        <v>769</v>
      </c>
      <c r="K223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231" customFormat="false" ht="15" hidden="false" customHeight="true" outlineLevel="0" collapsed="false">
      <c r="D2231" s="22" t="s">
        <v>825</v>
      </c>
      <c r="J2231" s="23" t="n">
        <f aca="false">SUMPRODUCT((B2226:B2230="Material")*F2226:F2230*G2226:G2230)</f>
        <v>19241</v>
      </c>
    </row>
    <row r="2232" customFormat="false" ht="15" hidden="false" customHeight="true" outlineLevel="0" collapsed="false">
      <c r="D2232" s="22" t="s">
        <v>826</v>
      </c>
      <c r="J2232" s="23" t="n">
        <f aca="false">SUMIF(B2226:B2230,"Material",J2226:J2230)-J2231</f>
        <v>389.23</v>
      </c>
    </row>
    <row r="2233" customFormat="false" ht="15" hidden="false" customHeight="true" outlineLevel="0" collapsed="false">
      <c r="D2233" s="24" t="s">
        <v>827</v>
      </c>
      <c r="J2233" s="14" t="n">
        <f aca="false">SUMIF(B2226:B2230,"Material",J2226:J2230)</f>
        <v>19630.23</v>
      </c>
    </row>
    <row r="2234" customFormat="false" ht="15" hidden="false" customHeight="true" outlineLevel="0" collapsed="false">
      <c r="D2234" s="24" t="s">
        <v>828</v>
      </c>
      <c r="J2234" s="14" t="n">
        <f aca="false">SUMIF(B2226:B2230,"Labour",J2226:J2230)</f>
        <v>2169</v>
      </c>
    </row>
    <row r="2235" customFormat="false" ht="15" hidden="false" customHeight="true" outlineLevel="0" collapsed="false">
      <c r="D2235" s="24" t="s">
        <v>829</v>
      </c>
      <c r="J2235" s="14" t="n">
        <f aca="false">SUMIF(B2226:B2230,"Equipment",J2226:J2230)</f>
        <v>0</v>
      </c>
    </row>
    <row r="2236" customFormat="false" ht="15" hidden="false" customHeight="true" outlineLevel="0" collapsed="false">
      <c r="D2236" s="24" t="s">
        <v>830</v>
      </c>
      <c r="J2236" s="14" t="n">
        <f aca="false">SUMIF(B2226:B2230,"Transport",J2226:J2230)</f>
        <v>0</v>
      </c>
    </row>
    <row r="2237" customFormat="false" ht="15" hidden="false" customHeight="true" outlineLevel="0" collapsed="false">
      <c r="D2237" s="24" t="s">
        <v>831</v>
      </c>
      <c r="J2237" s="14" t="n">
        <f aca="false">J2233+J2234+J2235+J2236</f>
        <v>21799.23</v>
      </c>
    </row>
    <row r="2238" customFormat="false" ht="15" hidden="false" customHeight="true" outlineLevel="0" collapsed="false">
      <c r="D2238" s="22" t="s">
        <v>832</v>
      </c>
      <c r="J2238" s="23" t="n">
        <f aca="false">J2237*OH_Site</f>
        <v>653.9769</v>
      </c>
    </row>
    <row r="2239" customFormat="false" ht="15" hidden="false" customHeight="true" outlineLevel="0" collapsed="false">
      <c r="D2239" s="22" t="s">
        <v>833</v>
      </c>
      <c r="J2239" s="23" t="n">
        <f aca="false">J2237*OH_HO</f>
        <v>1089.9615</v>
      </c>
    </row>
    <row r="2240" customFormat="false" ht="15" hidden="false" customHeight="true" outlineLevel="0" collapsed="false">
      <c r="D2240" s="22" t="s">
        <v>834</v>
      </c>
      <c r="J2240" s="23" t="n">
        <f aca="false">J2237*Profit</f>
        <v>2179.923</v>
      </c>
    </row>
    <row r="2241" customFormat="false" ht="15" hidden="false" customHeight="true" outlineLevel="0" collapsed="false">
      <c r="D2241" s="24" t="s">
        <v>835</v>
      </c>
      <c r="J2241" s="14" t="n">
        <f aca="false">J2237+J2238+J2239+J2240</f>
        <v>25723.0914</v>
      </c>
    </row>
    <row r="2242" customFormat="false" ht="15" hidden="false" customHeight="true" outlineLevel="0" collapsed="false">
      <c r="D2242" s="22" t="s">
        <v>836</v>
      </c>
      <c r="J2242" s="23" t="n">
        <f aca="false">IF(Tax_On="Yes",J2241*N(Tax_Rate),0)</f>
        <v>0</v>
      </c>
    </row>
    <row r="2243" customFormat="false" ht="15" hidden="false" customHeight="true" outlineLevel="0" collapsed="false">
      <c r="D2243" s="24" t="s">
        <v>1048</v>
      </c>
      <c r="J2243" s="14" t="n">
        <f aca="false">ROUND(J2241+J2242,0)</f>
        <v>25723</v>
      </c>
    </row>
    <row r="2244" customFormat="false" ht="15" hidden="false" customHeight="true" outlineLevel="0" collapsed="false">
      <c r="D2244" s="25" t="s">
        <v>838</v>
      </c>
      <c r="J2244" s="26" t="n">
        <f aca="false">COUNTIF(K2226:K2230,"NO RATE")+COUNTIF(K2226:K2230,"OLD RATE")</f>
        <v>0</v>
      </c>
    </row>
    <row r="2246" customFormat="false" ht="39.75" hidden="false" customHeight="true" outlineLevel="0" collapsed="false">
      <c r="A2246" s="4" t="s">
        <v>545</v>
      </c>
      <c r="B2246" s="16" t="s">
        <v>549</v>
      </c>
      <c r="C2246" s="16"/>
      <c r="D2246" s="16"/>
      <c r="E2246" s="16"/>
      <c r="F2246" s="16"/>
      <c r="G2246" s="16"/>
      <c r="H2246" s="16"/>
      <c r="I2246" s="16"/>
      <c r="J2246" s="4" t="s">
        <v>1032</v>
      </c>
      <c r="K2246" s="17"/>
    </row>
    <row r="2247" customFormat="false" ht="21.75" hidden="false" customHeight="true" outlineLevel="0" collapsed="false">
      <c r="A2247" s="12" t="s">
        <v>75</v>
      </c>
      <c r="B2247" s="12" t="s">
        <v>789</v>
      </c>
      <c r="C2247" s="12" t="s">
        <v>790</v>
      </c>
      <c r="D2247" s="12" t="s">
        <v>791</v>
      </c>
      <c r="E2247" s="12" t="s">
        <v>81</v>
      </c>
      <c r="F2247" s="12" t="s">
        <v>792</v>
      </c>
      <c r="G2247" s="12" t="s">
        <v>793</v>
      </c>
      <c r="H2247" s="12" t="s">
        <v>794</v>
      </c>
      <c r="I2247" s="12" t="s">
        <v>795</v>
      </c>
      <c r="J2247" s="12" t="s">
        <v>796</v>
      </c>
      <c r="K2247" s="12" t="s">
        <v>797</v>
      </c>
    </row>
    <row r="2248" customFormat="false" ht="15" hidden="false" customHeight="true" outlineLevel="0" collapsed="false">
      <c r="A2248" s="9" t="s">
        <v>545</v>
      </c>
      <c r="B2248" s="9" t="s">
        <v>798</v>
      </c>
      <c r="C2248" s="9" t="s">
        <v>1293</v>
      </c>
      <c r="D2248" s="5" t="s">
        <v>1294</v>
      </c>
      <c r="E2248" s="9" t="s">
        <v>368</v>
      </c>
      <c r="F2248" s="18" t="n">
        <v>1</v>
      </c>
      <c r="G2248" s="13" t="n">
        <f aca="false">N(INDEX('05 MATERIAL RATE LIBRARY'!$E$5:$E$400,MATCH("MAT-SMD",'05 MATERIAL RATE LIBRARY'!$A$5:$A$400,0)))</f>
        <v>7740</v>
      </c>
      <c r="H2248" s="21" t="n">
        <v>0</v>
      </c>
      <c r="I2248" s="18" t="n">
        <f aca="false">F2248*(1+H2248)</f>
        <v>1</v>
      </c>
      <c r="J2248" s="13" t="n">
        <f aca="false">I2248*G2248</f>
        <v>7740</v>
      </c>
      <c r="K2248" s="20" t="str">
        <f aca="false">IF(INDEX('05 MATERIAL RATE LIBRARY'!$M$5:$M$400,MATCH("MAT-SMD",'05 MATERIAL RATE LIBRARY'!$A$5:$A$400,0))=1,"",IF(INDEX('05 MATERIAL RATE LIBRARY'!$M$5:$M$400,MATCH("MAT-SMD",'05 MATERIAL RATE LIBRARY'!$A$5:$A$400,0))=2,"OLD RATE","NO RATE"))</f>
        <v/>
      </c>
    </row>
    <row r="2249" customFormat="false" ht="15" hidden="false" customHeight="true" outlineLevel="0" collapsed="false">
      <c r="A2249" s="9" t="s">
        <v>545</v>
      </c>
      <c r="B2249" s="9" t="s">
        <v>798</v>
      </c>
      <c r="C2249" s="9" t="s">
        <v>1295</v>
      </c>
      <c r="D2249" s="5" t="s">
        <v>1296</v>
      </c>
      <c r="E2249" s="9" t="s">
        <v>386</v>
      </c>
      <c r="F2249" s="18" t="n">
        <v>30</v>
      </c>
      <c r="G2249" s="13" t="n">
        <f aca="false">N(INDEX('05 MATERIAL RATE LIBRARY'!$E$5:$E$400,MATCH("MAT-FRC",'05 MATERIAL RATE LIBRARY'!$A$5:$A$400,0)))</f>
        <v>131</v>
      </c>
      <c r="H2249" s="19" t="n">
        <f aca="false">W_Cbl</f>
        <v>0.03</v>
      </c>
      <c r="I2249" s="18" t="n">
        <f aca="false">F2249*(1+H2249)</f>
        <v>30.9</v>
      </c>
      <c r="J2249" s="13" t="n">
        <f aca="false">I2249*G2249</f>
        <v>4047.9</v>
      </c>
      <c r="K2249" s="20" t="str">
        <f aca="false">IF(INDEX('05 MATERIAL RATE LIBRARY'!$M$5:$M$400,MATCH("MAT-FRC",'05 MATERIAL RATE LIBRARY'!$A$5:$A$400,0))=1,"",IF(INDEX('05 MATERIAL RATE LIBRARY'!$M$5:$M$400,MATCH("MAT-FRC",'05 MATERIAL RATE LIBRARY'!$A$5:$A$400,0))=2,"OLD RATE","NO RATE"))</f>
        <v/>
      </c>
    </row>
    <row r="2250" customFormat="false" ht="15" hidden="false" customHeight="true" outlineLevel="0" collapsed="false">
      <c r="A2250" s="9" t="s">
        <v>545</v>
      </c>
      <c r="B2250" s="9" t="s">
        <v>798</v>
      </c>
      <c r="C2250" s="9" t="s">
        <v>1243</v>
      </c>
      <c r="D2250" s="5" t="s">
        <v>1272</v>
      </c>
      <c r="E2250" s="9" t="s">
        <v>386</v>
      </c>
      <c r="F2250" s="18" t="n">
        <v>30</v>
      </c>
      <c r="G2250" s="13" t="n">
        <f aca="false">N(INDEX('05 MATERIAL RATE LIBRARY'!$E$5:$E$400,MATCH("MAT-CND-075",'05 MATERIAL RATE LIBRARY'!$A$5:$A$400,0)))</f>
        <v>44</v>
      </c>
      <c r="H2250" s="19" t="n">
        <f aca="false">W_Pipe</f>
        <v>0.05</v>
      </c>
      <c r="I2250" s="18" t="n">
        <f aca="false">F2250*(1+H2250)</f>
        <v>31.5</v>
      </c>
      <c r="J2250" s="13" t="n">
        <f aca="false">I2250*G2250</f>
        <v>1386</v>
      </c>
      <c r="K2250" s="20" t="str">
        <f aca="false">IF(INDEX('05 MATERIAL RATE LIBRARY'!$M$5:$M$400,MATCH("MAT-CND-075",'05 MATERIAL RATE LIBRARY'!$A$5:$A$400,0))=1,"",IF(INDEX('05 MATERIAL RATE LIBRARY'!$M$5:$M$400,MATCH("MAT-CND-075",'05 MATERIAL RATE LIBRARY'!$A$5:$A$400,0))=2,"OLD RATE","NO RATE"))</f>
        <v/>
      </c>
    </row>
    <row r="2251" customFormat="false" ht="15" hidden="false" customHeight="true" outlineLevel="0" collapsed="false">
      <c r="A2251" s="9" t="s">
        <v>545</v>
      </c>
      <c r="B2251" s="9" t="s">
        <v>812</v>
      </c>
      <c r="C2251" s="9" t="s">
        <v>1249</v>
      </c>
      <c r="D2251" s="5" t="s">
        <v>1297</v>
      </c>
      <c r="E2251" s="9" t="s">
        <v>815</v>
      </c>
      <c r="F2251" s="18" t="n">
        <f aca="false">0.25</f>
        <v>0.25</v>
      </c>
      <c r="G2251" s="13" t="n">
        <f aca="false">N(INDEX('06 LABOUR RATE LIBRARY'!$D$5:$D$100,MATCH("LAB-ELC",'06 LABOUR RATE LIBRARY'!$A$5:$A$100,0)))</f>
        <v>2800</v>
      </c>
      <c r="H2251" s="21" t="n">
        <v>0</v>
      </c>
      <c r="I2251" s="18" t="n">
        <f aca="false">F2251*(1+H2251)</f>
        <v>0.25</v>
      </c>
      <c r="J2251" s="13" t="n">
        <f aca="false">I2251*G2251</f>
        <v>700</v>
      </c>
      <c r="K2251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252" customFormat="false" ht="15" hidden="false" customHeight="true" outlineLevel="0" collapsed="false">
      <c r="A2252" s="9" t="s">
        <v>545</v>
      </c>
      <c r="B2252" s="9" t="s">
        <v>812</v>
      </c>
      <c r="C2252" s="9" t="s">
        <v>816</v>
      </c>
      <c r="D2252" s="5" t="s">
        <v>1271</v>
      </c>
      <c r="E2252" s="9" t="s">
        <v>815</v>
      </c>
      <c r="F2252" s="18" t="n">
        <f aca="false">0.25</f>
        <v>0.25</v>
      </c>
      <c r="G2252" s="13" t="n">
        <f aca="false">N(INDEX('06 LABOUR RATE LIBRARY'!$D$5:$D$100,MATCH("LAB-HLP",'06 LABOUR RATE LIBRARY'!$A$5:$A$100,0)))</f>
        <v>1538</v>
      </c>
      <c r="H2252" s="21" t="n">
        <v>0</v>
      </c>
      <c r="I2252" s="18" t="n">
        <f aca="false">F2252*(1+H2252)</f>
        <v>0.25</v>
      </c>
      <c r="J2252" s="13" t="n">
        <f aca="false">I2252*G2252</f>
        <v>384.5</v>
      </c>
      <c r="K225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253" customFormat="false" ht="15" hidden="false" customHeight="true" outlineLevel="0" collapsed="false">
      <c r="D2253" s="22" t="s">
        <v>825</v>
      </c>
      <c r="J2253" s="23" t="n">
        <f aca="false">SUMPRODUCT((B2248:B2252="Material")*F2248:F2252*G2248:G2252)</f>
        <v>12990</v>
      </c>
    </row>
    <row r="2254" customFormat="false" ht="15" hidden="false" customHeight="true" outlineLevel="0" collapsed="false">
      <c r="D2254" s="22" t="s">
        <v>826</v>
      </c>
      <c r="J2254" s="23" t="n">
        <f aca="false">SUMIF(B2248:B2252,"Material",J2248:J2252)-J2253</f>
        <v>183.9</v>
      </c>
    </row>
    <row r="2255" customFormat="false" ht="15" hidden="false" customHeight="true" outlineLevel="0" collapsed="false">
      <c r="D2255" s="24" t="s">
        <v>827</v>
      </c>
      <c r="J2255" s="14" t="n">
        <f aca="false">SUMIF(B2248:B2252,"Material",J2248:J2252)</f>
        <v>13173.9</v>
      </c>
    </row>
    <row r="2256" customFormat="false" ht="15" hidden="false" customHeight="true" outlineLevel="0" collapsed="false">
      <c r="D2256" s="24" t="s">
        <v>828</v>
      </c>
      <c r="J2256" s="14" t="n">
        <f aca="false">SUMIF(B2248:B2252,"Labour",J2248:J2252)</f>
        <v>1084.5</v>
      </c>
    </row>
    <row r="2257" customFormat="false" ht="15" hidden="false" customHeight="true" outlineLevel="0" collapsed="false">
      <c r="D2257" s="24" t="s">
        <v>829</v>
      </c>
      <c r="J2257" s="14" t="n">
        <f aca="false">SUMIF(B2248:B2252,"Equipment",J2248:J2252)</f>
        <v>0</v>
      </c>
    </row>
    <row r="2258" customFormat="false" ht="15" hidden="false" customHeight="true" outlineLevel="0" collapsed="false">
      <c r="D2258" s="24" t="s">
        <v>830</v>
      </c>
      <c r="J2258" s="14" t="n">
        <f aca="false">SUMIF(B2248:B2252,"Transport",J2248:J2252)</f>
        <v>0</v>
      </c>
    </row>
    <row r="2259" customFormat="false" ht="15" hidden="false" customHeight="true" outlineLevel="0" collapsed="false">
      <c r="D2259" s="24" t="s">
        <v>831</v>
      </c>
      <c r="J2259" s="14" t="n">
        <f aca="false">J2255+J2256+J2257+J2258</f>
        <v>14258.4</v>
      </c>
    </row>
    <row r="2260" customFormat="false" ht="15" hidden="false" customHeight="true" outlineLevel="0" collapsed="false">
      <c r="D2260" s="22" t="s">
        <v>832</v>
      </c>
      <c r="J2260" s="23" t="n">
        <f aca="false">J2259*OH_Site</f>
        <v>427.752</v>
      </c>
    </row>
    <row r="2261" customFormat="false" ht="15" hidden="false" customHeight="true" outlineLevel="0" collapsed="false">
      <c r="D2261" s="22" t="s">
        <v>833</v>
      </c>
      <c r="J2261" s="23" t="n">
        <f aca="false">J2259*OH_HO</f>
        <v>712.92</v>
      </c>
    </row>
    <row r="2262" customFormat="false" ht="15" hidden="false" customHeight="true" outlineLevel="0" collapsed="false">
      <c r="D2262" s="22" t="s">
        <v>834</v>
      </c>
      <c r="J2262" s="23" t="n">
        <f aca="false">J2259*Profit</f>
        <v>1425.84</v>
      </c>
    </row>
    <row r="2263" customFormat="false" ht="15" hidden="false" customHeight="true" outlineLevel="0" collapsed="false">
      <c r="D2263" s="24" t="s">
        <v>835</v>
      </c>
      <c r="J2263" s="14" t="n">
        <f aca="false">J2259+J2260+J2261+J2262</f>
        <v>16824.912</v>
      </c>
    </row>
    <row r="2264" customFormat="false" ht="15" hidden="false" customHeight="true" outlineLevel="0" collapsed="false">
      <c r="D2264" s="22" t="s">
        <v>836</v>
      </c>
      <c r="J2264" s="23" t="n">
        <f aca="false">IF(Tax_On="Yes",J2263*N(Tax_Rate),0)</f>
        <v>0</v>
      </c>
    </row>
    <row r="2265" customFormat="false" ht="15" hidden="false" customHeight="true" outlineLevel="0" collapsed="false">
      <c r="D2265" s="24" t="s">
        <v>1048</v>
      </c>
      <c r="J2265" s="14" t="n">
        <f aca="false">ROUND(J2263+J2264,0)</f>
        <v>16825</v>
      </c>
    </row>
    <row r="2266" customFormat="false" ht="15" hidden="false" customHeight="true" outlineLevel="0" collapsed="false">
      <c r="D2266" s="25" t="s">
        <v>838</v>
      </c>
      <c r="J2266" s="26" t="n">
        <f aca="false">COUNTIF(K2248:K2252,"NO RATE")+COUNTIF(K2248:K2252,"OLD RATE")</f>
        <v>0</v>
      </c>
    </row>
    <row r="2268" customFormat="false" ht="39.75" hidden="false" customHeight="true" outlineLevel="0" collapsed="false">
      <c r="A2268" s="4" t="s">
        <v>551</v>
      </c>
      <c r="B2268" s="16" t="s">
        <v>554</v>
      </c>
      <c r="C2268" s="16"/>
      <c r="D2268" s="16"/>
      <c r="E2268" s="16"/>
      <c r="F2268" s="16"/>
      <c r="G2268" s="16"/>
      <c r="H2268" s="16"/>
      <c r="I2268" s="16"/>
      <c r="J2268" s="4" t="s">
        <v>890</v>
      </c>
      <c r="K2268" s="17"/>
    </row>
    <row r="2269" customFormat="false" ht="21.75" hidden="false" customHeight="true" outlineLevel="0" collapsed="false">
      <c r="A2269" s="12" t="s">
        <v>75</v>
      </c>
      <c r="B2269" s="12" t="s">
        <v>789</v>
      </c>
      <c r="C2269" s="12" t="s">
        <v>790</v>
      </c>
      <c r="D2269" s="12" t="s">
        <v>791</v>
      </c>
      <c r="E2269" s="12" t="s">
        <v>81</v>
      </c>
      <c r="F2269" s="12" t="s">
        <v>792</v>
      </c>
      <c r="G2269" s="12" t="s">
        <v>793</v>
      </c>
      <c r="H2269" s="12" t="s">
        <v>794</v>
      </c>
      <c r="I2269" s="12" t="s">
        <v>795</v>
      </c>
      <c r="J2269" s="12" t="s">
        <v>796</v>
      </c>
      <c r="K2269" s="12" t="s">
        <v>797</v>
      </c>
    </row>
    <row r="2270" customFormat="false" ht="15" hidden="false" customHeight="true" outlineLevel="0" collapsed="false">
      <c r="A2270" s="9" t="s">
        <v>551</v>
      </c>
      <c r="B2270" s="9" t="s">
        <v>798</v>
      </c>
      <c r="C2270" s="9" t="s">
        <v>1298</v>
      </c>
      <c r="D2270" s="5" t="s">
        <v>1299</v>
      </c>
      <c r="E2270" s="9" t="s">
        <v>198</v>
      </c>
      <c r="F2270" s="18" t="n">
        <v>0.6</v>
      </c>
      <c r="G2270" s="13" t="n">
        <f aca="false">N(INDEX('05 MATERIAL RATE LIBRARY'!$E$5:$E$400,MATCH("MAT-GIS",'05 MATERIAL RATE LIBRARY'!$A$5:$A$400,0)))</f>
        <v>345</v>
      </c>
      <c r="H2270" s="19" t="n">
        <f aca="false">W_Pipe</f>
        <v>0.05</v>
      </c>
      <c r="I2270" s="18" t="n">
        <f aca="false">F2270*(1+H2270)</f>
        <v>0.63</v>
      </c>
      <c r="J2270" s="13" t="n">
        <f aca="false">I2270*G2270</f>
        <v>217.35</v>
      </c>
      <c r="K2270" s="20" t="str">
        <f aca="false">IF(INDEX('05 MATERIAL RATE LIBRARY'!$M$5:$M$400,MATCH("MAT-GIS",'05 MATERIAL RATE LIBRARY'!$A$5:$A$400,0))=1,"",IF(INDEX('05 MATERIAL RATE LIBRARY'!$M$5:$M$400,MATCH("MAT-GIS",'05 MATERIAL RATE LIBRARY'!$A$5:$A$400,0))=2,"OLD RATE","NO RATE"))</f>
        <v/>
      </c>
    </row>
    <row r="2271" customFormat="false" ht="15" hidden="false" customHeight="true" outlineLevel="0" collapsed="false">
      <c r="A2271" s="9" t="s">
        <v>551</v>
      </c>
      <c r="B2271" s="9" t="s">
        <v>798</v>
      </c>
      <c r="C2271" s="9" t="s">
        <v>1300</v>
      </c>
      <c r="D2271" s="5" t="s">
        <v>1301</v>
      </c>
      <c r="E2271" s="9" t="s">
        <v>368</v>
      </c>
      <c r="F2271" s="18" t="n">
        <v>0.1</v>
      </c>
      <c r="G2271" s="13" t="n">
        <f aca="false">N(INDEX('05 MATERIAL RATE LIBRARY'!$E$5:$E$400,MATCH("MAT-DHNG",'05 MATERIAL RATE LIBRARY'!$A$5:$A$400,0)))</f>
        <v>217.76</v>
      </c>
      <c r="H2271" s="21" t="n">
        <v>0</v>
      </c>
      <c r="I2271" s="18" t="n">
        <f aca="false">F2271*(1+H2271)</f>
        <v>0.1</v>
      </c>
      <c r="J2271" s="13" t="n">
        <f aca="false">I2271*G2271</f>
        <v>21.776</v>
      </c>
      <c r="K2271" s="20" t="str">
        <f aca="false">IF(INDEX('05 MATERIAL RATE LIBRARY'!$M$5:$M$400,MATCH("MAT-DHNG",'05 MATERIAL RATE LIBRARY'!$A$5:$A$400,0))=1,"",IF(INDEX('05 MATERIAL RATE LIBRARY'!$M$5:$M$400,MATCH("MAT-DHNG",'05 MATERIAL RATE LIBRARY'!$A$5:$A$400,0))=2,"OLD RATE","NO RATE"))</f>
        <v/>
      </c>
    </row>
    <row r="2272" customFormat="false" ht="15" hidden="false" customHeight="true" outlineLevel="0" collapsed="false">
      <c r="A2272" s="9" t="s">
        <v>551</v>
      </c>
      <c r="B2272" s="9" t="s">
        <v>812</v>
      </c>
      <c r="C2272" s="9" t="s">
        <v>1302</v>
      </c>
      <c r="D2272" s="5" t="s">
        <v>1303</v>
      </c>
      <c r="E2272" s="9" t="s">
        <v>815</v>
      </c>
      <c r="F2272" s="18" t="n">
        <f aca="false">'13 PRODUCTIVITY LIBRARY'!E52/'13 PRODUCTIVITY LIBRARY'!D52</f>
        <v>0.02</v>
      </c>
      <c r="G2272" s="13" t="n">
        <f aca="false">N(INDEX('06 LABOUR RATE LIBRARY'!$D$5:$D$100,MATCH("LAB-HVT",'06 LABOUR RATE LIBRARY'!$A$5:$A$100,0)))</f>
        <v>2800</v>
      </c>
      <c r="H2272" s="21" t="n">
        <v>0</v>
      </c>
      <c r="I2272" s="18" t="n">
        <f aca="false">F2272*(1+H2272)</f>
        <v>0.02</v>
      </c>
      <c r="J2272" s="13" t="n">
        <f aca="false">I2272*G2272</f>
        <v>56</v>
      </c>
      <c r="K2272" s="20" t="str">
        <f aca="false">IF(INDEX('06 LABOUR RATE LIBRARY'!$L$5:$L$100,MATCH("LAB-HVT",'06 LABOUR RATE LIBRARY'!$A$5:$A$100,0))=1,"",IF(INDEX('06 LABOUR RATE LIBRARY'!$L$5:$L$100,MATCH("LAB-HVT",'06 LABOUR RATE LIBRARY'!$A$5:$A$100,0))=2,"OLD RATE","NO RATE"))</f>
        <v/>
      </c>
    </row>
    <row r="2273" customFormat="false" ht="15" hidden="false" customHeight="true" outlineLevel="0" collapsed="false">
      <c r="A2273" s="9" t="s">
        <v>551</v>
      </c>
      <c r="B2273" s="9" t="s">
        <v>812</v>
      </c>
      <c r="C2273" s="9" t="s">
        <v>816</v>
      </c>
      <c r="D2273" s="5" t="s">
        <v>1304</v>
      </c>
      <c r="E2273" s="9" t="s">
        <v>815</v>
      </c>
      <c r="F2273" s="18" t="n">
        <f aca="false">'13 PRODUCTIVITY LIBRARY'!F52/'13 PRODUCTIVITY LIBRARY'!D52</f>
        <v>0.02</v>
      </c>
      <c r="G2273" s="13" t="n">
        <f aca="false">N(INDEX('06 LABOUR RATE LIBRARY'!$D$5:$D$100,MATCH("LAB-HLP",'06 LABOUR RATE LIBRARY'!$A$5:$A$100,0)))</f>
        <v>1538</v>
      </c>
      <c r="H2273" s="21" t="n">
        <v>0</v>
      </c>
      <c r="I2273" s="18" t="n">
        <f aca="false">F2273*(1+H2273)</f>
        <v>0.02</v>
      </c>
      <c r="J2273" s="13" t="n">
        <f aca="false">I2273*G2273</f>
        <v>30.76</v>
      </c>
      <c r="K227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274" customFormat="false" ht="15" hidden="false" customHeight="true" outlineLevel="0" collapsed="false">
      <c r="D2274" s="22" t="s">
        <v>825</v>
      </c>
      <c r="J2274" s="23" t="n">
        <f aca="false">SUMPRODUCT((B2270:B2273="Material")*F2270:F2273*G2270:G2273)</f>
        <v>228.776</v>
      </c>
    </row>
    <row r="2275" customFormat="false" ht="15" hidden="false" customHeight="true" outlineLevel="0" collapsed="false">
      <c r="D2275" s="22" t="s">
        <v>826</v>
      </c>
      <c r="J2275" s="23" t="n">
        <f aca="false">SUMIF(B2270:B2273,"Material",J2270:J2273)-J2274</f>
        <v>10.35</v>
      </c>
    </row>
    <row r="2276" customFormat="false" ht="15" hidden="false" customHeight="true" outlineLevel="0" collapsed="false">
      <c r="D2276" s="24" t="s">
        <v>827</v>
      </c>
      <c r="J2276" s="14" t="n">
        <f aca="false">SUMIF(B2270:B2273,"Material",J2270:J2273)</f>
        <v>239.126</v>
      </c>
    </row>
    <row r="2277" customFormat="false" ht="15" hidden="false" customHeight="true" outlineLevel="0" collapsed="false">
      <c r="D2277" s="24" t="s">
        <v>828</v>
      </c>
      <c r="J2277" s="14" t="n">
        <f aca="false">SUMIF(B2270:B2273,"Labour",J2270:J2273)</f>
        <v>86.76</v>
      </c>
    </row>
    <row r="2278" customFormat="false" ht="15" hidden="false" customHeight="true" outlineLevel="0" collapsed="false">
      <c r="D2278" s="24" t="s">
        <v>829</v>
      </c>
      <c r="J2278" s="14" t="n">
        <f aca="false">SUMIF(B2270:B2273,"Equipment",J2270:J2273)</f>
        <v>0</v>
      </c>
    </row>
    <row r="2279" customFormat="false" ht="15" hidden="false" customHeight="true" outlineLevel="0" collapsed="false">
      <c r="D2279" s="24" t="s">
        <v>830</v>
      </c>
      <c r="J2279" s="14" t="n">
        <f aca="false">SUMIF(B2270:B2273,"Transport",J2270:J2273)</f>
        <v>0</v>
      </c>
    </row>
    <row r="2280" customFormat="false" ht="15" hidden="false" customHeight="true" outlineLevel="0" collapsed="false">
      <c r="D2280" s="24" t="s">
        <v>831</v>
      </c>
      <c r="J2280" s="14" t="n">
        <f aca="false">J2276+J2277+J2278+J2279</f>
        <v>325.886</v>
      </c>
    </row>
    <row r="2281" customFormat="false" ht="15" hidden="false" customHeight="true" outlineLevel="0" collapsed="false">
      <c r="D2281" s="22" t="s">
        <v>832</v>
      </c>
      <c r="J2281" s="23" t="n">
        <f aca="false">J2280*OH_Site</f>
        <v>9.77658</v>
      </c>
    </row>
    <row r="2282" customFormat="false" ht="15" hidden="false" customHeight="true" outlineLevel="0" collapsed="false">
      <c r="D2282" s="22" t="s">
        <v>833</v>
      </c>
      <c r="J2282" s="23" t="n">
        <f aca="false">J2280*OH_HO</f>
        <v>16.2943</v>
      </c>
    </row>
    <row r="2283" customFormat="false" ht="15" hidden="false" customHeight="true" outlineLevel="0" collapsed="false">
      <c r="D2283" s="22" t="s">
        <v>834</v>
      </c>
      <c r="J2283" s="23" t="n">
        <f aca="false">J2280*Profit</f>
        <v>32.5886</v>
      </c>
    </row>
    <row r="2284" customFormat="false" ht="15" hidden="false" customHeight="true" outlineLevel="0" collapsed="false">
      <c r="D2284" s="24" t="s">
        <v>835</v>
      </c>
      <c r="J2284" s="14" t="n">
        <f aca="false">J2280+J2281+J2282+J2283</f>
        <v>384.54548</v>
      </c>
    </row>
    <row r="2285" customFormat="false" ht="15" hidden="false" customHeight="true" outlineLevel="0" collapsed="false">
      <c r="D2285" s="22" t="s">
        <v>836</v>
      </c>
      <c r="J2285" s="23" t="n">
        <f aca="false">IF(Tax_On="Yes",J2284*N(Tax_Rate),0)</f>
        <v>0</v>
      </c>
    </row>
    <row r="2286" customFormat="false" ht="15" hidden="false" customHeight="true" outlineLevel="0" collapsed="false">
      <c r="D2286" s="24" t="s">
        <v>895</v>
      </c>
      <c r="J2286" s="14" t="n">
        <f aca="false">ROUND(J2284+J2285,0)</f>
        <v>385</v>
      </c>
    </row>
    <row r="2287" customFormat="false" ht="15" hidden="false" customHeight="true" outlineLevel="0" collapsed="false">
      <c r="D2287" s="25" t="s">
        <v>838</v>
      </c>
      <c r="J2287" s="26" t="n">
        <f aca="false">COUNTIF(K2270:K2273,"NO RATE")+COUNTIF(K2270:K2273,"OLD RATE")</f>
        <v>0</v>
      </c>
    </row>
    <row r="2289" customFormat="false" ht="39.75" hidden="false" customHeight="true" outlineLevel="0" collapsed="false">
      <c r="A2289" s="4" t="s">
        <v>556</v>
      </c>
      <c r="B2289" s="16" t="s">
        <v>559</v>
      </c>
      <c r="C2289" s="16"/>
      <c r="D2289" s="16"/>
      <c r="E2289" s="16"/>
      <c r="F2289" s="16"/>
      <c r="G2289" s="16"/>
      <c r="H2289" s="16"/>
      <c r="I2289" s="16"/>
      <c r="J2289" s="4" t="s">
        <v>890</v>
      </c>
      <c r="K2289" s="17"/>
    </row>
    <row r="2290" customFormat="false" ht="21.75" hidden="false" customHeight="true" outlineLevel="0" collapsed="false">
      <c r="A2290" s="12" t="s">
        <v>75</v>
      </c>
      <c r="B2290" s="12" t="s">
        <v>789</v>
      </c>
      <c r="C2290" s="12" t="s">
        <v>790</v>
      </c>
      <c r="D2290" s="12" t="s">
        <v>791</v>
      </c>
      <c r="E2290" s="12" t="s">
        <v>81</v>
      </c>
      <c r="F2290" s="12" t="s">
        <v>792</v>
      </c>
      <c r="G2290" s="12" t="s">
        <v>793</v>
      </c>
      <c r="H2290" s="12" t="s">
        <v>794</v>
      </c>
      <c r="I2290" s="12" t="s">
        <v>795</v>
      </c>
      <c r="J2290" s="12" t="s">
        <v>796</v>
      </c>
      <c r="K2290" s="12" t="s">
        <v>797</v>
      </c>
    </row>
    <row r="2291" customFormat="false" ht="15" hidden="false" customHeight="true" outlineLevel="0" collapsed="false">
      <c r="A2291" s="9" t="s">
        <v>556</v>
      </c>
      <c r="B2291" s="9" t="s">
        <v>798</v>
      </c>
      <c r="C2291" s="9" t="s">
        <v>1305</v>
      </c>
      <c r="D2291" s="5" t="s">
        <v>1306</v>
      </c>
      <c r="E2291" s="9" t="s">
        <v>212</v>
      </c>
      <c r="F2291" s="18" t="n">
        <v>1.1</v>
      </c>
      <c r="G2291" s="13" t="n">
        <f aca="false">N(INDEX('05 MATERIAL RATE LIBRARY'!$E$5:$E$400,MATCH("MAT-DINS",'05 MATERIAL RATE LIBRARY'!$A$5:$A$400,0)))</f>
        <v>327.9</v>
      </c>
      <c r="H2291" s="21" t="n">
        <v>0</v>
      </c>
      <c r="I2291" s="18" t="n">
        <f aca="false">F2291*(1+H2291)</f>
        <v>1.1</v>
      </c>
      <c r="J2291" s="13" t="n">
        <f aca="false">I2291*G2291</f>
        <v>360.69</v>
      </c>
      <c r="K2291" s="20" t="str">
        <f aca="false">IF(INDEX('05 MATERIAL RATE LIBRARY'!$M$5:$M$400,MATCH("MAT-DINS",'05 MATERIAL RATE LIBRARY'!$A$5:$A$400,0))=1,"",IF(INDEX('05 MATERIAL RATE LIBRARY'!$M$5:$M$400,MATCH("MAT-DINS",'05 MATERIAL RATE LIBRARY'!$A$5:$A$400,0))=2,"OLD RATE","NO RATE"))</f>
        <v/>
      </c>
    </row>
    <row r="2292" customFormat="false" ht="15" hidden="false" customHeight="true" outlineLevel="0" collapsed="false">
      <c r="A2292" s="9" t="s">
        <v>556</v>
      </c>
      <c r="B2292" s="9" t="s">
        <v>812</v>
      </c>
      <c r="C2292" s="9" t="s">
        <v>1302</v>
      </c>
      <c r="D2292" s="5" t="s">
        <v>1307</v>
      </c>
      <c r="E2292" s="9" t="s">
        <v>815</v>
      </c>
      <c r="F2292" s="18" t="n">
        <f aca="false">'13 PRODUCTIVITY LIBRARY'!E51/'13 PRODUCTIVITY LIBRARY'!D51</f>
        <v>0.0135135135135135</v>
      </c>
      <c r="G2292" s="13" t="n">
        <f aca="false">N(INDEX('06 LABOUR RATE LIBRARY'!$D$5:$D$100,MATCH("LAB-HVT",'06 LABOUR RATE LIBRARY'!$A$5:$A$100,0)))</f>
        <v>2800</v>
      </c>
      <c r="H2292" s="21" t="n">
        <v>0</v>
      </c>
      <c r="I2292" s="18" t="n">
        <f aca="false">F2292*(1+H2292)</f>
        <v>0.0135135135135135</v>
      </c>
      <c r="J2292" s="13" t="n">
        <f aca="false">I2292*G2292</f>
        <v>37.8378378378378</v>
      </c>
      <c r="K2292" s="20" t="str">
        <f aca="false">IF(INDEX('06 LABOUR RATE LIBRARY'!$L$5:$L$100,MATCH("LAB-HVT",'06 LABOUR RATE LIBRARY'!$A$5:$A$100,0))=1,"",IF(INDEX('06 LABOUR RATE LIBRARY'!$L$5:$L$100,MATCH("LAB-HVT",'06 LABOUR RATE LIBRARY'!$A$5:$A$100,0))=2,"OLD RATE","NO RATE"))</f>
        <v/>
      </c>
    </row>
    <row r="2293" customFormat="false" ht="15" hidden="false" customHeight="true" outlineLevel="0" collapsed="false">
      <c r="A2293" s="9" t="s">
        <v>556</v>
      </c>
      <c r="B2293" s="9" t="s">
        <v>812</v>
      </c>
      <c r="C2293" s="9" t="s">
        <v>816</v>
      </c>
      <c r="D2293" s="5" t="s">
        <v>1308</v>
      </c>
      <c r="E2293" s="9" t="s">
        <v>815</v>
      </c>
      <c r="F2293" s="18" t="n">
        <f aca="false">'13 PRODUCTIVITY LIBRARY'!F51/'13 PRODUCTIVITY LIBRARY'!D51</f>
        <v>0.0135135135135135</v>
      </c>
      <c r="G2293" s="13" t="n">
        <f aca="false">N(INDEX('06 LABOUR RATE LIBRARY'!$D$5:$D$100,MATCH("LAB-HLP",'06 LABOUR RATE LIBRARY'!$A$5:$A$100,0)))</f>
        <v>1538</v>
      </c>
      <c r="H2293" s="21" t="n">
        <v>0</v>
      </c>
      <c r="I2293" s="18" t="n">
        <f aca="false">F2293*(1+H2293)</f>
        <v>0.0135135135135135</v>
      </c>
      <c r="J2293" s="13" t="n">
        <f aca="false">I2293*G2293</f>
        <v>20.7837837837838</v>
      </c>
      <c r="K229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294" customFormat="false" ht="15" hidden="false" customHeight="true" outlineLevel="0" collapsed="false">
      <c r="D2294" s="22" t="s">
        <v>825</v>
      </c>
      <c r="J2294" s="23" t="n">
        <f aca="false">SUMPRODUCT((B2291:B2293="Material")*F2291:F2293*G2291:G2293)</f>
        <v>360.69</v>
      </c>
    </row>
    <row r="2295" customFormat="false" ht="15" hidden="false" customHeight="true" outlineLevel="0" collapsed="false">
      <c r="D2295" s="22" t="s">
        <v>826</v>
      </c>
      <c r="J2295" s="23" t="n">
        <f aca="false">SUMIF(B2291:B2293,"Material",J2291:J2293)-J2294</f>
        <v>0</v>
      </c>
    </row>
    <row r="2296" customFormat="false" ht="15" hidden="false" customHeight="true" outlineLevel="0" collapsed="false">
      <c r="D2296" s="24" t="s">
        <v>827</v>
      </c>
      <c r="J2296" s="14" t="n">
        <f aca="false">SUMIF(B2291:B2293,"Material",J2291:J2293)</f>
        <v>360.69</v>
      </c>
    </row>
    <row r="2297" customFormat="false" ht="15" hidden="false" customHeight="true" outlineLevel="0" collapsed="false">
      <c r="D2297" s="24" t="s">
        <v>828</v>
      </c>
      <c r="J2297" s="14" t="n">
        <f aca="false">SUMIF(B2291:B2293,"Labour",J2291:J2293)</f>
        <v>58.6216216216216</v>
      </c>
    </row>
    <row r="2298" customFormat="false" ht="15" hidden="false" customHeight="true" outlineLevel="0" collapsed="false">
      <c r="D2298" s="24" t="s">
        <v>829</v>
      </c>
      <c r="J2298" s="14" t="n">
        <f aca="false">SUMIF(B2291:B2293,"Equipment",J2291:J2293)</f>
        <v>0</v>
      </c>
    </row>
    <row r="2299" customFormat="false" ht="15" hidden="false" customHeight="true" outlineLevel="0" collapsed="false">
      <c r="D2299" s="24" t="s">
        <v>830</v>
      </c>
      <c r="J2299" s="14" t="n">
        <f aca="false">SUMIF(B2291:B2293,"Transport",J2291:J2293)</f>
        <v>0</v>
      </c>
    </row>
    <row r="2300" customFormat="false" ht="15" hidden="false" customHeight="true" outlineLevel="0" collapsed="false">
      <c r="D2300" s="24" t="s">
        <v>831</v>
      </c>
      <c r="J2300" s="14" t="n">
        <f aca="false">J2296+J2297+J2298+J2299</f>
        <v>419.311621621622</v>
      </c>
    </row>
    <row r="2301" customFormat="false" ht="15" hidden="false" customHeight="true" outlineLevel="0" collapsed="false">
      <c r="D2301" s="22" t="s">
        <v>832</v>
      </c>
      <c r="J2301" s="23" t="n">
        <f aca="false">J2300*OH_Site</f>
        <v>12.5793486486486</v>
      </c>
    </row>
    <row r="2302" customFormat="false" ht="15" hidden="false" customHeight="true" outlineLevel="0" collapsed="false">
      <c r="D2302" s="22" t="s">
        <v>833</v>
      </c>
      <c r="J2302" s="23" t="n">
        <f aca="false">J2300*OH_HO</f>
        <v>20.9655810810811</v>
      </c>
    </row>
    <row r="2303" customFormat="false" ht="15" hidden="false" customHeight="true" outlineLevel="0" collapsed="false">
      <c r="D2303" s="22" t="s">
        <v>834</v>
      </c>
      <c r="J2303" s="23" t="n">
        <f aca="false">J2300*Profit</f>
        <v>41.9311621621622</v>
      </c>
    </row>
    <row r="2304" customFormat="false" ht="15" hidden="false" customHeight="true" outlineLevel="0" collapsed="false">
      <c r="D2304" s="24" t="s">
        <v>835</v>
      </c>
      <c r="J2304" s="14" t="n">
        <f aca="false">J2300+J2301+J2302+J2303</f>
        <v>494.787713513514</v>
      </c>
    </row>
    <row r="2305" customFormat="false" ht="15" hidden="false" customHeight="true" outlineLevel="0" collapsed="false">
      <c r="D2305" s="22" t="s">
        <v>836</v>
      </c>
      <c r="J2305" s="23" t="n">
        <f aca="false">IF(Tax_On="Yes",J2304*N(Tax_Rate),0)</f>
        <v>0</v>
      </c>
    </row>
    <row r="2306" customFormat="false" ht="15" hidden="false" customHeight="true" outlineLevel="0" collapsed="false">
      <c r="D2306" s="24" t="s">
        <v>895</v>
      </c>
      <c r="J2306" s="14" t="n">
        <f aca="false">ROUND(J2304+J2305,0)</f>
        <v>495</v>
      </c>
    </row>
    <row r="2307" customFormat="false" ht="15" hidden="false" customHeight="true" outlineLevel="0" collapsed="false">
      <c r="D2307" s="25" t="s">
        <v>838</v>
      </c>
      <c r="J2307" s="26" t="n">
        <f aca="false">COUNTIF(K2291:K2293,"NO RATE")+COUNTIF(K2291:K2293,"OLD RATE")</f>
        <v>0</v>
      </c>
    </row>
    <row r="2309" customFormat="false" ht="39.75" hidden="false" customHeight="true" outlineLevel="0" collapsed="false">
      <c r="A2309" s="4" t="s">
        <v>561</v>
      </c>
      <c r="B2309" s="16" t="s">
        <v>564</v>
      </c>
      <c r="C2309" s="16"/>
      <c r="D2309" s="16"/>
      <c r="E2309" s="16"/>
      <c r="F2309" s="16"/>
      <c r="G2309" s="16"/>
      <c r="H2309" s="16"/>
      <c r="I2309" s="16"/>
      <c r="J2309" s="4" t="s">
        <v>1032</v>
      </c>
      <c r="K2309" s="17"/>
    </row>
    <row r="2310" customFormat="false" ht="21.75" hidden="false" customHeight="true" outlineLevel="0" collapsed="false">
      <c r="A2310" s="12" t="s">
        <v>75</v>
      </c>
      <c r="B2310" s="12" t="s">
        <v>789</v>
      </c>
      <c r="C2310" s="12" t="s">
        <v>790</v>
      </c>
      <c r="D2310" s="12" t="s">
        <v>791</v>
      </c>
      <c r="E2310" s="12" t="s">
        <v>81</v>
      </c>
      <c r="F2310" s="12" t="s">
        <v>792</v>
      </c>
      <c r="G2310" s="12" t="s">
        <v>793</v>
      </c>
      <c r="H2310" s="12" t="s">
        <v>794</v>
      </c>
      <c r="I2310" s="12" t="s">
        <v>795</v>
      </c>
      <c r="J2310" s="12" t="s">
        <v>796</v>
      </c>
      <c r="K2310" s="12" t="s">
        <v>797</v>
      </c>
    </row>
    <row r="2311" customFormat="false" ht="15" hidden="false" customHeight="true" outlineLevel="0" collapsed="false">
      <c r="A2311" s="9" t="s">
        <v>561</v>
      </c>
      <c r="B2311" s="9" t="s">
        <v>798</v>
      </c>
      <c r="C2311" s="9" t="s">
        <v>1309</v>
      </c>
      <c r="D2311" s="5" t="s">
        <v>1310</v>
      </c>
      <c r="E2311" s="9" t="s">
        <v>368</v>
      </c>
      <c r="F2311" s="18" t="n">
        <v>1</v>
      </c>
      <c r="G2311" s="13" t="n">
        <f aca="false">N(INDEX('05 MATERIAL RATE LIBRARY'!$E$5:$E$400,MATCH("MAT-SAC",'05 MATERIAL RATE LIBRARY'!$A$5:$A$400,0)))</f>
        <v>126000</v>
      </c>
      <c r="H2311" s="21" t="n">
        <v>0</v>
      </c>
      <c r="I2311" s="18" t="n">
        <f aca="false">F2311*(1+H2311)</f>
        <v>1</v>
      </c>
      <c r="J2311" s="13" t="n">
        <f aca="false">I2311*G2311</f>
        <v>126000</v>
      </c>
      <c r="K2311" s="20" t="str">
        <f aca="false">IF(INDEX('05 MATERIAL RATE LIBRARY'!$M$5:$M$400,MATCH("MAT-SAC",'05 MATERIAL RATE LIBRARY'!$A$5:$A$400,0))=1,"",IF(INDEX('05 MATERIAL RATE LIBRARY'!$M$5:$M$400,MATCH("MAT-SAC",'05 MATERIAL RATE LIBRARY'!$A$5:$A$400,0))=2,"OLD RATE","NO RATE"))</f>
        <v/>
      </c>
    </row>
    <row r="2312" customFormat="false" ht="15" hidden="false" customHeight="true" outlineLevel="0" collapsed="false">
      <c r="A2312" s="9" t="s">
        <v>561</v>
      </c>
      <c r="B2312" s="9" t="s">
        <v>798</v>
      </c>
      <c r="C2312" s="9" t="s">
        <v>1311</v>
      </c>
      <c r="D2312" s="5" t="s">
        <v>1312</v>
      </c>
      <c r="E2312" s="9" t="s">
        <v>386</v>
      </c>
      <c r="F2312" s="18" t="n">
        <v>15</v>
      </c>
      <c r="G2312" s="13" t="n">
        <f aca="false">N(INDEX('05 MATERIAL RATE LIBRARY'!$E$5:$E$400,MATCH("MAT-CUP",'05 MATERIAL RATE LIBRARY'!$A$5:$A$400,0)))</f>
        <v>934.01</v>
      </c>
      <c r="H2312" s="21" t="n">
        <v>0</v>
      </c>
      <c r="I2312" s="18" t="n">
        <f aca="false">F2312*(1+H2312)</f>
        <v>15</v>
      </c>
      <c r="J2312" s="13" t="n">
        <f aca="false">I2312*G2312</f>
        <v>14010.15</v>
      </c>
      <c r="K2312" s="20" t="str">
        <f aca="false">IF(INDEX('05 MATERIAL RATE LIBRARY'!$M$5:$M$400,MATCH("MAT-CUP",'05 MATERIAL RATE LIBRARY'!$A$5:$A$400,0))=1,"",IF(INDEX('05 MATERIAL RATE LIBRARY'!$M$5:$M$400,MATCH("MAT-CUP",'05 MATERIAL RATE LIBRARY'!$A$5:$A$400,0))=2,"OLD RATE","NO RATE"))</f>
        <v/>
      </c>
    </row>
    <row r="2313" customFormat="false" ht="15" hidden="false" customHeight="true" outlineLevel="0" collapsed="false">
      <c r="A2313" s="9" t="s">
        <v>561</v>
      </c>
      <c r="B2313" s="9" t="s">
        <v>798</v>
      </c>
      <c r="C2313" s="9" t="s">
        <v>1137</v>
      </c>
      <c r="D2313" s="5" t="s">
        <v>1313</v>
      </c>
      <c r="E2313" s="9" t="s">
        <v>386</v>
      </c>
      <c r="F2313" s="18" t="n">
        <v>15</v>
      </c>
      <c r="G2313" s="13" t="n">
        <f aca="false">N(INDEX('05 MATERIAL RATE LIBRARY'!$E$5:$E$400,MATCH("MAT-PPR-100",'05 MATERIAL RATE LIBRARY'!$A$5:$A$400,0)))</f>
        <v>145.38</v>
      </c>
      <c r="H2313" s="19" t="n">
        <f aca="false">W_Pipe</f>
        <v>0.05</v>
      </c>
      <c r="I2313" s="18" t="n">
        <f aca="false">F2313*(1+H2313)</f>
        <v>15.75</v>
      </c>
      <c r="J2313" s="13" t="n">
        <f aca="false">I2313*G2313</f>
        <v>2289.735</v>
      </c>
      <c r="K2313" s="20" t="str">
        <f aca="false">IF(INDEX('05 MATERIAL RATE LIBRARY'!$M$5:$M$400,MATCH("MAT-PPR-100",'05 MATERIAL RATE LIBRARY'!$A$5:$A$400,0))=1,"",IF(INDEX('05 MATERIAL RATE LIBRARY'!$M$5:$M$400,MATCH("MAT-PPR-100",'05 MATERIAL RATE LIBRARY'!$A$5:$A$400,0))=2,"OLD RATE","NO RATE"))</f>
        <v/>
      </c>
    </row>
    <row r="2314" customFormat="false" ht="15" hidden="false" customHeight="true" outlineLevel="0" collapsed="false">
      <c r="A2314" s="9" t="s">
        <v>561</v>
      </c>
      <c r="B2314" s="9" t="s">
        <v>812</v>
      </c>
      <c r="C2314" s="9" t="s">
        <v>1302</v>
      </c>
      <c r="D2314" s="5" t="s">
        <v>1314</v>
      </c>
      <c r="E2314" s="9" t="s">
        <v>815</v>
      </c>
      <c r="F2314" s="18" t="n">
        <f aca="false">1</f>
        <v>1</v>
      </c>
      <c r="G2314" s="13" t="n">
        <f aca="false">N(INDEX('06 LABOUR RATE LIBRARY'!$D$5:$D$100,MATCH("LAB-HVT",'06 LABOUR RATE LIBRARY'!$A$5:$A$100,0)))</f>
        <v>2800</v>
      </c>
      <c r="H2314" s="21" t="n">
        <v>0</v>
      </c>
      <c r="I2314" s="18" t="n">
        <f aca="false">F2314*(1+H2314)</f>
        <v>1</v>
      </c>
      <c r="J2314" s="13" t="n">
        <f aca="false">I2314*G2314</f>
        <v>2800</v>
      </c>
      <c r="K2314" s="20" t="str">
        <f aca="false">IF(INDEX('06 LABOUR RATE LIBRARY'!$L$5:$L$100,MATCH("LAB-HVT",'06 LABOUR RATE LIBRARY'!$A$5:$A$100,0))=1,"",IF(INDEX('06 LABOUR RATE LIBRARY'!$L$5:$L$100,MATCH("LAB-HVT",'06 LABOUR RATE LIBRARY'!$A$5:$A$100,0))=2,"OLD RATE","NO RATE"))</f>
        <v/>
      </c>
    </row>
    <row r="2315" customFormat="false" ht="15" hidden="false" customHeight="true" outlineLevel="0" collapsed="false">
      <c r="A2315" s="9" t="s">
        <v>561</v>
      </c>
      <c r="B2315" s="9" t="s">
        <v>812</v>
      </c>
      <c r="C2315" s="9" t="s">
        <v>816</v>
      </c>
      <c r="D2315" s="5" t="s">
        <v>1286</v>
      </c>
      <c r="E2315" s="9" t="s">
        <v>815</v>
      </c>
      <c r="F2315" s="18" t="n">
        <f aca="false">1</f>
        <v>1</v>
      </c>
      <c r="G2315" s="13" t="n">
        <f aca="false">N(INDEX('06 LABOUR RATE LIBRARY'!$D$5:$D$100,MATCH("LAB-HLP",'06 LABOUR RATE LIBRARY'!$A$5:$A$100,0)))</f>
        <v>1538</v>
      </c>
      <c r="H2315" s="21" t="n">
        <v>0</v>
      </c>
      <c r="I2315" s="18" t="n">
        <f aca="false">F2315*(1+H2315)</f>
        <v>1</v>
      </c>
      <c r="J2315" s="13" t="n">
        <f aca="false">I2315*G2315</f>
        <v>1538</v>
      </c>
      <c r="K231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316" customFormat="false" ht="15" hidden="false" customHeight="true" outlineLevel="0" collapsed="false">
      <c r="D2316" s="22" t="s">
        <v>825</v>
      </c>
      <c r="J2316" s="23" t="n">
        <f aca="false">SUMPRODUCT((B2311:B2315="Material")*F2311:F2315*G2311:G2315)</f>
        <v>142190.85</v>
      </c>
    </row>
    <row r="2317" customFormat="false" ht="15" hidden="false" customHeight="true" outlineLevel="0" collapsed="false">
      <c r="D2317" s="22" t="s">
        <v>826</v>
      </c>
      <c r="J2317" s="23" t="n">
        <f aca="false">SUMIF(B2311:B2315,"Material",J2311:J2315)-J2316</f>
        <v>109.035000000003</v>
      </c>
    </row>
    <row r="2318" customFormat="false" ht="15" hidden="false" customHeight="true" outlineLevel="0" collapsed="false">
      <c r="D2318" s="24" t="s">
        <v>827</v>
      </c>
      <c r="J2318" s="14" t="n">
        <f aca="false">SUMIF(B2311:B2315,"Material",J2311:J2315)</f>
        <v>142299.885</v>
      </c>
    </row>
    <row r="2319" customFormat="false" ht="15" hidden="false" customHeight="true" outlineLevel="0" collapsed="false">
      <c r="D2319" s="24" t="s">
        <v>828</v>
      </c>
      <c r="J2319" s="14" t="n">
        <f aca="false">SUMIF(B2311:B2315,"Labour",J2311:J2315)</f>
        <v>4338</v>
      </c>
    </row>
    <row r="2320" customFormat="false" ht="15" hidden="false" customHeight="true" outlineLevel="0" collapsed="false">
      <c r="D2320" s="24" t="s">
        <v>829</v>
      </c>
      <c r="J2320" s="14" t="n">
        <f aca="false">SUMIF(B2311:B2315,"Equipment",J2311:J2315)</f>
        <v>0</v>
      </c>
    </row>
    <row r="2321" customFormat="false" ht="15" hidden="false" customHeight="true" outlineLevel="0" collapsed="false">
      <c r="D2321" s="24" t="s">
        <v>830</v>
      </c>
      <c r="J2321" s="14" t="n">
        <f aca="false">SUMIF(B2311:B2315,"Transport",J2311:J2315)</f>
        <v>0</v>
      </c>
    </row>
    <row r="2322" customFormat="false" ht="15" hidden="false" customHeight="true" outlineLevel="0" collapsed="false">
      <c r="D2322" s="24" t="s">
        <v>831</v>
      </c>
      <c r="J2322" s="14" t="n">
        <f aca="false">J2318+J2319+J2320+J2321</f>
        <v>146637.885</v>
      </c>
    </row>
    <row r="2323" customFormat="false" ht="15" hidden="false" customHeight="true" outlineLevel="0" collapsed="false">
      <c r="D2323" s="22" t="s">
        <v>832</v>
      </c>
      <c r="J2323" s="23" t="n">
        <f aca="false">J2322*OH_Site</f>
        <v>4399.13655</v>
      </c>
    </row>
    <row r="2324" customFormat="false" ht="15" hidden="false" customHeight="true" outlineLevel="0" collapsed="false">
      <c r="D2324" s="22" t="s">
        <v>833</v>
      </c>
      <c r="J2324" s="23" t="n">
        <f aca="false">J2322*OH_HO</f>
        <v>7331.89425</v>
      </c>
    </row>
    <row r="2325" customFormat="false" ht="15" hidden="false" customHeight="true" outlineLevel="0" collapsed="false">
      <c r="D2325" s="22" t="s">
        <v>834</v>
      </c>
      <c r="J2325" s="23" t="n">
        <f aca="false">J2322*Profit</f>
        <v>14663.7885</v>
      </c>
    </row>
    <row r="2326" customFormat="false" ht="15" hidden="false" customHeight="true" outlineLevel="0" collapsed="false">
      <c r="D2326" s="24" t="s">
        <v>835</v>
      </c>
      <c r="J2326" s="14" t="n">
        <f aca="false">J2322+J2323+J2324+J2325</f>
        <v>173032.7043</v>
      </c>
    </row>
    <row r="2327" customFormat="false" ht="15" hidden="false" customHeight="true" outlineLevel="0" collapsed="false">
      <c r="D2327" s="22" t="s">
        <v>836</v>
      </c>
      <c r="J2327" s="23" t="n">
        <f aca="false">IF(Tax_On="Yes",J2326*N(Tax_Rate),0)</f>
        <v>0</v>
      </c>
    </row>
    <row r="2328" customFormat="false" ht="15" hidden="false" customHeight="true" outlineLevel="0" collapsed="false">
      <c r="D2328" s="24" t="s">
        <v>1048</v>
      </c>
      <c r="J2328" s="14" t="n">
        <f aca="false">ROUND(J2326+J2327,0)</f>
        <v>173033</v>
      </c>
    </row>
    <row r="2329" customFormat="false" ht="15" hidden="false" customHeight="true" outlineLevel="0" collapsed="false">
      <c r="D2329" s="25" t="s">
        <v>838</v>
      </c>
      <c r="J2329" s="26" t="n">
        <f aca="false">COUNTIF(K2311:K2315,"NO RATE")+COUNTIF(K2311:K2315,"OLD RATE")</f>
        <v>0</v>
      </c>
    </row>
    <row r="2331" customFormat="false" ht="39.75" hidden="false" customHeight="true" outlineLevel="0" collapsed="false">
      <c r="A2331" s="4" t="s">
        <v>566</v>
      </c>
      <c r="B2331" s="16" t="s">
        <v>570</v>
      </c>
      <c r="C2331" s="16"/>
      <c r="D2331" s="16"/>
      <c r="E2331" s="16"/>
      <c r="F2331" s="16"/>
      <c r="G2331" s="16"/>
      <c r="H2331" s="16"/>
      <c r="I2331" s="16"/>
      <c r="J2331" s="4" t="s">
        <v>1032</v>
      </c>
      <c r="K2331" s="17"/>
    </row>
    <row r="2332" customFormat="false" ht="21.75" hidden="false" customHeight="true" outlineLevel="0" collapsed="false">
      <c r="A2332" s="12" t="s">
        <v>75</v>
      </c>
      <c r="B2332" s="12" t="s">
        <v>789</v>
      </c>
      <c r="C2332" s="12" t="s">
        <v>790</v>
      </c>
      <c r="D2332" s="12" t="s">
        <v>791</v>
      </c>
      <c r="E2332" s="12" t="s">
        <v>81</v>
      </c>
      <c r="F2332" s="12" t="s">
        <v>792</v>
      </c>
      <c r="G2332" s="12" t="s">
        <v>793</v>
      </c>
      <c r="H2332" s="12" t="s">
        <v>794</v>
      </c>
      <c r="I2332" s="12" t="s">
        <v>795</v>
      </c>
      <c r="J2332" s="12" t="s">
        <v>796</v>
      </c>
      <c r="K2332" s="12" t="s">
        <v>797</v>
      </c>
    </row>
    <row r="2333" customFormat="false" ht="15" hidden="false" customHeight="true" outlineLevel="0" collapsed="false">
      <c r="A2333" s="9" t="s">
        <v>566</v>
      </c>
      <c r="B2333" s="9" t="s">
        <v>798</v>
      </c>
      <c r="C2333" s="9" t="s">
        <v>1315</v>
      </c>
      <c r="D2333" s="5" t="s">
        <v>1316</v>
      </c>
      <c r="E2333" s="9" t="s">
        <v>368</v>
      </c>
      <c r="F2333" s="18" t="n">
        <v>1</v>
      </c>
      <c r="G2333" s="13" t="n">
        <f aca="false">N(INDEX('05 MATERIAL RATE LIBRARY'!$E$5:$E$400,MATCH("MAT-LIFT",'05 MATERIAL RATE LIBRARY'!$A$5:$A$400,0)))</f>
        <v>8500000</v>
      </c>
      <c r="H2333" s="21" t="n">
        <v>0</v>
      </c>
      <c r="I2333" s="18" t="n">
        <f aca="false">F2333*(1+H2333)</f>
        <v>1</v>
      </c>
      <c r="J2333" s="13" t="n">
        <f aca="false">I2333*G2333</f>
        <v>8500000</v>
      </c>
      <c r="K2333" s="20" t="str">
        <f aca="false">IF(INDEX('05 MATERIAL RATE LIBRARY'!$M$5:$M$400,MATCH("MAT-LIFT",'05 MATERIAL RATE LIBRARY'!$A$5:$A$400,0))=1,"",IF(INDEX('05 MATERIAL RATE LIBRARY'!$M$5:$M$400,MATCH("MAT-LIFT",'05 MATERIAL RATE LIBRARY'!$A$5:$A$400,0))=2,"OLD RATE","NO RATE"))</f>
        <v/>
      </c>
    </row>
    <row r="2334" customFormat="false" ht="15" hidden="false" customHeight="true" outlineLevel="0" collapsed="false">
      <c r="D2334" s="22" t="s">
        <v>825</v>
      </c>
      <c r="J2334" s="23" t="n">
        <f aca="false">SUMPRODUCT((B2333:B2333="Material")*F2333:F2333*G2333:G2333)</f>
        <v>8500000</v>
      </c>
    </row>
    <row r="2335" customFormat="false" ht="15" hidden="false" customHeight="true" outlineLevel="0" collapsed="false">
      <c r="D2335" s="22" t="s">
        <v>826</v>
      </c>
      <c r="J2335" s="23" t="n">
        <f aca="false">SUMIF(B2333:B2333,"Material",J2333:J2333)-J2334</f>
        <v>0</v>
      </c>
    </row>
    <row r="2336" customFormat="false" ht="15" hidden="false" customHeight="true" outlineLevel="0" collapsed="false">
      <c r="D2336" s="24" t="s">
        <v>827</v>
      </c>
      <c r="J2336" s="14" t="n">
        <f aca="false">SUMIF(B2333:B2333,"Material",J2333:J2333)</f>
        <v>8500000</v>
      </c>
    </row>
    <row r="2337" customFormat="false" ht="15" hidden="false" customHeight="true" outlineLevel="0" collapsed="false">
      <c r="D2337" s="24" t="s">
        <v>828</v>
      </c>
      <c r="J2337" s="14" t="n">
        <f aca="false">SUMIF(B2333:B2333,"Labour",J2333:J2333)</f>
        <v>0</v>
      </c>
    </row>
    <row r="2338" customFormat="false" ht="15" hidden="false" customHeight="true" outlineLevel="0" collapsed="false">
      <c r="D2338" s="24" t="s">
        <v>829</v>
      </c>
      <c r="J2338" s="14" t="n">
        <f aca="false">SUMIF(B2333:B2333,"Equipment",J2333:J2333)</f>
        <v>0</v>
      </c>
    </row>
    <row r="2339" customFormat="false" ht="15" hidden="false" customHeight="true" outlineLevel="0" collapsed="false">
      <c r="D2339" s="24" t="s">
        <v>830</v>
      </c>
      <c r="J2339" s="14" t="n">
        <f aca="false">SUMIF(B2333:B2333,"Transport",J2333:J2333)</f>
        <v>0</v>
      </c>
    </row>
    <row r="2340" customFormat="false" ht="15" hidden="false" customHeight="true" outlineLevel="0" collapsed="false">
      <c r="D2340" s="24" t="s">
        <v>831</v>
      </c>
      <c r="J2340" s="14" t="n">
        <f aca="false">J2336+J2337+J2338+J2339</f>
        <v>8500000</v>
      </c>
    </row>
    <row r="2341" customFormat="false" ht="15" hidden="false" customHeight="true" outlineLevel="0" collapsed="false">
      <c r="D2341" s="22" t="s">
        <v>832</v>
      </c>
      <c r="J2341" s="23" t="n">
        <f aca="false">J2340*OH_Site</f>
        <v>255000</v>
      </c>
    </row>
    <row r="2342" customFormat="false" ht="15" hidden="false" customHeight="true" outlineLevel="0" collapsed="false">
      <c r="D2342" s="22" t="s">
        <v>833</v>
      </c>
      <c r="J2342" s="23" t="n">
        <f aca="false">J2340*OH_HO</f>
        <v>425000</v>
      </c>
    </row>
    <row r="2343" customFormat="false" ht="15" hidden="false" customHeight="true" outlineLevel="0" collapsed="false">
      <c r="D2343" s="22" t="s">
        <v>834</v>
      </c>
      <c r="J2343" s="23" t="n">
        <f aca="false">J2340*Profit</f>
        <v>850000</v>
      </c>
    </row>
    <row r="2344" customFormat="false" ht="15" hidden="false" customHeight="true" outlineLevel="0" collapsed="false">
      <c r="D2344" s="24" t="s">
        <v>835</v>
      </c>
      <c r="J2344" s="14" t="n">
        <f aca="false">J2340+J2341+J2342+J2343</f>
        <v>10030000</v>
      </c>
    </row>
    <row r="2345" customFormat="false" ht="15" hidden="false" customHeight="true" outlineLevel="0" collapsed="false">
      <c r="D2345" s="22" t="s">
        <v>836</v>
      </c>
      <c r="J2345" s="23" t="n">
        <f aca="false">IF(Tax_On="Yes",J2344*N(Tax_Rate),0)</f>
        <v>0</v>
      </c>
    </row>
    <row r="2346" customFormat="false" ht="15" hidden="false" customHeight="true" outlineLevel="0" collapsed="false">
      <c r="D2346" s="24" t="s">
        <v>1048</v>
      </c>
      <c r="J2346" s="14" t="n">
        <f aca="false">ROUND(J2344+J2345,0)</f>
        <v>10030000</v>
      </c>
    </row>
    <row r="2347" customFormat="false" ht="15" hidden="false" customHeight="true" outlineLevel="0" collapsed="false">
      <c r="D2347" s="25" t="s">
        <v>838</v>
      </c>
      <c r="J2347" s="26" t="n">
        <f aca="false">COUNTIF(K2333:K2333,"NO RATE")+COUNTIF(K2333:K2333,"OLD RATE")</f>
        <v>0</v>
      </c>
    </row>
    <row r="2349" customFormat="false" ht="39.75" hidden="false" customHeight="true" outlineLevel="0" collapsed="false">
      <c r="A2349" s="4" t="s">
        <v>572</v>
      </c>
      <c r="B2349" s="16" t="s">
        <v>576</v>
      </c>
      <c r="C2349" s="16"/>
      <c r="D2349" s="16"/>
      <c r="E2349" s="16"/>
      <c r="F2349" s="16"/>
      <c r="G2349" s="16"/>
      <c r="H2349" s="16"/>
      <c r="I2349" s="16"/>
      <c r="J2349" s="4" t="s">
        <v>1061</v>
      </c>
      <c r="K2349" s="17"/>
    </row>
    <row r="2350" customFormat="false" ht="21.75" hidden="false" customHeight="true" outlineLevel="0" collapsed="false">
      <c r="A2350" s="12" t="s">
        <v>75</v>
      </c>
      <c r="B2350" s="12" t="s">
        <v>789</v>
      </c>
      <c r="C2350" s="12" t="s">
        <v>790</v>
      </c>
      <c r="D2350" s="12" t="s">
        <v>791</v>
      </c>
      <c r="E2350" s="12" t="s">
        <v>81</v>
      </c>
      <c r="F2350" s="12" t="s">
        <v>792</v>
      </c>
      <c r="G2350" s="12" t="s">
        <v>793</v>
      </c>
      <c r="H2350" s="12" t="s">
        <v>794</v>
      </c>
      <c r="I2350" s="12" t="s">
        <v>795</v>
      </c>
      <c r="J2350" s="12" t="s">
        <v>796</v>
      </c>
      <c r="K2350" s="12" t="s">
        <v>797</v>
      </c>
    </row>
    <row r="2351" customFormat="false" ht="15" hidden="false" customHeight="true" outlineLevel="0" collapsed="false">
      <c r="A2351" s="9" t="s">
        <v>572</v>
      </c>
      <c r="B2351" s="9" t="s">
        <v>798</v>
      </c>
      <c r="C2351" s="9" t="s">
        <v>1317</v>
      </c>
      <c r="D2351" s="5" t="s">
        <v>1318</v>
      </c>
      <c r="E2351" s="9" t="s">
        <v>386</v>
      </c>
      <c r="F2351" s="18" t="n">
        <v>1</v>
      </c>
      <c r="G2351" s="13" t="n">
        <f aca="false">N(INDEX('05 MATERIAL RATE LIBRARY'!$E$5:$E$400,MATCH("MAT-SSP",'05 MATERIAL RATE LIBRARY'!$A$5:$A$400,0)))</f>
        <v>2920.45</v>
      </c>
      <c r="H2351" s="21" t="n">
        <v>0</v>
      </c>
      <c r="I2351" s="18" t="n">
        <f aca="false">F2351*(1+H2351)</f>
        <v>1</v>
      </c>
      <c r="J2351" s="13" t="n">
        <f aca="false">I2351*G2351</f>
        <v>2920.45</v>
      </c>
      <c r="K2351" s="20" t="str">
        <f aca="false">IF(INDEX('05 MATERIAL RATE LIBRARY'!$M$5:$M$400,MATCH("MAT-SSP",'05 MATERIAL RATE LIBRARY'!$A$5:$A$400,0))=1,"",IF(INDEX('05 MATERIAL RATE LIBRARY'!$M$5:$M$400,MATCH("MAT-SSP",'05 MATERIAL RATE LIBRARY'!$A$5:$A$400,0))=2,"OLD RATE","NO RATE"))</f>
        <v/>
      </c>
    </row>
    <row r="2352" customFormat="false" ht="15" hidden="false" customHeight="true" outlineLevel="0" collapsed="false">
      <c r="A2352" s="9" t="s">
        <v>572</v>
      </c>
      <c r="B2352" s="9" t="s">
        <v>798</v>
      </c>
      <c r="C2352" s="9" t="s">
        <v>1319</v>
      </c>
      <c r="D2352" s="5" t="s">
        <v>1320</v>
      </c>
      <c r="E2352" s="9" t="s">
        <v>368</v>
      </c>
      <c r="F2352" s="18" t="n">
        <v>0.25</v>
      </c>
      <c r="G2352" s="13" t="n">
        <f aca="false">N(INDEX('05 MATERIAL RATE LIBRARY'!$E$5:$E$400,MATCH("MAT-SSB",'05 MATERIAL RATE LIBRARY'!$A$5:$A$400,0)))</f>
        <v>0</v>
      </c>
      <c r="H2352" s="21" t="n">
        <v>0</v>
      </c>
      <c r="I2352" s="18" t="n">
        <f aca="false">F2352*(1+H2352)</f>
        <v>0.25</v>
      </c>
      <c r="J2352" s="13" t="n">
        <f aca="false">I2352*G2352</f>
        <v>0</v>
      </c>
      <c r="K2352" s="20" t="str">
        <f aca="false">IF(INDEX('05 MATERIAL RATE LIBRARY'!$M$5:$M$400,MATCH("MAT-SSB",'05 MATERIAL RATE LIBRARY'!$A$5:$A$400,0))=1,"",IF(INDEX('05 MATERIAL RATE LIBRARY'!$M$5:$M$400,MATCH("MAT-SSB",'05 MATERIAL RATE LIBRARY'!$A$5:$A$400,0))=2,"OLD RATE","NO RATE"))</f>
        <v/>
      </c>
    </row>
    <row r="2353" customFormat="false" ht="15" hidden="false" customHeight="true" outlineLevel="0" collapsed="false">
      <c r="A2353" s="9" t="s">
        <v>572</v>
      </c>
      <c r="B2353" s="9" t="s">
        <v>812</v>
      </c>
      <c r="C2353" s="9" t="s">
        <v>1321</v>
      </c>
      <c r="D2353" s="5" t="s">
        <v>1322</v>
      </c>
      <c r="E2353" s="9" t="s">
        <v>815</v>
      </c>
      <c r="F2353" s="18" t="n">
        <f aca="false">1/15</f>
        <v>0.0666666666666667</v>
      </c>
      <c r="G2353" s="13" t="n">
        <f aca="false">N(INDEX('06 LABOUR RATE LIBRARY'!$D$5:$D$100,MATCH("LAB-FAB",'06 LABOUR RATE LIBRARY'!$A$5:$A$100,0)))</f>
        <v>2200</v>
      </c>
      <c r="H2353" s="21" t="n">
        <v>0</v>
      </c>
      <c r="I2353" s="18" t="n">
        <f aca="false">F2353*(1+H2353)</f>
        <v>0.0666666666666667</v>
      </c>
      <c r="J2353" s="13" t="n">
        <f aca="false">I2353*G2353</f>
        <v>146.666666666667</v>
      </c>
      <c r="K2353" s="20" t="str">
        <f aca="false">IF(INDEX('06 LABOUR RATE LIBRARY'!$L$5:$L$100,MATCH("LAB-FAB",'06 LABOUR RATE LIBRARY'!$A$5:$A$100,0))=1,"",IF(INDEX('06 LABOUR RATE LIBRARY'!$L$5:$L$100,MATCH("LAB-FAB",'06 LABOUR RATE LIBRARY'!$A$5:$A$100,0))=2,"OLD RATE","NO RATE"))</f>
        <v/>
      </c>
    </row>
    <row r="2354" customFormat="false" ht="15" hidden="false" customHeight="true" outlineLevel="0" collapsed="false">
      <c r="A2354" s="9" t="s">
        <v>572</v>
      </c>
      <c r="B2354" s="9" t="s">
        <v>812</v>
      </c>
      <c r="C2354" s="9" t="s">
        <v>816</v>
      </c>
      <c r="D2354" s="5" t="s">
        <v>1323</v>
      </c>
      <c r="E2354" s="9" t="s">
        <v>815</v>
      </c>
      <c r="F2354" s="18" t="n">
        <f aca="false">1/15</f>
        <v>0.0666666666666667</v>
      </c>
      <c r="G2354" s="13" t="n">
        <f aca="false">N(INDEX('06 LABOUR RATE LIBRARY'!$D$5:$D$100,MATCH("LAB-HLP",'06 LABOUR RATE LIBRARY'!$A$5:$A$100,0)))</f>
        <v>1538</v>
      </c>
      <c r="H2354" s="21" t="n">
        <v>0</v>
      </c>
      <c r="I2354" s="18" t="n">
        <f aca="false">F2354*(1+H2354)</f>
        <v>0.0666666666666667</v>
      </c>
      <c r="J2354" s="13" t="n">
        <f aca="false">I2354*G2354</f>
        <v>102.533333333333</v>
      </c>
      <c r="K235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355" customFormat="false" ht="15" hidden="false" customHeight="true" outlineLevel="0" collapsed="false">
      <c r="D2355" s="22" t="s">
        <v>825</v>
      </c>
      <c r="J2355" s="23" t="n">
        <f aca="false">SUMPRODUCT((B2351:B2354="Material")*F2351:F2354*G2351:G2354)</f>
        <v>2920.45</v>
      </c>
    </row>
    <row r="2356" customFormat="false" ht="15" hidden="false" customHeight="true" outlineLevel="0" collapsed="false">
      <c r="D2356" s="22" t="s">
        <v>826</v>
      </c>
      <c r="J2356" s="23" t="n">
        <f aca="false">SUMIF(B2351:B2354,"Material",J2351:J2354)-J2355</f>
        <v>0</v>
      </c>
    </row>
    <row r="2357" customFormat="false" ht="15" hidden="false" customHeight="true" outlineLevel="0" collapsed="false">
      <c r="D2357" s="24" t="s">
        <v>827</v>
      </c>
      <c r="J2357" s="14" t="n">
        <f aca="false">SUMIF(B2351:B2354,"Material",J2351:J2354)</f>
        <v>2920.45</v>
      </c>
    </row>
    <row r="2358" customFormat="false" ht="15" hidden="false" customHeight="true" outlineLevel="0" collapsed="false">
      <c r="D2358" s="24" t="s">
        <v>828</v>
      </c>
      <c r="J2358" s="14" t="n">
        <f aca="false">SUMIF(B2351:B2354,"Labour",J2351:J2354)</f>
        <v>249.2</v>
      </c>
    </row>
    <row r="2359" customFormat="false" ht="15" hidden="false" customHeight="true" outlineLevel="0" collapsed="false">
      <c r="D2359" s="24" t="s">
        <v>829</v>
      </c>
      <c r="J2359" s="14" t="n">
        <f aca="false">SUMIF(B2351:B2354,"Equipment",J2351:J2354)</f>
        <v>0</v>
      </c>
    </row>
    <row r="2360" customFormat="false" ht="15" hidden="false" customHeight="true" outlineLevel="0" collapsed="false">
      <c r="D2360" s="24" t="s">
        <v>830</v>
      </c>
      <c r="J2360" s="14" t="n">
        <f aca="false">SUMIF(B2351:B2354,"Transport",J2351:J2354)</f>
        <v>0</v>
      </c>
    </row>
    <row r="2361" customFormat="false" ht="15" hidden="false" customHeight="true" outlineLevel="0" collapsed="false">
      <c r="D2361" s="24" t="s">
        <v>831</v>
      </c>
      <c r="J2361" s="14" t="n">
        <f aca="false">J2357+J2358+J2359+J2360</f>
        <v>3169.65</v>
      </c>
    </row>
    <row r="2362" customFormat="false" ht="15" hidden="false" customHeight="true" outlineLevel="0" collapsed="false">
      <c r="D2362" s="22" t="s">
        <v>832</v>
      </c>
      <c r="J2362" s="23" t="n">
        <f aca="false">J2361*OH_Site</f>
        <v>95.0895</v>
      </c>
    </row>
    <row r="2363" customFormat="false" ht="15" hidden="false" customHeight="true" outlineLevel="0" collapsed="false">
      <c r="D2363" s="22" t="s">
        <v>833</v>
      </c>
      <c r="J2363" s="23" t="n">
        <f aca="false">J2361*OH_HO</f>
        <v>158.4825</v>
      </c>
    </row>
    <row r="2364" customFormat="false" ht="15" hidden="false" customHeight="true" outlineLevel="0" collapsed="false">
      <c r="D2364" s="22" t="s">
        <v>834</v>
      </c>
      <c r="J2364" s="23" t="n">
        <f aca="false">J2361*Profit</f>
        <v>316.965</v>
      </c>
    </row>
    <row r="2365" customFormat="false" ht="15" hidden="false" customHeight="true" outlineLevel="0" collapsed="false">
      <c r="D2365" s="24" t="s">
        <v>835</v>
      </c>
      <c r="J2365" s="14" t="n">
        <f aca="false">J2361+J2362+J2363+J2364</f>
        <v>3740.187</v>
      </c>
    </row>
    <row r="2366" customFormat="false" ht="15" hidden="false" customHeight="true" outlineLevel="0" collapsed="false">
      <c r="D2366" s="22" t="s">
        <v>836</v>
      </c>
      <c r="J2366" s="23" t="n">
        <f aca="false">IF(Tax_On="Yes",J2365*N(Tax_Rate),0)</f>
        <v>0</v>
      </c>
    </row>
    <row r="2367" customFormat="false" ht="15" hidden="false" customHeight="true" outlineLevel="0" collapsed="false">
      <c r="D2367" s="24" t="s">
        <v>1069</v>
      </c>
      <c r="J2367" s="14" t="n">
        <f aca="false">ROUND(J2365+J2366,0)</f>
        <v>3740</v>
      </c>
    </row>
    <row r="2368" customFormat="false" ht="15" hidden="false" customHeight="true" outlineLevel="0" collapsed="false">
      <c r="D2368" s="25" t="s">
        <v>838</v>
      </c>
      <c r="J2368" s="26" t="n">
        <f aca="false">COUNTIF(K2351:K2354,"NO RATE")+COUNTIF(K2351:K2354,"OLD RATE")</f>
        <v>0</v>
      </c>
    </row>
    <row r="2370" customFormat="false" ht="39.75" hidden="false" customHeight="true" outlineLevel="0" collapsed="false">
      <c r="A2370" s="4" t="s">
        <v>578</v>
      </c>
      <c r="B2370" s="16" t="s">
        <v>581</v>
      </c>
      <c r="C2370" s="16"/>
      <c r="D2370" s="16"/>
      <c r="E2370" s="16"/>
      <c r="F2370" s="16"/>
      <c r="G2370" s="16"/>
      <c r="H2370" s="16"/>
      <c r="I2370" s="16"/>
      <c r="J2370" s="4" t="s">
        <v>1061</v>
      </c>
      <c r="K2370" s="17"/>
    </row>
    <row r="2371" customFormat="false" ht="21.75" hidden="false" customHeight="true" outlineLevel="0" collapsed="false">
      <c r="A2371" s="12" t="s">
        <v>75</v>
      </c>
      <c r="B2371" s="12" t="s">
        <v>789</v>
      </c>
      <c r="C2371" s="12" t="s">
        <v>790</v>
      </c>
      <c r="D2371" s="12" t="s">
        <v>791</v>
      </c>
      <c r="E2371" s="12" t="s">
        <v>81</v>
      </c>
      <c r="F2371" s="12" t="s">
        <v>792</v>
      </c>
      <c r="G2371" s="12" t="s">
        <v>793</v>
      </c>
      <c r="H2371" s="12" t="s">
        <v>794</v>
      </c>
      <c r="I2371" s="12" t="s">
        <v>795</v>
      </c>
      <c r="J2371" s="12" t="s">
        <v>796</v>
      </c>
      <c r="K2371" s="12" t="s">
        <v>797</v>
      </c>
    </row>
    <row r="2372" customFormat="false" ht="15" hidden="false" customHeight="true" outlineLevel="0" collapsed="false">
      <c r="A2372" s="9" t="s">
        <v>578</v>
      </c>
      <c r="B2372" s="9" t="s">
        <v>798</v>
      </c>
      <c r="C2372" s="9" t="s">
        <v>1324</v>
      </c>
      <c r="D2372" s="5" t="s">
        <v>1325</v>
      </c>
      <c r="E2372" s="9" t="s">
        <v>212</v>
      </c>
      <c r="F2372" s="18" t="n">
        <v>3.5</v>
      </c>
      <c r="G2372" s="13" t="n">
        <f aca="false">N(INDEX('05 MATERIAL RATE LIBRARY'!$E$5:$E$400,MATCH("MAT-TGL",'05 MATERIAL RATE LIBRARY'!$A$5:$A$400,0)))</f>
        <v>1714.29</v>
      </c>
      <c r="H2372" s="21" t="n">
        <v>0</v>
      </c>
      <c r="I2372" s="18" t="n">
        <f aca="false">F2372*(1+H2372)</f>
        <v>3.5</v>
      </c>
      <c r="J2372" s="13" t="n">
        <f aca="false">I2372*G2372</f>
        <v>6000.015</v>
      </c>
      <c r="K2372" s="20" t="str">
        <f aca="false">IF(INDEX('05 MATERIAL RATE LIBRARY'!$M$5:$M$400,MATCH("MAT-TGL",'05 MATERIAL RATE LIBRARY'!$A$5:$A$400,0))=1,"",IF(INDEX('05 MATERIAL RATE LIBRARY'!$M$5:$M$400,MATCH("MAT-TGL",'05 MATERIAL RATE LIBRARY'!$A$5:$A$400,0))=2,"OLD RATE","NO RATE"))</f>
        <v/>
      </c>
    </row>
    <row r="2373" customFormat="false" ht="15" hidden="false" customHeight="true" outlineLevel="0" collapsed="false">
      <c r="A2373" s="9" t="s">
        <v>578</v>
      </c>
      <c r="B2373" s="9" t="s">
        <v>798</v>
      </c>
      <c r="C2373" s="9" t="s">
        <v>1326</v>
      </c>
      <c r="D2373" s="5" t="s">
        <v>1327</v>
      </c>
      <c r="E2373" s="9" t="s">
        <v>368</v>
      </c>
      <c r="F2373" s="18" t="n">
        <v>0.5</v>
      </c>
      <c r="G2373" s="13" t="n">
        <f aca="false">N(INDEX('05 MATERIAL RATE LIBRARY'!$E$5:$E$400,MATCH("MAT-SPIG",'05 MATERIAL RATE LIBRARY'!$A$5:$A$400,0)))</f>
        <v>0</v>
      </c>
      <c r="H2373" s="21" t="n">
        <v>0</v>
      </c>
      <c r="I2373" s="18" t="n">
        <f aca="false">F2373*(1+H2373)</f>
        <v>0.5</v>
      </c>
      <c r="J2373" s="13" t="n">
        <f aca="false">I2373*G2373</f>
        <v>0</v>
      </c>
      <c r="K2373" s="20" t="str">
        <f aca="false">IF(INDEX('05 MATERIAL RATE LIBRARY'!$M$5:$M$400,MATCH("MAT-SPIG",'05 MATERIAL RATE LIBRARY'!$A$5:$A$400,0))=1,"",IF(INDEX('05 MATERIAL RATE LIBRARY'!$M$5:$M$400,MATCH("MAT-SPIG",'05 MATERIAL RATE LIBRARY'!$A$5:$A$400,0))=2,"OLD RATE","NO RATE"))</f>
        <v/>
      </c>
    </row>
    <row r="2374" customFormat="false" ht="15" hidden="false" customHeight="true" outlineLevel="0" collapsed="false">
      <c r="A2374" s="9" t="s">
        <v>578</v>
      </c>
      <c r="B2374" s="9" t="s">
        <v>812</v>
      </c>
      <c r="C2374" s="9" t="s">
        <v>1057</v>
      </c>
      <c r="D2374" s="5" t="s">
        <v>1328</v>
      </c>
      <c r="E2374" s="9" t="s">
        <v>815</v>
      </c>
      <c r="F2374" s="18" t="n">
        <v>0</v>
      </c>
      <c r="G2374" s="13" t="n">
        <f aca="false">N(INDEX('06 LABOUR RATE LIBRARY'!$D$5:$D$100,MATCH("LAB-GLZ",'06 LABOUR RATE LIBRARY'!$A$5:$A$100,0)))</f>
        <v>2200</v>
      </c>
      <c r="H2374" s="21" t="n">
        <v>0</v>
      </c>
      <c r="I2374" s="18" t="n">
        <f aca="false">F2374*(1+H2374)</f>
        <v>0</v>
      </c>
      <c r="J2374" s="13" t="n">
        <f aca="false">I2374*G2374</f>
        <v>0</v>
      </c>
      <c r="K2374" s="20" t="str">
        <f aca="false">IF(INDEX('06 LABOUR RATE LIBRARY'!$L$5:$L$100,MATCH("LAB-GLZ",'06 LABOUR RATE LIBRARY'!$A$5:$A$100,0))=1,"",IF(INDEX('06 LABOUR RATE LIBRARY'!$L$5:$L$100,MATCH("LAB-GLZ",'06 LABOUR RATE LIBRARY'!$A$5:$A$100,0))=2,"OLD RATE","NO RATE"))</f>
        <v/>
      </c>
    </row>
    <row r="2375" customFormat="false" ht="15" hidden="false" customHeight="true" outlineLevel="0" collapsed="false">
      <c r="A2375" s="9" t="s">
        <v>578</v>
      </c>
      <c r="B2375" s="9" t="s">
        <v>812</v>
      </c>
      <c r="C2375" s="9" t="s">
        <v>816</v>
      </c>
      <c r="D2375" s="5" t="s">
        <v>1329</v>
      </c>
      <c r="E2375" s="9" t="s">
        <v>815</v>
      </c>
      <c r="F2375" s="18" t="n">
        <v>0</v>
      </c>
      <c r="G2375" s="13" t="n">
        <f aca="false">N(INDEX('06 LABOUR RATE LIBRARY'!$D$5:$D$100,MATCH("LAB-HLP",'06 LABOUR RATE LIBRARY'!$A$5:$A$100,0)))</f>
        <v>1538</v>
      </c>
      <c r="H2375" s="21" t="n">
        <v>0</v>
      </c>
      <c r="I2375" s="18" t="n">
        <f aca="false">F2375*(1+H2375)</f>
        <v>0</v>
      </c>
      <c r="J2375" s="13" t="n">
        <f aca="false">I2375*G2375</f>
        <v>0</v>
      </c>
      <c r="K237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376" customFormat="false" ht="15" hidden="false" customHeight="true" outlineLevel="0" collapsed="false">
      <c r="D2376" s="22" t="s">
        <v>825</v>
      </c>
      <c r="J2376" s="23" t="n">
        <f aca="false">SUMPRODUCT((B2372:B2375="Material")*F2372:F2375*G2372:G2375)</f>
        <v>6000.015</v>
      </c>
    </row>
    <row r="2377" customFormat="false" ht="15" hidden="false" customHeight="true" outlineLevel="0" collapsed="false">
      <c r="D2377" s="22" t="s">
        <v>826</v>
      </c>
      <c r="J2377" s="23" t="n">
        <f aca="false">SUMIF(B2372:B2375,"Material",J2372:J2375)-J2376</f>
        <v>0</v>
      </c>
    </row>
    <row r="2378" customFormat="false" ht="15" hidden="false" customHeight="true" outlineLevel="0" collapsed="false">
      <c r="D2378" s="24" t="s">
        <v>827</v>
      </c>
      <c r="J2378" s="14" t="n">
        <f aca="false">SUMIF(B2372:B2375,"Material",J2372:J2375)</f>
        <v>6000.015</v>
      </c>
    </row>
    <row r="2379" customFormat="false" ht="15" hidden="false" customHeight="true" outlineLevel="0" collapsed="false">
      <c r="D2379" s="24" t="s">
        <v>828</v>
      </c>
      <c r="J2379" s="14" t="n">
        <f aca="false">SUMIF(B2372:B2375,"Labour",J2372:J2375)</f>
        <v>0</v>
      </c>
    </row>
    <row r="2380" customFormat="false" ht="15" hidden="false" customHeight="true" outlineLevel="0" collapsed="false">
      <c r="D2380" s="24" t="s">
        <v>829</v>
      </c>
      <c r="J2380" s="14" t="n">
        <f aca="false">SUMIF(B2372:B2375,"Equipment",J2372:J2375)</f>
        <v>0</v>
      </c>
    </row>
    <row r="2381" customFormat="false" ht="15" hidden="false" customHeight="true" outlineLevel="0" collapsed="false">
      <c r="D2381" s="24" t="s">
        <v>830</v>
      </c>
      <c r="J2381" s="14" t="n">
        <f aca="false">SUMIF(B2372:B2375,"Transport",J2372:J2375)</f>
        <v>0</v>
      </c>
    </row>
    <row r="2382" customFormat="false" ht="15" hidden="false" customHeight="true" outlineLevel="0" collapsed="false">
      <c r="D2382" s="24" t="s">
        <v>831</v>
      </c>
      <c r="J2382" s="14" t="n">
        <f aca="false">J2378+J2379+J2380+J2381</f>
        <v>6000.015</v>
      </c>
    </row>
    <row r="2383" customFormat="false" ht="15" hidden="false" customHeight="true" outlineLevel="0" collapsed="false">
      <c r="D2383" s="22" t="s">
        <v>832</v>
      </c>
      <c r="J2383" s="23" t="n">
        <f aca="false">J2382*OH_Site</f>
        <v>180.00045</v>
      </c>
    </row>
    <row r="2384" customFormat="false" ht="15" hidden="false" customHeight="true" outlineLevel="0" collapsed="false">
      <c r="D2384" s="22" t="s">
        <v>833</v>
      </c>
      <c r="J2384" s="23" t="n">
        <f aca="false">J2382*OH_HO</f>
        <v>300.00075</v>
      </c>
    </row>
    <row r="2385" customFormat="false" ht="15" hidden="false" customHeight="true" outlineLevel="0" collapsed="false">
      <c r="D2385" s="22" t="s">
        <v>834</v>
      </c>
      <c r="J2385" s="23" t="n">
        <f aca="false">J2382*Profit</f>
        <v>600.0015</v>
      </c>
    </row>
    <row r="2386" customFormat="false" ht="15" hidden="false" customHeight="true" outlineLevel="0" collapsed="false">
      <c r="D2386" s="24" t="s">
        <v>835</v>
      </c>
      <c r="J2386" s="14" t="n">
        <f aca="false">J2382+J2383+J2384+J2385</f>
        <v>7080.0177</v>
      </c>
    </row>
    <row r="2387" customFormat="false" ht="15" hidden="false" customHeight="true" outlineLevel="0" collapsed="false">
      <c r="D2387" s="22" t="s">
        <v>836</v>
      </c>
      <c r="J2387" s="23" t="n">
        <f aca="false">IF(Tax_On="Yes",J2386*N(Tax_Rate),0)</f>
        <v>0</v>
      </c>
    </row>
    <row r="2388" customFormat="false" ht="15" hidden="false" customHeight="true" outlineLevel="0" collapsed="false">
      <c r="D2388" s="24" t="s">
        <v>1069</v>
      </c>
      <c r="J2388" s="14" t="n">
        <f aca="false">ROUND(J2386+J2387,0)</f>
        <v>7080</v>
      </c>
    </row>
    <row r="2389" customFormat="false" ht="15" hidden="false" customHeight="true" outlineLevel="0" collapsed="false">
      <c r="D2389" s="25" t="s">
        <v>838</v>
      </c>
      <c r="J2389" s="26" t="n">
        <f aca="false">COUNTIF(K2372:K2375,"NO RATE")+COUNTIF(K2372:K2375,"OLD RATE")</f>
        <v>0</v>
      </c>
    </row>
    <row r="2391" customFormat="false" ht="39.75" hidden="false" customHeight="true" outlineLevel="0" collapsed="false">
      <c r="A2391" s="4" t="s">
        <v>583</v>
      </c>
      <c r="B2391" s="16" t="s">
        <v>585</v>
      </c>
      <c r="C2391" s="16"/>
      <c r="D2391" s="16"/>
      <c r="E2391" s="16"/>
      <c r="F2391" s="16"/>
      <c r="G2391" s="16"/>
      <c r="H2391" s="16"/>
      <c r="I2391" s="16"/>
      <c r="J2391" s="4" t="s">
        <v>1061</v>
      </c>
      <c r="K2391" s="17"/>
    </row>
    <row r="2392" customFormat="false" ht="21.75" hidden="false" customHeight="true" outlineLevel="0" collapsed="false">
      <c r="A2392" s="12" t="s">
        <v>75</v>
      </c>
      <c r="B2392" s="12" t="s">
        <v>789</v>
      </c>
      <c r="C2392" s="12" t="s">
        <v>790</v>
      </c>
      <c r="D2392" s="12" t="s">
        <v>791</v>
      </c>
      <c r="E2392" s="12" t="s">
        <v>81</v>
      </c>
      <c r="F2392" s="12" t="s">
        <v>792</v>
      </c>
      <c r="G2392" s="12" t="s">
        <v>793</v>
      </c>
      <c r="H2392" s="12" t="s">
        <v>794</v>
      </c>
      <c r="I2392" s="12" t="s">
        <v>795</v>
      </c>
      <c r="J2392" s="12" t="s">
        <v>796</v>
      </c>
      <c r="K2392" s="12" t="s">
        <v>797</v>
      </c>
    </row>
    <row r="2393" customFormat="false" ht="15" hidden="false" customHeight="true" outlineLevel="0" collapsed="false">
      <c r="A2393" s="9" t="s">
        <v>583</v>
      </c>
      <c r="B2393" s="9" t="s">
        <v>798</v>
      </c>
      <c r="C2393" s="9" t="s">
        <v>1330</v>
      </c>
      <c r="D2393" s="5" t="s">
        <v>1244</v>
      </c>
      <c r="E2393" s="9" t="s">
        <v>386</v>
      </c>
      <c r="F2393" s="18" t="n">
        <v>1</v>
      </c>
      <c r="G2393" s="13" t="n">
        <f aca="false">N(INDEX('05 MATERIAL RATE LIBRARY'!$E$5:$E$400,MATCH("MAT-CND-050",'05 MATERIAL RATE LIBRARY'!$A$5:$A$400,0)))</f>
        <v>32.4</v>
      </c>
      <c r="H2393" s="19" t="n">
        <f aca="false">W_Pipe</f>
        <v>0.05</v>
      </c>
      <c r="I2393" s="18" t="n">
        <f aca="false">F2393*(1+H2393)</f>
        <v>1.05</v>
      </c>
      <c r="J2393" s="13" t="n">
        <f aca="false">I2393*G2393</f>
        <v>34.02</v>
      </c>
      <c r="K2393" s="20" t="str">
        <f aca="false">IF(INDEX('05 MATERIAL RATE LIBRARY'!$M$5:$M$400,MATCH("MAT-CND-050",'05 MATERIAL RATE LIBRARY'!$A$5:$A$400,0))=1,"",IF(INDEX('05 MATERIAL RATE LIBRARY'!$M$5:$M$400,MATCH("MAT-CND-050",'05 MATERIAL RATE LIBRARY'!$A$5:$A$400,0))=2,"OLD RATE","NO RATE"))</f>
        <v/>
      </c>
    </row>
    <row r="2394" customFormat="false" ht="15" hidden="false" customHeight="true" outlineLevel="0" collapsed="false">
      <c r="A2394" s="9" t="s">
        <v>583</v>
      </c>
      <c r="B2394" s="9" t="s">
        <v>798</v>
      </c>
      <c r="C2394" s="9" t="s">
        <v>1331</v>
      </c>
      <c r="D2394" s="5" t="s">
        <v>1332</v>
      </c>
      <c r="E2394" s="9" t="s">
        <v>368</v>
      </c>
      <c r="F2394" s="18" t="n">
        <v>0.1</v>
      </c>
      <c r="G2394" s="13" t="n">
        <f aca="false">N(INDEX('05 MATERIAL RATE LIBRARY'!$E$5:$E$400,MATCH("MAT-CND-050-SO",'05 MATERIAL RATE LIBRARY'!$A$5:$A$400,0)))</f>
        <v>11.7</v>
      </c>
      <c r="H2394" s="21" t="n">
        <v>0</v>
      </c>
      <c r="I2394" s="18" t="n">
        <f aca="false">F2394*(1+H2394)</f>
        <v>0.1</v>
      </c>
      <c r="J2394" s="13" t="n">
        <f aca="false">I2394*G2394</f>
        <v>1.17</v>
      </c>
      <c r="K2394" s="20" t="str">
        <f aca="false">IF(INDEX('05 MATERIAL RATE LIBRARY'!$M$5:$M$400,MATCH("MAT-CND-050-SO",'05 MATERIAL RATE LIBRARY'!$A$5:$A$400,0))=1,"",IF(INDEX('05 MATERIAL RATE LIBRARY'!$M$5:$M$400,MATCH("MAT-CND-050-SO",'05 MATERIAL RATE LIBRARY'!$A$5:$A$400,0))=2,"OLD RATE","NO RATE"))</f>
        <v/>
      </c>
    </row>
    <row r="2395" customFormat="false" ht="15" hidden="false" customHeight="true" outlineLevel="0" collapsed="false">
      <c r="A2395" s="9" t="s">
        <v>583</v>
      </c>
      <c r="B2395" s="9" t="s">
        <v>798</v>
      </c>
      <c r="C2395" s="9" t="s">
        <v>1333</v>
      </c>
      <c r="D2395" s="5" t="s">
        <v>1334</v>
      </c>
      <c r="E2395" s="9" t="s">
        <v>368</v>
      </c>
      <c r="F2395" s="18" t="n">
        <v>0.1</v>
      </c>
      <c r="G2395" s="13" t="n">
        <f aca="false">N(INDEX('05 MATERIAL RATE LIBRARY'!$E$5:$E$400,MATCH("MAT-CND-050-BN",'05 MATERIAL RATE LIBRARY'!$A$5:$A$400,0)))</f>
        <v>21.7</v>
      </c>
      <c r="H2395" s="21" t="n">
        <v>0</v>
      </c>
      <c r="I2395" s="18" t="n">
        <f aca="false">F2395*(1+H2395)</f>
        <v>0.1</v>
      </c>
      <c r="J2395" s="13" t="n">
        <f aca="false">I2395*G2395</f>
        <v>2.17</v>
      </c>
      <c r="K2395" s="20" t="str">
        <f aca="false">IF(INDEX('05 MATERIAL RATE LIBRARY'!$M$5:$M$400,MATCH("MAT-CND-050-BN",'05 MATERIAL RATE LIBRARY'!$A$5:$A$400,0))=1,"",IF(INDEX('05 MATERIAL RATE LIBRARY'!$M$5:$M$400,MATCH("MAT-CND-050-BN",'05 MATERIAL RATE LIBRARY'!$A$5:$A$400,0))=2,"OLD RATE","NO RATE"))</f>
        <v/>
      </c>
    </row>
    <row r="2396" customFormat="false" ht="15" hidden="false" customHeight="true" outlineLevel="0" collapsed="false">
      <c r="A2396" s="9" t="s">
        <v>583</v>
      </c>
      <c r="B2396" s="9" t="s">
        <v>812</v>
      </c>
      <c r="C2396" s="9" t="s">
        <v>1249</v>
      </c>
      <c r="D2396" s="5" t="s">
        <v>1335</v>
      </c>
      <c r="E2396" s="9" t="s">
        <v>815</v>
      </c>
      <c r="F2396" s="18" t="n">
        <f aca="false">1/120</f>
        <v>0.00833333333333333</v>
      </c>
      <c r="G2396" s="13" t="n">
        <f aca="false">N(INDEX('06 LABOUR RATE LIBRARY'!$D$5:$D$100,MATCH("LAB-ELC",'06 LABOUR RATE LIBRARY'!$A$5:$A$100,0)))</f>
        <v>2800</v>
      </c>
      <c r="H2396" s="21" t="n">
        <v>0</v>
      </c>
      <c r="I2396" s="18" t="n">
        <f aca="false">F2396*(1+H2396)</f>
        <v>0.00833333333333333</v>
      </c>
      <c r="J2396" s="13" t="n">
        <f aca="false">I2396*G2396</f>
        <v>23.3333333333333</v>
      </c>
      <c r="K2396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397" customFormat="false" ht="15" hidden="false" customHeight="true" outlineLevel="0" collapsed="false">
      <c r="A2397" s="9" t="s">
        <v>583</v>
      </c>
      <c r="B2397" s="9" t="s">
        <v>812</v>
      </c>
      <c r="C2397" s="9" t="s">
        <v>816</v>
      </c>
      <c r="D2397" s="5" t="s">
        <v>1336</v>
      </c>
      <c r="E2397" s="9" t="s">
        <v>815</v>
      </c>
      <c r="F2397" s="18" t="n">
        <f aca="false">1/120</f>
        <v>0.00833333333333333</v>
      </c>
      <c r="G2397" s="13" t="n">
        <f aca="false">N(INDEX('06 LABOUR RATE LIBRARY'!$D$5:$D$100,MATCH("LAB-HLP",'06 LABOUR RATE LIBRARY'!$A$5:$A$100,0)))</f>
        <v>1538</v>
      </c>
      <c r="H2397" s="21" t="n">
        <v>0</v>
      </c>
      <c r="I2397" s="18" t="n">
        <f aca="false">F2397*(1+H2397)</f>
        <v>0.00833333333333333</v>
      </c>
      <c r="J2397" s="13" t="n">
        <f aca="false">I2397*G2397</f>
        <v>12.8166666666667</v>
      </c>
      <c r="K239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398" customFormat="false" ht="15" hidden="false" customHeight="true" outlineLevel="0" collapsed="false">
      <c r="D2398" s="22" t="s">
        <v>825</v>
      </c>
      <c r="J2398" s="23" t="n">
        <f aca="false">SUMPRODUCT((B2393:B2397="Material")*F2393:F2397*G2393:G2397)</f>
        <v>35.74</v>
      </c>
    </row>
    <row r="2399" customFormat="false" ht="15" hidden="false" customHeight="true" outlineLevel="0" collapsed="false">
      <c r="D2399" s="22" t="s">
        <v>826</v>
      </c>
      <c r="J2399" s="23" t="n">
        <f aca="false">SUMIF(B2393:B2397,"Material",J2393:J2397)-J2398</f>
        <v>1.62</v>
      </c>
    </row>
    <row r="2400" customFormat="false" ht="15" hidden="false" customHeight="true" outlineLevel="0" collapsed="false">
      <c r="D2400" s="24" t="s">
        <v>827</v>
      </c>
      <c r="J2400" s="14" t="n">
        <f aca="false">SUMIF(B2393:B2397,"Material",J2393:J2397)</f>
        <v>37.36</v>
      </c>
    </row>
    <row r="2401" customFormat="false" ht="15" hidden="false" customHeight="true" outlineLevel="0" collapsed="false">
      <c r="D2401" s="24" t="s">
        <v>828</v>
      </c>
      <c r="J2401" s="14" t="n">
        <f aca="false">SUMIF(B2393:B2397,"Labour",J2393:J2397)</f>
        <v>36.15</v>
      </c>
    </row>
    <row r="2402" customFormat="false" ht="15" hidden="false" customHeight="true" outlineLevel="0" collapsed="false">
      <c r="D2402" s="24" t="s">
        <v>829</v>
      </c>
      <c r="J2402" s="14" t="n">
        <f aca="false">SUMIF(B2393:B2397,"Equipment",J2393:J2397)</f>
        <v>0</v>
      </c>
    </row>
    <row r="2403" customFormat="false" ht="15" hidden="false" customHeight="true" outlineLevel="0" collapsed="false">
      <c r="D2403" s="24" t="s">
        <v>830</v>
      </c>
      <c r="J2403" s="14" t="n">
        <f aca="false">SUMIF(B2393:B2397,"Transport",J2393:J2397)</f>
        <v>0</v>
      </c>
    </row>
    <row r="2404" customFormat="false" ht="15" hidden="false" customHeight="true" outlineLevel="0" collapsed="false">
      <c r="D2404" s="24" t="s">
        <v>831</v>
      </c>
      <c r="J2404" s="14" t="n">
        <f aca="false">J2400+J2401+J2402+J2403</f>
        <v>73.51</v>
      </c>
    </row>
    <row r="2405" customFormat="false" ht="15" hidden="false" customHeight="true" outlineLevel="0" collapsed="false">
      <c r="D2405" s="22" t="s">
        <v>832</v>
      </c>
      <c r="J2405" s="23" t="n">
        <f aca="false">J2404*OH_Site</f>
        <v>2.2053</v>
      </c>
    </row>
    <row r="2406" customFormat="false" ht="15" hidden="false" customHeight="true" outlineLevel="0" collapsed="false">
      <c r="D2406" s="22" t="s">
        <v>833</v>
      </c>
      <c r="J2406" s="23" t="n">
        <f aca="false">J2404*OH_HO</f>
        <v>3.6755</v>
      </c>
    </row>
    <row r="2407" customFormat="false" ht="15" hidden="false" customHeight="true" outlineLevel="0" collapsed="false">
      <c r="D2407" s="22" t="s">
        <v>834</v>
      </c>
      <c r="J2407" s="23" t="n">
        <f aca="false">J2404*Profit</f>
        <v>7.351</v>
      </c>
    </row>
    <row r="2408" customFormat="false" ht="15" hidden="false" customHeight="true" outlineLevel="0" collapsed="false">
      <c r="D2408" s="24" t="s">
        <v>835</v>
      </c>
      <c r="J2408" s="14" t="n">
        <f aca="false">J2404+J2405+J2406+J2407</f>
        <v>86.7418</v>
      </c>
    </row>
    <row r="2409" customFormat="false" ht="15" hidden="false" customHeight="true" outlineLevel="0" collapsed="false">
      <c r="D2409" s="22" t="s">
        <v>836</v>
      </c>
      <c r="J2409" s="23" t="n">
        <f aca="false">IF(Tax_On="Yes",J2408*N(Tax_Rate),0)</f>
        <v>0</v>
      </c>
    </row>
    <row r="2410" customFormat="false" ht="15" hidden="false" customHeight="true" outlineLevel="0" collapsed="false">
      <c r="D2410" s="24" t="s">
        <v>1069</v>
      </c>
      <c r="J2410" s="14" t="n">
        <f aca="false">ROUND(J2408+J2409,0)</f>
        <v>87</v>
      </c>
    </row>
    <row r="2411" customFormat="false" ht="15" hidden="false" customHeight="true" outlineLevel="0" collapsed="false">
      <c r="D2411" s="25" t="s">
        <v>838</v>
      </c>
      <c r="J2411" s="26" t="n">
        <f aca="false">COUNTIF(K2393:K2397,"NO RATE")+COUNTIF(K2393:K2397,"OLD RATE")</f>
        <v>0</v>
      </c>
    </row>
    <row r="2413" customFormat="false" ht="39.75" hidden="false" customHeight="true" outlineLevel="0" collapsed="false">
      <c r="A2413" s="4" t="s">
        <v>587</v>
      </c>
      <c r="B2413" s="16" t="s">
        <v>589</v>
      </c>
      <c r="C2413" s="16"/>
      <c r="D2413" s="16"/>
      <c r="E2413" s="16"/>
      <c r="F2413" s="16"/>
      <c r="G2413" s="16"/>
      <c r="H2413" s="16"/>
      <c r="I2413" s="16"/>
      <c r="J2413" s="4" t="s">
        <v>1061</v>
      </c>
      <c r="K2413" s="17"/>
    </row>
    <row r="2414" customFormat="false" ht="21.75" hidden="false" customHeight="true" outlineLevel="0" collapsed="false">
      <c r="A2414" s="12" t="s">
        <v>75</v>
      </c>
      <c r="B2414" s="12" t="s">
        <v>789</v>
      </c>
      <c r="C2414" s="12" t="s">
        <v>790</v>
      </c>
      <c r="D2414" s="12" t="s">
        <v>791</v>
      </c>
      <c r="E2414" s="12" t="s">
        <v>81</v>
      </c>
      <c r="F2414" s="12" t="s">
        <v>792</v>
      </c>
      <c r="G2414" s="12" t="s">
        <v>793</v>
      </c>
      <c r="H2414" s="12" t="s">
        <v>794</v>
      </c>
      <c r="I2414" s="12" t="s">
        <v>795</v>
      </c>
      <c r="J2414" s="12" t="s">
        <v>796</v>
      </c>
      <c r="K2414" s="12" t="s">
        <v>797</v>
      </c>
    </row>
    <row r="2415" customFormat="false" ht="15" hidden="false" customHeight="true" outlineLevel="0" collapsed="false">
      <c r="A2415" s="9" t="s">
        <v>587</v>
      </c>
      <c r="B2415" s="9" t="s">
        <v>798</v>
      </c>
      <c r="C2415" s="9" t="s">
        <v>1337</v>
      </c>
      <c r="D2415" s="5" t="s">
        <v>1244</v>
      </c>
      <c r="E2415" s="9" t="s">
        <v>386</v>
      </c>
      <c r="F2415" s="18" t="n">
        <v>1</v>
      </c>
      <c r="G2415" s="13" t="n">
        <f aca="false">N(INDEX('05 MATERIAL RATE LIBRARY'!$E$5:$E$400,MATCH("MAT-CND-125",'05 MATERIAL RATE LIBRARY'!$A$5:$A$400,0)))</f>
        <v>84.6</v>
      </c>
      <c r="H2415" s="19" t="n">
        <f aca="false">W_Pipe</f>
        <v>0.05</v>
      </c>
      <c r="I2415" s="18" t="n">
        <f aca="false">F2415*(1+H2415)</f>
        <v>1.05</v>
      </c>
      <c r="J2415" s="13" t="n">
        <f aca="false">I2415*G2415</f>
        <v>88.83</v>
      </c>
      <c r="K2415" s="20" t="str">
        <f aca="false">IF(INDEX('05 MATERIAL RATE LIBRARY'!$M$5:$M$400,MATCH("MAT-CND-125",'05 MATERIAL RATE LIBRARY'!$A$5:$A$400,0))=1,"",IF(INDEX('05 MATERIAL RATE LIBRARY'!$M$5:$M$400,MATCH("MAT-CND-125",'05 MATERIAL RATE LIBRARY'!$A$5:$A$400,0))=2,"OLD RATE","NO RATE"))</f>
        <v/>
      </c>
    </row>
    <row r="2416" customFormat="false" ht="15" hidden="false" customHeight="true" outlineLevel="0" collapsed="false">
      <c r="A2416" s="9" t="s">
        <v>587</v>
      </c>
      <c r="B2416" s="9" t="s">
        <v>798</v>
      </c>
      <c r="C2416" s="9" t="s">
        <v>1338</v>
      </c>
      <c r="D2416" s="5" t="s">
        <v>1332</v>
      </c>
      <c r="E2416" s="9" t="s">
        <v>368</v>
      </c>
      <c r="F2416" s="18" t="n">
        <v>0.1</v>
      </c>
      <c r="G2416" s="13" t="n">
        <f aca="false">N(INDEX('05 MATERIAL RATE LIBRARY'!$E$5:$E$400,MATCH("MAT-CND-125-SO",'05 MATERIAL RATE LIBRARY'!$A$5:$A$400,0)))</f>
        <v>57</v>
      </c>
      <c r="H2416" s="21" t="n">
        <v>0</v>
      </c>
      <c r="I2416" s="18" t="n">
        <f aca="false">F2416*(1+H2416)</f>
        <v>0.1</v>
      </c>
      <c r="J2416" s="13" t="n">
        <f aca="false">I2416*G2416</f>
        <v>5.7</v>
      </c>
      <c r="K2416" s="20" t="str">
        <f aca="false">IF(INDEX('05 MATERIAL RATE LIBRARY'!$M$5:$M$400,MATCH("MAT-CND-125-SO",'05 MATERIAL RATE LIBRARY'!$A$5:$A$400,0))=1,"",IF(INDEX('05 MATERIAL RATE LIBRARY'!$M$5:$M$400,MATCH("MAT-CND-125-SO",'05 MATERIAL RATE LIBRARY'!$A$5:$A$400,0))=2,"OLD RATE","NO RATE"))</f>
        <v/>
      </c>
    </row>
    <row r="2417" customFormat="false" ht="15" hidden="false" customHeight="true" outlineLevel="0" collapsed="false">
      <c r="A2417" s="9" t="s">
        <v>587</v>
      </c>
      <c r="B2417" s="9" t="s">
        <v>798</v>
      </c>
      <c r="C2417" s="9" t="s">
        <v>1339</v>
      </c>
      <c r="D2417" s="5" t="s">
        <v>1334</v>
      </c>
      <c r="E2417" s="9" t="s">
        <v>368</v>
      </c>
      <c r="F2417" s="18" t="n">
        <v>0.1</v>
      </c>
      <c r="G2417" s="13" t="n">
        <f aca="false">N(INDEX('05 MATERIAL RATE LIBRARY'!$E$5:$E$400,MATCH("MAT-CND-125-BN",'05 MATERIAL RATE LIBRARY'!$A$5:$A$400,0)))</f>
        <v>101</v>
      </c>
      <c r="H2417" s="21" t="n">
        <v>0</v>
      </c>
      <c r="I2417" s="18" t="n">
        <f aca="false">F2417*(1+H2417)</f>
        <v>0.1</v>
      </c>
      <c r="J2417" s="13" t="n">
        <f aca="false">I2417*G2417</f>
        <v>10.1</v>
      </c>
      <c r="K2417" s="20" t="str">
        <f aca="false">IF(INDEX('05 MATERIAL RATE LIBRARY'!$M$5:$M$400,MATCH("MAT-CND-125-BN",'05 MATERIAL RATE LIBRARY'!$A$5:$A$400,0))=1,"",IF(INDEX('05 MATERIAL RATE LIBRARY'!$M$5:$M$400,MATCH("MAT-CND-125-BN",'05 MATERIAL RATE LIBRARY'!$A$5:$A$400,0))=2,"OLD RATE","NO RATE"))</f>
        <v/>
      </c>
    </row>
    <row r="2418" customFormat="false" ht="15" hidden="false" customHeight="true" outlineLevel="0" collapsed="false">
      <c r="A2418" s="9" t="s">
        <v>587</v>
      </c>
      <c r="B2418" s="9" t="s">
        <v>812</v>
      </c>
      <c r="C2418" s="9" t="s">
        <v>1249</v>
      </c>
      <c r="D2418" s="5" t="s">
        <v>1340</v>
      </c>
      <c r="E2418" s="9" t="s">
        <v>815</v>
      </c>
      <c r="F2418" s="18" t="n">
        <f aca="false">1/70</f>
        <v>0.0142857142857143</v>
      </c>
      <c r="G2418" s="13" t="n">
        <f aca="false">N(INDEX('06 LABOUR RATE LIBRARY'!$D$5:$D$100,MATCH("LAB-ELC",'06 LABOUR RATE LIBRARY'!$A$5:$A$100,0)))</f>
        <v>2800</v>
      </c>
      <c r="H2418" s="21" t="n">
        <v>0</v>
      </c>
      <c r="I2418" s="18" t="n">
        <f aca="false">F2418*(1+H2418)</f>
        <v>0.0142857142857143</v>
      </c>
      <c r="J2418" s="13" t="n">
        <f aca="false">I2418*G2418</f>
        <v>40</v>
      </c>
      <c r="K2418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419" customFormat="false" ht="15" hidden="false" customHeight="true" outlineLevel="0" collapsed="false">
      <c r="A2419" s="9" t="s">
        <v>587</v>
      </c>
      <c r="B2419" s="9" t="s">
        <v>812</v>
      </c>
      <c r="C2419" s="9" t="s">
        <v>816</v>
      </c>
      <c r="D2419" s="5" t="s">
        <v>1341</v>
      </c>
      <c r="E2419" s="9" t="s">
        <v>815</v>
      </c>
      <c r="F2419" s="18" t="n">
        <f aca="false">1/70</f>
        <v>0.0142857142857143</v>
      </c>
      <c r="G2419" s="13" t="n">
        <f aca="false">N(INDEX('06 LABOUR RATE LIBRARY'!$D$5:$D$100,MATCH("LAB-HLP",'06 LABOUR RATE LIBRARY'!$A$5:$A$100,0)))</f>
        <v>1538</v>
      </c>
      <c r="H2419" s="21" t="n">
        <v>0</v>
      </c>
      <c r="I2419" s="18" t="n">
        <f aca="false">F2419*(1+H2419)</f>
        <v>0.0142857142857143</v>
      </c>
      <c r="J2419" s="13" t="n">
        <f aca="false">I2419*G2419</f>
        <v>21.9714285714286</v>
      </c>
      <c r="K241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420" customFormat="false" ht="15" hidden="false" customHeight="true" outlineLevel="0" collapsed="false">
      <c r="D2420" s="22" t="s">
        <v>825</v>
      </c>
      <c r="J2420" s="23" t="n">
        <f aca="false">SUMPRODUCT((B2415:B2419="Material")*F2415:F2419*G2415:G2419)</f>
        <v>100.4</v>
      </c>
    </row>
    <row r="2421" customFormat="false" ht="15" hidden="false" customHeight="true" outlineLevel="0" collapsed="false">
      <c r="D2421" s="22" t="s">
        <v>826</v>
      </c>
      <c r="J2421" s="23" t="n">
        <f aca="false">SUMIF(B2415:B2419,"Material",J2415:J2419)-J2420</f>
        <v>4.23</v>
      </c>
    </row>
    <row r="2422" customFormat="false" ht="15" hidden="false" customHeight="true" outlineLevel="0" collapsed="false">
      <c r="D2422" s="24" t="s">
        <v>827</v>
      </c>
      <c r="J2422" s="14" t="n">
        <f aca="false">SUMIF(B2415:B2419,"Material",J2415:J2419)</f>
        <v>104.63</v>
      </c>
    </row>
    <row r="2423" customFormat="false" ht="15" hidden="false" customHeight="true" outlineLevel="0" collapsed="false">
      <c r="D2423" s="24" t="s">
        <v>828</v>
      </c>
      <c r="J2423" s="14" t="n">
        <f aca="false">SUMIF(B2415:B2419,"Labour",J2415:J2419)</f>
        <v>61.9714285714286</v>
      </c>
    </row>
    <row r="2424" customFormat="false" ht="15" hidden="false" customHeight="true" outlineLevel="0" collapsed="false">
      <c r="D2424" s="24" t="s">
        <v>829</v>
      </c>
      <c r="J2424" s="14" t="n">
        <f aca="false">SUMIF(B2415:B2419,"Equipment",J2415:J2419)</f>
        <v>0</v>
      </c>
    </row>
    <row r="2425" customFormat="false" ht="15" hidden="false" customHeight="true" outlineLevel="0" collapsed="false">
      <c r="D2425" s="24" t="s">
        <v>830</v>
      </c>
      <c r="J2425" s="14" t="n">
        <f aca="false">SUMIF(B2415:B2419,"Transport",J2415:J2419)</f>
        <v>0</v>
      </c>
    </row>
    <row r="2426" customFormat="false" ht="15" hidden="false" customHeight="true" outlineLevel="0" collapsed="false">
      <c r="D2426" s="24" t="s">
        <v>831</v>
      </c>
      <c r="J2426" s="14" t="n">
        <f aca="false">J2422+J2423+J2424+J2425</f>
        <v>166.601428571429</v>
      </c>
    </row>
    <row r="2427" customFormat="false" ht="15" hidden="false" customHeight="true" outlineLevel="0" collapsed="false">
      <c r="D2427" s="22" t="s">
        <v>832</v>
      </c>
      <c r="J2427" s="23" t="n">
        <f aca="false">J2426*OH_Site</f>
        <v>4.99804285714286</v>
      </c>
    </row>
    <row r="2428" customFormat="false" ht="15" hidden="false" customHeight="true" outlineLevel="0" collapsed="false">
      <c r="D2428" s="22" t="s">
        <v>833</v>
      </c>
      <c r="J2428" s="23" t="n">
        <f aca="false">J2426*OH_HO</f>
        <v>8.33007142857143</v>
      </c>
    </row>
    <row r="2429" customFormat="false" ht="15" hidden="false" customHeight="true" outlineLevel="0" collapsed="false">
      <c r="D2429" s="22" t="s">
        <v>834</v>
      </c>
      <c r="J2429" s="23" t="n">
        <f aca="false">J2426*Profit</f>
        <v>16.6601428571429</v>
      </c>
    </row>
    <row r="2430" customFormat="false" ht="15" hidden="false" customHeight="true" outlineLevel="0" collapsed="false">
      <c r="D2430" s="24" t="s">
        <v>835</v>
      </c>
      <c r="J2430" s="14" t="n">
        <f aca="false">J2426+J2427+J2428+J2429</f>
        <v>196.589685714286</v>
      </c>
    </row>
    <row r="2431" customFormat="false" ht="15" hidden="false" customHeight="true" outlineLevel="0" collapsed="false">
      <c r="D2431" s="22" t="s">
        <v>836</v>
      </c>
      <c r="J2431" s="23" t="n">
        <f aca="false">IF(Tax_On="Yes",J2430*N(Tax_Rate),0)</f>
        <v>0</v>
      </c>
    </row>
    <row r="2432" customFormat="false" ht="15" hidden="false" customHeight="true" outlineLevel="0" collapsed="false">
      <c r="D2432" s="24" t="s">
        <v>1069</v>
      </c>
      <c r="J2432" s="14" t="n">
        <f aca="false">ROUND(J2430+J2431,0)</f>
        <v>197</v>
      </c>
    </row>
    <row r="2433" customFormat="false" ht="15" hidden="false" customHeight="true" outlineLevel="0" collapsed="false">
      <c r="D2433" s="25" t="s">
        <v>838</v>
      </c>
      <c r="J2433" s="26" t="n">
        <f aca="false">COUNTIF(K2415:K2419,"NO RATE")+COUNTIF(K2415:K2419,"OLD RATE")</f>
        <v>0</v>
      </c>
    </row>
    <row r="2435" customFormat="false" ht="39.75" hidden="false" customHeight="true" outlineLevel="0" collapsed="false">
      <c r="A2435" s="4" t="s">
        <v>591</v>
      </c>
      <c r="B2435" s="16" t="s">
        <v>593</v>
      </c>
      <c r="C2435" s="16"/>
      <c r="D2435" s="16"/>
      <c r="E2435" s="16"/>
      <c r="F2435" s="16"/>
      <c r="G2435" s="16"/>
      <c r="H2435" s="16"/>
      <c r="I2435" s="16"/>
      <c r="J2435" s="4" t="s">
        <v>1061</v>
      </c>
      <c r="K2435" s="17"/>
    </row>
    <row r="2436" customFormat="false" ht="21.75" hidden="false" customHeight="true" outlineLevel="0" collapsed="false">
      <c r="A2436" s="12" t="s">
        <v>75</v>
      </c>
      <c r="B2436" s="12" t="s">
        <v>789</v>
      </c>
      <c r="C2436" s="12" t="s">
        <v>790</v>
      </c>
      <c r="D2436" s="12" t="s">
        <v>791</v>
      </c>
      <c r="E2436" s="12" t="s">
        <v>81</v>
      </c>
      <c r="F2436" s="12" t="s">
        <v>792</v>
      </c>
      <c r="G2436" s="12" t="s">
        <v>793</v>
      </c>
      <c r="H2436" s="12" t="s">
        <v>794</v>
      </c>
      <c r="I2436" s="12" t="s">
        <v>795</v>
      </c>
      <c r="J2436" s="12" t="s">
        <v>796</v>
      </c>
      <c r="K2436" s="12" t="s">
        <v>797</v>
      </c>
    </row>
    <row r="2437" customFormat="false" ht="15" hidden="false" customHeight="true" outlineLevel="0" collapsed="false">
      <c r="A2437" s="9" t="s">
        <v>591</v>
      </c>
      <c r="B2437" s="9" t="s">
        <v>798</v>
      </c>
      <c r="C2437" s="9" t="s">
        <v>1342</v>
      </c>
      <c r="D2437" s="5" t="s">
        <v>1244</v>
      </c>
      <c r="E2437" s="9" t="s">
        <v>386</v>
      </c>
      <c r="F2437" s="18" t="n">
        <v>1</v>
      </c>
      <c r="G2437" s="13" t="n">
        <f aca="false">N(INDEX('05 MATERIAL RATE LIBRARY'!$E$5:$E$400,MATCH("MAT-CND-150",'05 MATERIAL RATE LIBRARY'!$A$5:$A$400,0)))</f>
        <v>117</v>
      </c>
      <c r="H2437" s="19" t="n">
        <f aca="false">W_Pipe</f>
        <v>0.05</v>
      </c>
      <c r="I2437" s="18" t="n">
        <f aca="false">F2437*(1+H2437)</f>
        <v>1.05</v>
      </c>
      <c r="J2437" s="13" t="n">
        <f aca="false">I2437*G2437</f>
        <v>122.85</v>
      </c>
      <c r="K2437" s="20" t="str">
        <f aca="false">IF(INDEX('05 MATERIAL RATE LIBRARY'!$M$5:$M$400,MATCH("MAT-CND-150",'05 MATERIAL RATE LIBRARY'!$A$5:$A$400,0))=1,"",IF(INDEX('05 MATERIAL RATE LIBRARY'!$M$5:$M$400,MATCH("MAT-CND-150",'05 MATERIAL RATE LIBRARY'!$A$5:$A$400,0))=2,"OLD RATE","NO RATE"))</f>
        <v/>
      </c>
    </row>
    <row r="2438" customFormat="false" ht="15" hidden="false" customHeight="true" outlineLevel="0" collapsed="false">
      <c r="A2438" s="9" t="s">
        <v>591</v>
      </c>
      <c r="B2438" s="9" t="s">
        <v>798</v>
      </c>
      <c r="C2438" s="9" t="s">
        <v>1343</v>
      </c>
      <c r="D2438" s="5" t="s">
        <v>1332</v>
      </c>
      <c r="E2438" s="9" t="s">
        <v>368</v>
      </c>
      <c r="F2438" s="18" t="n">
        <v>0.1</v>
      </c>
      <c r="G2438" s="13" t="n">
        <f aca="false">N(INDEX('05 MATERIAL RATE LIBRARY'!$E$5:$E$400,MATCH("MAT-CND-150-SO",'05 MATERIAL RATE LIBRARY'!$A$5:$A$400,0)))</f>
        <v>77</v>
      </c>
      <c r="H2438" s="21" t="n">
        <v>0</v>
      </c>
      <c r="I2438" s="18" t="n">
        <f aca="false">F2438*(1+H2438)</f>
        <v>0.1</v>
      </c>
      <c r="J2438" s="13" t="n">
        <f aca="false">I2438*G2438</f>
        <v>7.7</v>
      </c>
      <c r="K2438" s="20" t="str">
        <f aca="false">IF(INDEX('05 MATERIAL RATE LIBRARY'!$M$5:$M$400,MATCH("MAT-CND-150-SO",'05 MATERIAL RATE LIBRARY'!$A$5:$A$400,0))=1,"",IF(INDEX('05 MATERIAL RATE LIBRARY'!$M$5:$M$400,MATCH("MAT-CND-150-SO",'05 MATERIAL RATE LIBRARY'!$A$5:$A$400,0))=2,"OLD RATE","NO RATE"))</f>
        <v/>
      </c>
    </row>
    <row r="2439" customFormat="false" ht="15" hidden="false" customHeight="true" outlineLevel="0" collapsed="false">
      <c r="A2439" s="9" t="s">
        <v>591</v>
      </c>
      <c r="B2439" s="9" t="s">
        <v>798</v>
      </c>
      <c r="C2439" s="9" t="s">
        <v>1344</v>
      </c>
      <c r="D2439" s="5" t="s">
        <v>1334</v>
      </c>
      <c r="E2439" s="9" t="s">
        <v>368</v>
      </c>
      <c r="F2439" s="18" t="n">
        <v>0.1</v>
      </c>
      <c r="G2439" s="13" t="n">
        <f aca="false">N(INDEX('05 MATERIAL RATE LIBRARY'!$E$5:$E$400,MATCH("MAT-CND-150-BN",'05 MATERIAL RATE LIBRARY'!$A$5:$A$400,0)))</f>
        <v>139</v>
      </c>
      <c r="H2439" s="21" t="n">
        <v>0</v>
      </c>
      <c r="I2439" s="18" t="n">
        <f aca="false">F2439*(1+H2439)</f>
        <v>0.1</v>
      </c>
      <c r="J2439" s="13" t="n">
        <f aca="false">I2439*G2439</f>
        <v>13.9</v>
      </c>
      <c r="K2439" s="20" t="str">
        <f aca="false">IF(INDEX('05 MATERIAL RATE LIBRARY'!$M$5:$M$400,MATCH("MAT-CND-150-BN",'05 MATERIAL RATE LIBRARY'!$A$5:$A$400,0))=1,"",IF(INDEX('05 MATERIAL RATE LIBRARY'!$M$5:$M$400,MATCH("MAT-CND-150-BN",'05 MATERIAL RATE LIBRARY'!$A$5:$A$400,0))=2,"OLD RATE","NO RATE"))</f>
        <v/>
      </c>
    </row>
    <row r="2440" customFormat="false" ht="15" hidden="false" customHeight="true" outlineLevel="0" collapsed="false">
      <c r="A2440" s="9" t="s">
        <v>591</v>
      </c>
      <c r="B2440" s="9" t="s">
        <v>812</v>
      </c>
      <c r="C2440" s="9" t="s">
        <v>1249</v>
      </c>
      <c r="D2440" s="5" t="s">
        <v>1340</v>
      </c>
      <c r="E2440" s="9" t="s">
        <v>815</v>
      </c>
      <c r="F2440" s="18" t="n">
        <f aca="false">1/70</f>
        <v>0.0142857142857143</v>
      </c>
      <c r="G2440" s="13" t="n">
        <f aca="false">N(INDEX('06 LABOUR RATE LIBRARY'!$D$5:$D$100,MATCH("LAB-ELC",'06 LABOUR RATE LIBRARY'!$A$5:$A$100,0)))</f>
        <v>2800</v>
      </c>
      <c r="H2440" s="21" t="n">
        <v>0</v>
      </c>
      <c r="I2440" s="18" t="n">
        <f aca="false">F2440*(1+H2440)</f>
        <v>0.0142857142857143</v>
      </c>
      <c r="J2440" s="13" t="n">
        <f aca="false">I2440*G2440</f>
        <v>40</v>
      </c>
      <c r="K2440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441" customFormat="false" ht="15" hidden="false" customHeight="true" outlineLevel="0" collapsed="false">
      <c r="A2441" s="9" t="s">
        <v>591</v>
      </c>
      <c r="B2441" s="9" t="s">
        <v>812</v>
      </c>
      <c r="C2441" s="9" t="s">
        <v>816</v>
      </c>
      <c r="D2441" s="5" t="s">
        <v>1341</v>
      </c>
      <c r="E2441" s="9" t="s">
        <v>815</v>
      </c>
      <c r="F2441" s="18" t="n">
        <f aca="false">1/70</f>
        <v>0.0142857142857143</v>
      </c>
      <c r="G2441" s="13" t="n">
        <f aca="false">N(INDEX('06 LABOUR RATE LIBRARY'!$D$5:$D$100,MATCH("LAB-HLP",'06 LABOUR RATE LIBRARY'!$A$5:$A$100,0)))</f>
        <v>1538</v>
      </c>
      <c r="H2441" s="21" t="n">
        <v>0</v>
      </c>
      <c r="I2441" s="18" t="n">
        <f aca="false">F2441*(1+H2441)</f>
        <v>0.0142857142857143</v>
      </c>
      <c r="J2441" s="13" t="n">
        <f aca="false">I2441*G2441</f>
        <v>21.9714285714286</v>
      </c>
      <c r="K244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442" customFormat="false" ht="15" hidden="false" customHeight="true" outlineLevel="0" collapsed="false">
      <c r="D2442" s="22" t="s">
        <v>825</v>
      </c>
      <c r="J2442" s="23" t="n">
        <f aca="false">SUMPRODUCT((B2437:B2441="Material")*F2437:F2441*G2437:G2441)</f>
        <v>138.6</v>
      </c>
    </row>
    <row r="2443" customFormat="false" ht="15" hidden="false" customHeight="true" outlineLevel="0" collapsed="false">
      <c r="D2443" s="22" t="s">
        <v>826</v>
      </c>
      <c r="J2443" s="23" t="n">
        <f aca="false">SUMIF(B2437:B2441,"Material",J2437:J2441)-J2442</f>
        <v>5.85000000000002</v>
      </c>
    </row>
    <row r="2444" customFormat="false" ht="15" hidden="false" customHeight="true" outlineLevel="0" collapsed="false">
      <c r="D2444" s="24" t="s">
        <v>827</v>
      </c>
      <c r="J2444" s="14" t="n">
        <f aca="false">SUMIF(B2437:B2441,"Material",J2437:J2441)</f>
        <v>144.45</v>
      </c>
    </row>
    <row r="2445" customFormat="false" ht="15" hidden="false" customHeight="true" outlineLevel="0" collapsed="false">
      <c r="D2445" s="24" t="s">
        <v>828</v>
      </c>
      <c r="J2445" s="14" t="n">
        <f aca="false">SUMIF(B2437:B2441,"Labour",J2437:J2441)</f>
        <v>61.9714285714286</v>
      </c>
    </row>
    <row r="2446" customFormat="false" ht="15" hidden="false" customHeight="true" outlineLevel="0" collapsed="false">
      <c r="D2446" s="24" t="s">
        <v>829</v>
      </c>
      <c r="J2446" s="14" t="n">
        <f aca="false">SUMIF(B2437:B2441,"Equipment",J2437:J2441)</f>
        <v>0</v>
      </c>
    </row>
    <row r="2447" customFormat="false" ht="15" hidden="false" customHeight="true" outlineLevel="0" collapsed="false">
      <c r="D2447" s="24" t="s">
        <v>830</v>
      </c>
      <c r="J2447" s="14" t="n">
        <f aca="false">SUMIF(B2437:B2441,"Transport",J2437:J2441)</f>
        <v>0</v>
      </c>
    </row>
    <row r="2448" customFormat="false" ht="15" hidden="false" customHeight="true" outlineLevel="0" collapsed="false">
      <c r="D2448" s="24" t="s">
        <v>831</v>
      </c>
      <c r="J2448" s="14" t="n">
        <f aca="false">J2444+J2445+J2446+J2447</f>
        <v>206.421428571429</v>
      </c>
    </row>
    <row r="2449" customFormat="false" ht="15" hidden="false" customHeight="true" outlineLevel="0" collapsed="false">
      <c r="D2449" s="22" t="s">
        <v>832</v>
      </c>
      <c r="J2449" s="23" t="n">
        <f aca="false">J2448*OH_Site</f>
        <v>6.19264285714286</v>
      </c>
    </row>
    <row r="2450" customFormat="false" ht="15" hidden="false" customHeight="true" outlineLevel="0" collapsed="false">
      <c r="D2450" s="22" t="s">
        <v>833</v>
      </c>
      <c r="J2450" s="23" t="n">
        <f aca="false">J2448*OH_HO</f>
        <v>10.3210714285714</v>
      </c>
    </row>
    <row r="2451" customFormat="false" ht="15" hidden="false" customHeight="true" outlineLevel="0" collapsed="false">
      <c r="D2451" s="22" t="s">
        <v>834</v>
      </c>
      <c r="J2451" s="23" t="n">
        <f aca="false">J2448*Profit</f>
        <v>20.6421428571429</v>
      </c>
    </row>
    <row r="2452" customFormat="false" ht="15" hidden="false" customHeight="true" outlineLevel="0" collapsed="false">
      <c r="D2452" s="24" t="s">
        <v>835</v>
      </c>
      <c r="J2452" s="14" t="n">
        <f aca="false">J2448+J2449+J2450+J2451</f>
        <v>243.577285714286</v>
      </c>
    </row>
    <row r="2453" customFormat="false" ht="15" hidden="false" customHeight="true" outlineLevel="0" collapsed="false">
      <c r="D2453" s="22" t="s">
        <v>836</v>
      </c>
      <c r="J2453" s="23" t="n">
        <f aca="false">IF(Tax_On="Yes",J2452*N(Tax_Rate),0)</f>
        <v>0</v>
      </c>
    </row>
    <row r="2454" customFormat="false" ht="15" hidden="false" customHeight="true" outlineLevel="0" collapsed="false">
      <c r="D2454" s="24" t="s">
        <v>1069</v>
      </c>
      <c r="J2454" s="14" t="n">
        <f aca="false">ROUND(J2452+J2453,0)</f>
        <v>244</v>
      </c>
    </row>
    <row r="2455" customFormat="false" ht="15" hidden="false" customHeight="true" outlineLevel="0" collapsed="false">
      <c r="D2455" s="25" t="s">
        <v>838</v>
      </c>
      <c r="J2455" s="26" t="n">
        <f aca="false">COUNTIF(K2437:K2441,"NO RATE")+COUNTIF(K2437:K2441,"OLD RATE")</f>
        <v>0</v>
      </c>
    </row>
    <row r="2457" customFormat="false" ht="39.75" hidden="false" customHeight="true" outlineLevel="0" collapsed="false">
      <c r="A2457" s="4" t="s">
        <v>594</v>
      </c>
      <c r="B2457" s="16" t="s">
        <v>596</v>
      </c>
      <c r="C2457" s="16"/>
      <c r="D2457" s="16"/>
      <c r="E2457" s="16"/>
      <c r="F2457" s="16"/>
      <c r="G2457" s="16"/>
      <c r="H2457" s="16"/>
      <c r="I2457" s="16"/>
      <c r="J2457" s="4" t="s">
        <v>1061</v>
      </c>
      <c r="K2457" s="17"/>
    </row>
    <row r="2458" customFormat="false" ht="21.75" hidden="false" customHeight="true" outlineLevel="0" collapsed="false">
      <c r="A2458" s="12" t="s">
        <v>75</v>
      </c>
      <c r="B2458" s="12" t="s">
        <v>789</v>
      </c>
      <c r="C2458" s="12" t="s">
        <v>790</v>
      </c>
      <c r="D2458" s="12" t="s">
        <v>791</v>
      </c>
      <c r="E2458" s="12" t="s">
        <v>81</v>
      </c>
      <c r="F2458" s="12" t="s">
        <v>792</v>
      </c>
      <c r="G2458" s="12" t="s">
        <v>793</v>
      </c>
      <c r="H2458" s="12" t="s">
        <v>794</v>
      </c>
      <c r="I2458" s="12" t="s">
        <v>795</v>
      </c>
      <c r="J2458" s="12" t="s">
        <v>796</v>
      </c>
      <c r="K2458" s="12" t="s">
        <v>797</v>
      </c>
    </row>
    <row r="2459" customFormat="false" ht="15" hidden="false" customHeight="true" outlineLevel="0" collapsed="false">
      <c r="A2459" s="9" t="s">
        <v>594</v>
      </c>
      <c r="B2459" s="9" t="s">
        <v>798</v>
      </c>
      <c r="C2459" s="9" t="s">
        <v>1345</v>
      </c>
      <c r="D2459" s="5" t="s">
        <v>1244</v>
      </c>
      <c r="E2459" s="9" t="s">
        <v>386</v>
      </c>
      <c r="F2459" s="18" t="n">
        <v>1</v>
      </c>
      <c r="G2459" s="13" t="n">
        <f aca="false">N(INDEX('05 MATERIAL RATE LIBRARY'!$E$5:$E$400,MATCH("MAT-CND-200",'05 MATERIAL RATE LIBRARY'!$A$5:$A$400,0)))</f>
        <v>175.5</v>
      </c>
      <c r="H2459" s="19" t="n">
        <f aca="false">W_Pipe</f>
        <v>0.05</v>
      </c>
      <c r="I2459" s="18" t="n">
        <f aca="false">F2459*(1+H2459)</f>
        <v>1.05</v>
      </c>
      <c r="J2459" s="13" t="n">
        <f aca="false">I2459*G2459</f>
        <v>184.275</v>
      </c>
      <c r="K2459" s="20" t="str">
        <f aca="false">IF(INDEX('05 MATERIAL RATE LIBRARY'!$M$5:$M$400,MATCH("MAT-CND-200",'05 MATERIAL RATE LIBRARY'!$A$5:$A$400,0))=1,"",IF(INDEX('05 MATERIAL RATE LIBRARY'!$M$5:$M$400,MATCH("MAT-CND-200",'05 MATERIAL RATE LIBRARY'!$A$5:$A$400,0))=2,"OLD RATE","NO RATE"))</f>
        <v/>
      </c>
    </row>
    <row r="2460" customFormat="false" ht="15" hidden="false" customHeight="true" outlineLevel="0" collapsed="false">
      <c r="A2460" s="9" t="s">
        <v>594</v>
      </c>
      <c r="B2460" s="9" t="s">
        <v>798</v>
      </c>
      <c r="C2460" s="9" t="s">
        <v>1346</v>
      </c>
      <c r="D2460" s="5" t="s">
        <v>1332</v>
      </c>
      <c r="E2460" s="9" t="s">
        <v>368</v>
      </c>
      <c r="F2460" s="18" t="n">
        <v>0.1</v>
      </c>
      <c r="G2460" s="13" t="n">
        <f aca="false">N(INDEX('05 MATERIAL RATE LIBRARY'!$E$5:$E$400,MATCH("MAT-CND-200-SO",'05 MATERIAL RATE LIBRARY'!$A$5:$A$400,0)))</f>
        <v>108</v>
      </c>
      <c r="H2460" s="21" t="n">
        <v>0</v>
      </c>
      <c r="I2460" s="18" t="n">
        <f aca="false">F2460*(1+H2460)</f>
        <v>0.1</v>
      </c>
      <c r="J2460" s="13" t="n">
        <f aca="false">I2460*G2460</f>
        <v>10.8</v>
      </c>
      <c r="K2460" s="20" t="str">
        <f aca="false">IF(INDEX('05 MATERIAL RATE LIBRARY'!$M$5:$M$400,MATCH("MAT-CND-200-SO",'05 MATERIAL RATE LIBRARY'!$A$5:$A$400,0))=1,"",IF(INDEX('05 MATERIAL RATE LIBRARY'!$M$5:$M$400,MATCH("MAT-CND-200-SO",'05 MATERIAL RATE LIBRARY'!$A$5:$A$400,0))=2,"OLD RATE","NO RATE"))</f>
        <v/>
      </c>
    </row>
    <row r="2461" customFormat="false" ht="15" hidden="false" customHeight="true" outlineLevel="0" collapsed="false">
      <c r="A2461" s="9" t="s">
        <v>594</v>
      </c>
      <c r="B2461" s="9" t="s">
        <v>798</v>
      </c>
      <c r="C2461" s="9" t="s">
        <v>1347</v>
      </c>
      <c r="D2461" s="5" t="s">
        <v>1334</v>
      </c>
      <c r="E2461" s="9" t="s">
        <v>368</v>
      </c>
      <c r="F2461" s="18" t="n">
        <v>0.1</v>
      </c>
      <c r="G2461" s="13" t="n">
        <f aca="false">N(INDEX('05 MATERIAL RATE LIBRARY'!$E$5:$E$400,MATCH("MAT-CND-200-BN",'05 MATERIAL RATE LIBRARY'!$A$5:$A$400,0)))</f>
        <v>219</v>
      </c>
      <c r="H2461" s="21" t="n">
        <v>0</v>
      </c>
      <c r="I2461" s="18" t="n">
        <f aca="false">F2461*(1+H2461)</f>
        <v>0.1</v>
      </c>
      <c r="J2461" s="13" t="n">
        <f aca="false">I2461*G2461</f>
        <v>21.9</v>
      </c>
      <c r="K2461" s="20" t="str">
        <f aca="false">IF(INDEX('05 MATERIAL RATE LIBRARY'!$M$5:$M$400,MATCH("MAT-CND-200-BN",'05 MATERIAL RATE LIBRARY'!$A$5:$A$400,0))=1,"",IF(INDEX('05 MATERIAL RATE LIBRARY'!$M$5:$M$400,MATCH("MAT-CND-200-BN",'05 MATERIAL RATE LIBRARY'!$A$5:$A$400,0))=2,"OLD RATE","NO RATE"))</f>
        <v/>
      </c>
    </row>
    <row r="2462" customFormat="false" ht="15" hidden="false" customHeight="true" outlineLevel="0" collapsed="false">
      <c r="A2462" s="9" t="s">
        <v>594</v>
      </c>
      <c r="B2462" s="9" t="s">
        <v>812</v>
      </c>
      <c r="C2462" s="9" t="s">
        <v>1249</v>
      </c>
      <c r="D2462" s="5" t="s">
        <v>1340</v>
      </c>
      <c r="E2462" s="9" t="s">
        <v>815</v>
      </c>
      <c r="F2462" s="18" t="n">
        <f aca="false">1/70</f>
        <v>0.0142857142857143</v>
      </c>
      <c r="G2462" s="13" t="n">
        <f aca="false">N(INDEX('06 LABOUR RATE LIBRARY'!$D$5:$D$100,MATCH("LAB-ELC",'06 LABOUR RATE LIBRARY'!$A$5:$A$100,0)))</f>
        <v>2800</v>
      </c>
      <c r="H2462" s="21" t="n">
        <v>0</v>
      </c>
      <c r="I2462" s="18" t="n">
        <f aca="false">F2462*(1+H2462)</f>
        <v>0.0142857142857143</v>
      </c>
      <c r="J2462" s="13" t="n">
        <f aca="false">I2462*G2462</f>
        <v>40</v>
      </c>
      <c r="K2462" s="20" t="str">
        <f aca="false">IF(INDEX('06 LABOUR RATE LIBRARY'!$L$5:$L$100,MATCH("LAB-ELC",'06 LABOUR RATE LIBRARY'!$A$5:$A$100,0))=1,"",IF(INDEX('06 LABOUR RATE LIBRARY'!$L$5:$L$100,MATCH("LAB-ELC",'06 LABOUR RATE LIBRARY'!$A$5:$A$100,0))=2,"OLD RATE","NO RATE"))</f>
        <v/>
      </c>
    </row>
    <row r="2463" customFormat="false" ht="15" hidden="false" customHeight="true" outlineLevel="0" collapsed="false">
      <c r="A2463" s="9" t="s">
        <v>594</v>
      </c>
      <c r="B2463" s="9" t="s">
        <v>812</v>
      </c>
      <c r="C2463" s="9" t="s">
        <v>816</v>
      </c>
      <c r="D2463" s="5" t="s">
        <v>1341</v>
      </c>
      <c r="E2463" s="9" t="s">
        <v>815</v>
      </c>
      <c r="F2463" s="18" t="n">
        <f aca="false">1/70</f>
        <v>0.0142857142857143</v>
      </c>
      <c r="G2463" s="13" t="n">
        <f aca="false">N(INDEX('06 LABOUR RATE LIBRARY'!$D$5:$D$100,MATCH("LAB-HLP",'06 LABOUR RATE LIBRARY'!$A$5:$A$100,0)))</f>
        <v>1538</v>
      </c>
      <c r="H2463" s="21" t="n">
        <v>0</v>
      </c>
      <c r="I2463" s="18" t="n">
        <f aca="false">F2463*(1+H2463)</f>
        <v>0.0142857142857143</v>
      </c>
      <c r="J2463" s="13" t="n">
        <f aca="false">I2463*G2463</f>
        <v>21.9714285714286</v>
      </c>
      <c r="K246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464" customFormat="false" ht="15" hidden="false" customHeight="true" outlineLevel="0" collapsed="false">
      <c r="D2464" s="22" t="s">
        <v>825</v>
      </c>
      <c r="J2464" s="23" t="n">
        <f aca="false">SUMPRODUCT((B2459:B2463="Material")*F2459:F2463*G2459:G2463)</f>
        <v>208.2</v>
      </c>
    </row>
    <row r="2465" customFormat="false" ht="15" hidden="false" customHeight="true" outlineLevel="0" collapsed="false">
      <c r="D2465" s="22" t="s">
        <v>826</v>
      </c>
      <c r="J2465" s="23" t="n">
        <f aca="false">SUMIF(B2459:B2463,"Material",J2459:J2463)-J2464</f>
        <v>8.77500000000003</v>
      </c>
    </row>
    <row r="2466" customFormat="false" ht="15" hidden="false" customHeight="true" outlineLevel="0" collapsed="false">
      <c r="D2466" s="24" t="s">
        <v>827</v>
      </c>
      <c r="J2466" s="14" t="n">
        <f aca="false">SUMIF(B2459:B2463,"Material",J2459:J2463)</f>
        <v>216.975</v>
      </c>
    </row>
    <row r="2467" customFormat="false" ht="15" hidden="false" customHeight="true" outlineLevel="0" collapsed="false">
      <c r="D2467" s="24" t="s">
        <v>828</v>
      </c>
      <c r="J2467" s="14" t="n">
        <f aca="false">SUMIF(B2459:B2463,"Labour",J2459:J2463)</f>
        <v>61.9714285714286</v>
      </c>
    </row>
    <row r="2468" customFormat="false" ht="15" hidden="false" customHeight="true" outlineLevel="0" collapsed="false">
      <c r="D2468" s="24" t="s">
        <v>829</v>
      </c>
      <c r="J2468" s="14" t="n">
        <f aca="false">SUMIF(B2459:B2463,"Equipment",J2459:J2463)</f>
        <v>0</v>
      </c>
    </row>
    <row r="2469" customFormat="false" ht="15" hidden="false" customHeight="true" outlineLevel="0" collapsed="false">
      <c r="D2469" s="24" t="s">
        <v>830</v>
      </c>
      <c r="J2469" s="14" t="n">
        <f aca="false">SUMIF(B2459:B2463,"Transport",J2459:J2463)</f>
        <v>0</v>
      </c>
    </row>
    <row r="2470" customFormat="false" ht="15" hidden="false" customHeight="true" outlineLevel="0" collapsed="false">
      <c r="D2470" s="24" t="s">
        <v>831</v>
      </c>
      <c r="J2470" s="14" t="n">
        <f aca="false">J2466+J2467+J2468+J2469</f>
        <v>278.946428571429</v>
      </c>
    </row>
    <row r="2471" customFormat="false" ht="15" hidden="false" customHeight="true" outlineLevel="0" collapsed="false">
      <c r="D2471" s="22" t="s">
        <v>832</v>
      </c>
      <c r="J2471" s="23" t="n">
        <f aca="false">J2470*OH_Site</f>
        <v>8.36839285714286</v>
      </c>
    </row>
    <row r="2472" customFormat="false" ht="15" hidden="false" customHeight="true" outlineLevel="0" collapsed="false">
      <c r="D2472" s="22" t="s">
        <v>833</v>
      </c>
      <c r="J2472" s="23" t="n">
        <f aca="false">J2470*OH_HO</f>
        <v>13.9473214285714</v>
      </c>
    </row>
    <row r="2473" customFormat="false" ht="15" hidden="false" customHeight="true" outlineLevel="0" collapsed="false">
      <c r="D2473" s="22" t="s">
        <v>834</v>
      </c>
      <c r="J2473" s="23" t="n">
        <f aca="false">J2470*Profit</f>
        <v>27.8946428571429</v>
      </c>
    </row>
    <row r="2474" customFormat="false" ht="15" hidden="false" customHeight="true" outlineLevel="0" collapsed="false">
      <c r="D2474" s="24" t="s">
        <v>835</v>
      </c>
      <c r="J2474" s="14" t="n">
        <f aca="false">J2470+J2471+J2472+J2473</f>
        <v>329.156785714286</v>
      </c>
    </row>
    <row r="2475" customFormat="false" ht="15" hidden="false" customHeight="true" outlineLevel="0" collapsed="false">
      <c r="D2475" s="22" t="s">
        <v>836</v>
      </c>
      <c r="J2475" s="23" t="n">
        <f aca="false">IF(Tax_On="Yes",J2474*N(Tax_Rate),0)</f>
        <v>0</v>
      </c>
    </row>
    <row r="2476" customFormat="false" ht="15" hidden="false" customHeight="true" outlineLevel="0" collapsed="false">
      <c r="D2476" s="24" t="s">
        <v>1069</v>
      </c>
      <c r="J2476" s="14" t="n">
        <f aca="false">ROUND(J2474+J2475,0)</f>
        <v>329</v>
      </c>
    </row>
    <row r="2477" customFormat="false" ht="15" hidden="false" customHeight="true" outlineLevel="0" collapsed="false">
      <c r="D2477" s="25" t="s">
        <v>838</v>
      </c>
      <c r="J2477" s="26" t="n">
        <f aca="false">COUNTIF(K2459:K2463,"NO RATE")+COUNTIF(K2459:K2463,"OLD RATE")</f>
        <v>0</v>
      </c>
    </row>
    <row r="2479" customFormat="false" ht="39.75" hidden="false" customHeight="true" outlineLevel="0" collapsed="false">
      <c r="A2479" s="4" t="s">
        <v>597</v>
      </c>
      <c r="B2479" s="16" t="s">
        <v>599</v>
      </c>
      <c r="C2479" s="16"/>
      <c r="D2479" s="16"/>
      <c r="E2479" s="16"/>
      <c r="F2479" s="16"/>
      <c r="G2479" s="16"/>
      <c r="H2479" s="16"/>
      <c r="I2479" s="16"/>
      <c r="J2479" s="4" t="s">
        <v>890</v>
      </c>
      <c r="K2479" s="17"/>
    </row>
    <row r="2480" customFormat="false" ht="21.75" hidden="false" customHeight="true" outlineLevel="0" collapsed="false">
      <c r="A2480" s="12" t="s">
        <v>75</v>
      </c>
      <c r="B2480" s="12" t="s">
        <v>789</v>
      </c>
      <c r="C2480" s="12" t="s">
        <v>790</v>
      </c>
      <c r="D2480" s="12" t="s">
        <v>791</v>
      </c>
      <c r="E2480" s="12" t="s">
        <v>81</v>
      </c>
      <c r="F2480" s="12" t="s">
        <v>792</v>
      </c>
      <c r="G2480" s="12" t="s">
        <v>793</v>
      </c>
      <c r="H2480" s="12" t="s">
        <v>794</v>
      </c>
      <c r="I2480" s="12" t="s">
        <v>795</v>
      </c>
      <c r="J2480" s="12" t="s">
        <v>796</v>
      </c>
      <c r="K2480" s="12" t="s">
        <v>797</v>
      </c>
    </row>
    <row r="2481" customFormat="false" ht="15" hidden="false" customHeight="true" outlineLevel="0" collapsed="false">
      <c r="A2481" s="9" t="s">
        <v>597</v>
      </c>
      <c r="B2481" s="9" t="s">
        <v>798</v>
      </c>
      <c r="C2481" s="9" t="s">
        <v>1348</v>
      </c>
      <c r="D2481" s="5" t="s">
        <v>1349</v>
      </c>
      <c r="E2481" s="9" t="s">
        <v>212</v>
      </c>
      <c r="F2481" s="18" t="n">
        <v>1</v>
      </c>
      <c r="G2481" s="13" t="n">
        <f aca="false">N(INDEX('05 MATERIAL RATE LIBRARY'!$E$5:$E$400,MATCH("MAT-VNL",'05 MATERIAL RATE LIBRARY'!$A$5:$A$400,0)))</f>
        <v>225</v>
      </c>
      <c r="H2481" s="19" t="n">
        <f aca="false">W_Tile</f>
        <v>0.07</v>
      </c>
      <c r="I2481" s="18" t="n">
        <f aca="false">F2481*(1+H2481)</f>
        <v>1.07</v>
      </c>
      <c r="J2481" s="13" t="n">
        <f aca="false">I2481*G2481</f>
        <v>240.75</v>
      </c>
      <c r="K2481" s="20" t="str">
        <f aca="false">IF(INDEX('05 MATERIAL RATE LIBRARY'!$M$5:$M$400,MATCH("MAT-VNL",'05 MATERIAL RATE LIBRARY'!$A$5:$A$400,0))=1,"",IF(INDEX('05 MATERIAL RATE LIBRARY'!$M$5:$M$400,MATCH("MAT-VNL",'05 MATERIAL RATE LIBRARY'!$A$5:$A$400,0))=2,"OLD RATE","NO RATE"))</f>
        <v/>
      </c>
    </row>
    <row r="2482" customFormat="false" ht="15" hidden="false" customHeight="true" outlineLevel="0" collapsed="false">
      <c r="A2482" s="9" t="s">
        <v>597</v>
      </c>
      <c r="B2482" s="9" t="s">
        <v>798</v>
      </c>
      <c r="C2482" s="9" t="s">
        <v>1350</v>
      </c>
      <c r="D2482" s="5" t="s">
        <v>1351</v>
      </c>
      <c r="E2482" s="9" t="s">
        <v>198</v>
      </c>
      <c r="F2482" s="18" t="n">
        <v>0.03</v>
      </c>
      <c r="G2482" s="13" t="n">
        <f aca="false">N(INDEX('05 MATERIAL RATE LIBRARY'!$E$5:$E$400,MATCH("MAT-VADH",'05 MATERIAL RATE LIBRARY'!$A$5:$A$400,0)))</f>
        <v>700</v>
      </c>
      <c r="H2482" s="21" t="n">
        <v>0</v>
      </c>
      <c r="I2482" s="18" t="n">
        <f aca="false">F2482*(1+H2482)</f>
        <v>0.03</v>
      </c>
      <c r="J2482" s="13" t="n">
        <f aca="false">I2482*G2482</f>
        <v>21</v>
      </c>
      <c r="K2482" s="20" t="str">
        <f aca="false">IF(INDEX('05 MATERIAL RATE LIBRARY'!$M$5:$M$400,MATCH("MAT-VADH",'05 MATERIAL RATE LIBRARY'!$A$5:$A$400,0))=1,"",IF(INDEX('05 MATERIAL RATE LIBRARY'!$M$5:$M$400,MATCH("MAT-VADH",'05 MATERIAL RATE LIBRARY'!$A$5:$A$400,0))=2,"OLD RATE","NO RATE"))</f>
        <v/>
      </c>
    </row>
    <row r="2483" customFormat="false" ht="15" hidden="false" customHeight="true" outlineLevel="0" collapsed="false">
      <c r="A2483" s="9" t="s">
        <v>597</v>
      </c>
      <c r="B2483" s="9" t="s">
        <v>812</v>
      </c>
      <c r="C2483" s="9" t="s">
        <v>973</v>
      </c>
      <c r="D2483" s="5" t="s">
        <v>1352</v>
      </c>
      <c r="E2483" s="9" t="s">
        <v>815</v>
      </c>
      <c r="F2483" s="18" t="n">
        <f aca="false">1/250</f>
        <v>0.004</v>
      </c>
      <c r="G2483" s="13" t="n">
        <f aca="false">N(INDEX('06 LABOUR RATE LIBRARY'!$D$5:$D$100,MATCH("LAB-TIL",'06 LABOUR RATE LIBRARY'!$A$5:$A$100,0)))</f>
        <v>2500</v>
      </c>
      <c r="H2483" s="21" t="n">
        <v>0</v>
      </c>
      <c r="I2483" s="18" t="n">
        <f aca="false">F2483*(1+H2483)</f>
        <v>0.004</v>
      </c>
      <c r="J2483" s="13" t="n">
        <f aca="false">I2483*G2483</f>
        <v>10</v>
      </c>
      <c r="K2483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2484" customFormat="false" ht="15" hidden="false" customHeight="true" outlineLevel="0" collapsed="false">
      <c r="A2484" s="9" t="s">
        <v>597</v>
      </c>
      <c r="B2484" s="9" t="s">
        <v>812</v>
      </c>
      <c r="C2484" s="9" t="s">
        <v>816</v>
      </c>
      <c r="D2484" s="5" t="s">
        <v>1353</v>
      </c>
      <c r="E2484" s="9" t="s">
        <v>815</v>
      </c>
      <c r="F2484" s="18" t="n">
        <f aca="false">1/250</f>
        <v>0.004</v>
      </c>
      <c r="G2484" s="13" t="n">
        <f aca="false">N(INDEX('06 LABOUR RATE LIBRARY'!$D$5:$D$100,MATCH("LAB-HLP",'06 LABOUR RATE LIBRARY'!$A$5:$A$100,0)))</f>
        <v>1538</v>
      </c>
      <c r="H2484" s="21" t="n">
        <v>0</v>
      </c>
      <c r="I2484" s="18" t="n">
        <f aca="false">F2484*(1+H2484)</f>
        <v>0.004</v>
      </c>
      <c r="J2484" s="13" t="n">
        <f aca="false">I2484*G2484</f>
        <v>6.152</v>
      </c>
      <c r="K248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485" customFormat="false" ht="15" hidden="false" customHeight="true" outlineLevel="0" collapsed="false">
      <c r="D2485" s="22" t="s">
        <v>825</v>
      </c>
      <c r="J2485" s="23" t="n">
        <f aca="false">SUMPRODUCT((B2481:B2484="Material")*F2481:F2484*G2481:G2484)</f>
        <v>246</v>
      </c>
    </row>
    <row r="2486" customFormat="false" ht="15" hidden="false" customHeight="true" outlineLevel="0" collapsed="false">
      <c r="D2486" s="22" t="s">
        <v>826</v>
      </c>
      <c r="J2486" s="23" t="n">
        <f aca="false">SUMIF(B2481:B2484,"Material",J2481:J2484)-J2485</f>
        <v>15.75</v>
      </c>
    </row>
    <row r="2487" customFormat="false" ht="15" hidden="false" customHeight="true" outlineLevel="0" collapsed="false">
      <c r="D2487" s="24" t="s">
        <v>827</v>
      </c>
      <c r="J2487" s="14" t="n">
        <f aca="false">SUMIF(B2481:B2484,"Material",J2481:J2484)</f>
        <v>261.75</v>
      </c>
    </row>
    <row r="2488" customFormat="false" ht="15" hidden="false" customHeight="true" outlineLevel="0" collapsed="false">
      <c r="D2488" s="24" t="s">
        <v>828</v>
      </c>
      <c r="J2488" s="14" t="n">
        <f aca="false">SUMIF(B2481:B2484,"Labour",J2481:J2484)</f>
        <v>16.152</v>
      </c>
    </row>
    <row r="2489" customFormat="false" ht="15" hidden="false" customHeight="true" outlineLevel="0" collapsed="false">
      <c r="D2489" s="24" t="s">
        <v>829</v>
      </c>
      <c r="J2489" s="14" t="n">
        <f aca="false">SUMIF(B2481:B2484,"Equipment",J2481:J2484)</f>
        <v>0</v>
      </c>
    </row>
    <row r="2490" customFormat="false" ht="15" hidden="false" customHeight="true" outlineLevel="0" collapsed="false">
      <c r="D2490" s="24" t="s">
        <v>830</v>
      </c>
      <c r="J2490" s="14" t="n">
        <f aca="false">SUMIF(B2481:B2484,"Transport",J2481:J2484)</f>
        <v>0</v>
      </c>
    </row>
    <row r="2491" customFormat="false" ht="15" hidden="false" customHeight="true" outlineLevel="0" collapsed="false">
      <c r="D2491" s="24" t="s">
        <v>831</v>
      </c>
      <c r="J2491" s="14" t="n">
        <f aca="false">J2487+J2488+J2489+J2490</f>
        <v>277.902</v>
      </c>
    </row>
    <row r="2492" customFormat="false" ht="15" hidden="false" customHeight="true" outlineLevel="0" collapsed="false">
      <c r="D2492" s="22" t="s">
        <v>832</v>
      </c>
      <c r="J2492" s="23" t="n">
        <f aca="false">J2491*OH_Site</f>
        <v>8.33706</v>
      </c>
    </row>
    <row r="2493" customFormat="false" ht="15" hidden="false" customHeight="true" outlineLevel="0" collapsed="false">
      <c r="D2493" s="22" t="s">
        <v>833</v>
      </c>
      <c r="J2493" s="23" t="n">
        <f aca="false">J2491*OH_HO</f>
        <v>13.8951</v>
      </c>
    </row>
    <row r="2494" customFormat="false" ht="15" hidden="false" customHeight="true" outlineLevel="0" collapsed="false">
      <c r="D2494" s="22" t="s">
        <v>834</v>
      </c>
      <c r="J2494" s="23" t="n">
        <f aca="false">J2491*Profit</f>
        <v>27.7902</v>
      </c>
    </row>
    <row r="2495" customFormat="false" ht="15" hidden="false" customHeight="true" outlineLevel="0" collapsed="false">
      <c r="D2495" s="24" t="s">
        <v>835</v>
      </c>
      <c r="J2495" s="14" t="n">
        <f aca="false">J2491+J2492+J2493+J2494</f>
        <v>327.92436</v>
      </c>
    </row>
    <row r="2496" customFormat="false" ht="15" hidden="false" customHeight="true" outlineLevel="0" collapsed="false">
      <c r="D2496" s="22" t="s">
        <v>836</v>
      </c>
      <c r="J2496" s="23" t="n">
        <f aca="false">IF(Tax_On="Yes",J2495*N(Tax_Rate),0)</f>
        <v>0</v>
      </c>
    </row>
    <row r="2497" customFormat="false" ht="15" hidden="false" customHeight="true" outlineLevel="0" collapsed="false">
      <c r="D2497" s="24" t="s">
        <v>895</v>
      </c>
      <c r="J2497" s="14" t="n">
        <f aca="false">ROUND(J2495+J2496,0)</f>
        <v>328</v>
      </c>
    </row>
    <row r="2498" customFormat="false" ht="15" hidden="false" customHeight="true" outlineLevel="0" collapsed="false">
      <c r="D2498" s="25" t="s">
        <v>838</v>
      </c>
      <c r="J2498" s="26" t="n">
        <f aca="false">COUNTIF(K2481:K2484,"NO RATE")+COUNTIF(K2481:K2484,"OLD RATE")</f>
        <v>0</v>
      </c>
    </row>
    <row r="2500" customFormat="false" ht="39.75" hidden="false" customHeight="true" outlineLevel="0" collapsed="false">
      <c r="A2500" s="4" t="s">
        <v>601</v>
      </c>
      <c r="B2500" s="16" t="s">
        <v>603</v>
      </c>
      <c r="C2500" s="16"/>
      <c r="D2500" s="16"/>
      <c r="E2500" s="16"/>
      <c r="F2500" s="16"/>
      <c r="G2500" s="16"/>
      <c r="H2500" s="16"/>
      <c r="I2500" s="16"/>
      <c r="J2500" s="4" t="s">
        <v>890</v>
      </c>
      <c r="K2500" s="17"/>
    </row>
    <row r="2501" customFormat="false" ht="21.75" hidden="false" customHeight="true" outlineLevel="0" collapsed="false">
      <c r="A2501" s="12" t="s">
        <v>75</v>
      </c>
      <c r="B2501" s="12" t="s">
        <v>789</v>
      </c>
      <c r="C2501" s="12" t="s">
        <v>790</v>
      </c>
      <c r="D2501" s="12" t="s">
        <v>791</v>
      </c>
      <c r="E2501" s="12" t="s">
        <v>81</v>
      </c>
      <c r="F2501" s="12" t="s">
        <v>792</v>
      </c>
      <c r="G2501" s="12" t="s">
        <v>793</v>
      </c>
      <c r="H2501" s="12" t="s">
        <v>794</v>
      </c>
      <c r="I2501" s="12" t="s">
        <v>795</v>
      </c>
      <c r="J2501" s="12" t="s">
        <v>796</v>
      </c>
      <c r="K2501" s="12" t="s">
        <v>797</v>
      </c>
    </row>
    <row r="2502" customFormat="false" ht="15" hidden="false" customHeight="true" outlineLevel="0" collapsed="false">
      <c r="A2502" s="9" t="s">
        <v>601</v>
      </c>
      <c r="B2502" s="9" t="s">
        <v>798</v>
      </c>
      <c r="C2502" s="9" t="s">
        <v>1354</v>
      </c>
      <c r="D2502" s="5" t="s">
        <v>1355</v>
      </c>
      <c r="E2502" s="9" t="s">
        <v>212</v>
      </c>
      <c r="F2502" s="18" t="n">
        <v>1</v>
      </c>
      <c r="G2502" s="13" t="n">
        <f aca="false">N(INDEX('05 MATERIAL RATE LIBRARY'!$E$5:$E$400,MATCH("MAT-LAM",'05 MATERIAL RATE LIBRARY'!$A$5:$A$400,0)))</f>
        <v>350</v>
      </c>
      <c r="H2502" s="19" t="n">
        <f aca="false">W_Tile</f>
        <v>0.07</v>
      </c>
      <c r="I2502" s="18" t="n">
        <f aca="false">F2502*(1+H2502)</f>
        <v>1.07</v>
      </c>
      <c r="J2502" s="13" t="n">
        <f aca="false">I2502*G2502</f>
        <v>374.5</v>
      </c>
      <c r="K2502" s="20" t="str">
        <f aca="false">IF(INDEX('05 MATERIAL RATE LIBRARY'!$M$5:$M$400,MATCH("MAT-LAM",'05 MATERIAL RATE LIBRARY'!$A$5:$A$400,0))=1,"",IF(INDEX('05 MATERIAL RATE LIBRARY'!$M$5:$M$400,MATCH("MAT-LAM",'05 MATERIAL RATE LIBRARY'!$A$5:$A$400,0))=2,"OLD RATE","NO RATE"))</f>
        <v/>
      </c>
    </row>
    <row r="2503" customFormat="false" ht="15" hidden="false" customHeight="true" outlineLevel="0" collapsed="false">
      <c r="A2503" s="9" t="s">
        <v>601</v>
      </c>
      <c r="B2503" s="9" t="s">
        <v>798</v>
      </c>
      <c r="C2503" s="9" t="s">
        <v>1356</v>
      </c>
      <c r="D2503" s="5" t="s">
        <v>1357</v>
      </c>
      <c r="E2503" s="9" t="s">
        <v>212</v>
      </c>
      <c r="F2503" s="18" t="n">
        <v>1.05</v>
      </c>
      <c r="G2503" s="13" t="n">
        <f aca="false">N(INDEX('05 MATERIAL RATE LIBRARY'!$E$5:$E$400,MATCH("MAT-UNDL",'05 MATERIAL RATE LIBRARY'!$A$5:$A$400,0)))</f>
        <v>0</v>
      </c>
      <c r="H2503" s="21" t="n">
        <v>0</v>
      </c>
      <c r="I2503" s="18" t="n">
        <f aca="false">F2503*(1+H2503)</f>
        <v>1.05</v>
      </c>
      <c r="J2503" s="13" t="n">
        <f aca="false">I2503*G2503</f>
        <v>0</v>
      </c>
      <c r="K2503" s="20" t="str">
        <f aca="false">IF(INDEX('05 MATERIAL RATE LIBRARY'!$M$5:$M$400,MATCH("MAT-UNDL",'05 MATERIAL RATE LIBRARY'!$A$5:$A$400,0))=1,"",IF(INDEX('05 MATERIAL RATE LIBRARY'!$M$5:$M$400,MATCH("MAT-UNDL",'05 MATERIAL RATE LIBRARY'!$A$5:$A$400,0))=2,"OLD RATE","NO RATE"))</f>
        <v/>
      </c>
    </row>
    <row r="2504" customFormat="false" ht="15" hidden="false" customHeight="true" outlineLevel="0" collapsed="false">
      <c r="A2504" s="9" t="s">
        <v>601</v>
      </c>
      <c r="B2504" s="9" t="s">
        <v>812</v>
      </c>
      <c r="C2504" s="9" t="s">
        <v>973</v>
      </c>
      <c r="D2504" s="5" t="s">
        <v>1352</v>
      </c>
      <c r="E2504" s="9" t="s">
        <v>815</v>
      </c>
      <c r="F2504" s="18" t="n">
        <f aca="false">1/250</f>
        <v>0.004</v>
      </c>
      <c r="G2504" s="13" t="n">
        <f aca="false">N(INDEX('06 LABOUR RATE LIBRARY'!$D$5:$D$100,MATCH("LAB-TIL",'06 LABOUR RATE LIBRARY'!$A$5:$A$100,0)))</f>
        <v>2500</v>
      </c>
      <c r="H2504" s="21" t="n">
        <v>0</v>
      </c>
      <c r="I2504" s="18" t="n">
        <f aca="false">F2504*(1+H2504)</f>
        <v>0.004</v>
      </c>
      <c r="J2504" s="13" t="n">
        <f aca="false">I2504*G2504</f>
        <v>10</v>
      </c>
      <c r="K2504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2505" customFormat="false" ht="15" hidden="false" customHeight="true" outlineLevel="0" collapsed="false">
      <c r="A2505" s="9" t="s">
        <v>601</v>
      </c>
      <c r="B2505" s="9" t="s">
        <v>812</v>
      </c>
      <c r="C2505" s="9" t="s">
        <v>816</v>
      </c>
      <c r="D2505" s="5" t="s">
        <v>1353</v>
      </c>
      <c r="E2505" s="9" t="s">
        <v>815</v>
      </c>
      <c r="F2505" s="18" t="n">
        <f aca="false">1/250</f>
        <v>0.004</v>
      </c>
      <c r="G2505" s="13" t="n">
        <f aca="false">N(INDEX('06 LABOUR RATE LIBRARY'!$D$5:$D$100,MATCH("LAB-HLP",'06 LABOUR RATE LIBRARY'!$A$5:$A$100,0)))</f>
        <v>1538</v>
      </c>
      <c r="H2505" s="21" t="n">
        <v>0</v>
      </c>
      <c r="I2505" s="18" t="n">
        <f aca="false">F2505*(1+H2505)</f>
        <v>0.004</v>
      </c>
      <c r="J2505" s="13" t="n">
        <f aca="false">I2505*G2505</f>
        <v>6.152</v>
      </c>
      <c r="K250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506" customFormat="false" ht="15" hidden="false" customHeight="true" outlineLevel="0" collapsed="false">
      <c r="D2506" s="22" t="s">
        <v>825</v>
      </c>
      <c r="J2506" s="23" t="n">
        <f aca="false">SUMPRODUCT((B2502:B2505="Material")*F2502:F2505*G2502:G2505)</f>
        <v>350</v>
      </c>
    </row>
    <row r="2507" customFormat="false" ht="15" hidden="false" customHeight="true" outlineLevel="0" collapsed="false">
      <c r="D2507" s="22" t="s">
        <v>826</v>
      </c>
      <c r="J2507" s="23" t="n">
        <f aca="false">SUMIF(B2502:B2505,"Material",J2502:J2505)-J2506</f>
        <v>24.5</v>
      </c>
    </row>
    <row r="2508" customFormat="false" ht="15" hidden="false" customHeight="true" outlineLevel="0" collapsed="false">
      <c r="D2508" s="24" t="s">
        <v>827</v>
      </c>
      <c r="J2508" s="14" t="n">
        <f aca="false">SUMIF(B2502:B2505,"Material",J2502:J2505)</f>
        <v>374.5</v>
      </c>
    </row>
    <row r="2509" customFormat="false" ht="15" hidden="false" customHeight="true" outlineLevel="0" collapsed="false">
      <c r="D2509" s="24" t="s">
        <v>828</v>
      </c>
      <c r="J2509" s="14" t="n">
        <f aca="false">SUMIF(B2502:B2505,"Labour",J2502:J2505)</f>
        <v>16.152</v>
      </c>
    </row>
    <row r="2510" customFormat="false" ht="15" hidden="false" customHeight="true" outlineLevel="0" collapsed="false">
      <c r="D2510" s="24" t="s">
        <v>829</v>
      </c>
      <c r="J2510" s="14" t="n">
        <f aca="false">SUMIF(B2502:B2505,"Equipment",J2502:J2505)</f>
        <v>0</v>
      </c>
    </row>
    <row r="2511" customFormat="false" ht="15" hidden="false" customHeight="true" outlineLevel="0" collapsed="false">
      <c r="D2511" s="24" t="s">
        <v>830</v>
      </c>
      <c r="J2511" s="14" t="n">
        <f aca="false">SUMIF(B2502:B2505,"Transport",J2502:J2505)</f>
        <v>0</v>
      </c>
    </row>
    <row r="2512" customFormat="false" ht="15" hidden="false" customHeight="true" outlineLevel="0" collapsed="false">
      <c r="D2512" s="24" t="s">
        <v>831</v>
      </c>
      <c r="J2512" s="14" t="n">
        <f aca="false">J2508+J2509+J2510+J2511</f>
        <v>390.652</v>
      </c>
    </row>
    <row r="2513" customFormat="false" ht="15" hidden="false" customHeight="true" outlineLevel="0" collapsed="false">
      <c r="D2513" s="22" t="s">
        <v>832</v>
      </c>
      <c r="J2513" s="23" t="n">
        <f aca="false">J2512*OH_Site</f>
        <v>11.71956</v>
      </c>
    </row>
    <row r="2514" customFormat="false" ht="15" hidden="false" customHeight="true" outlineLevel="0" collapsed="false">
      <c r="D2514" s="22" t="s">
        <v>833</v>
      </c>
      <c r="J2514" s="23" t="n">
        <f aca="false">J2512*OH_HO</f>
        <v>19.5326</v>
      </c>
    </row>
    <row r="2515" customFormat="false" ht="15" hidden="false" customHeight="true" outlineLevel="0" collapsed="false">
      <c r="D2515" s="22" t="s">
        <v>834</v>
      </c>
      <c r="J2515" s="23" t="n">
        <f aca="false">J2512*Profit</f>
        <v>39.0652</v>
      </c>
    </row>
    <row r="2516" customFormat="false" ht="15" hidden="false" customHeight="true" outlineLevel="0" collapsed="false">
      <c r="D2516" s="24" t="s">
        <v>835</v>
      </c>
      <c r="J2516" s="14" t="n">
        <f aca="false">J2512+J2513+J2514+J2515</f>
        <v>460.96936</v>
      </c>
    </row>
    <row r="2517" customFormat="false" ht="15" hidden="false" customHeight="true" outlineLevel="0" collapsed="false">
      <c r="D2517" s="22" t="s">
        <v>836</v>
      </c>
      <c r="J2517" s="23" t="n">
        <f aca="false">IF(Tax_On="Yes",J2516*N(Tax_Rate),0)</f>
        <v>0</v>
      </c>
    </row>
    <row r="2518" customFormat="false" ht="15" hidden="false" customHeight="true" outlineLevel="0" collapsed="false">
      <c r="D2518" s="24" t="s">
        <v>895</v>
      </c>
      <c r="J2518" s="14" t="n">
        <f aca="false">ROUND(J2516+J2517,0)</f>
        <v>461</v>
      </c>
    </row>
    <row r="2519" customFormat="false" ht="15" hidden="false" customHeight="true" outlineLevel="0" collapsed="false">
      <c r="D2519" s="25" t="s">
        <v>838</v>
      </c>
      <c r="J2519" s="26" t="n">
        <f aca="false">COUNTIF(K2502:K2505,"NO RATE")+COUNTIF(K2502:K2505,"OLD RATE")</f>
        <v>0</v>
      </c>
    </row>
    <row r="2521" customFormat="false" ht="39.75" hidden="false" customHeight="true" outlineLevel="0" collapsed="false">
      <c r="A2521" s="4" t="s">
        <v>605</v>
      </c>
      <c r="B2521" s="16" t="s">
        <v>607</v>
      </c>
      <c r="C2521" s="16"/>
      <c r="D2521" s="16"/>
      <c r="E2521" s="16"/>
      <c r="F2521" s="16"/>
      <c r="G2521" s="16"/>
      <c r="H2521" s="16"/>
      <c r="I2521" s="16"/>
      <c r="J2521" s="4" t="s">
        <v>890</v>
      </c>
      <c r="K2521" s="17"/>
    </row>
    <row r="2522" customFormat="false" ht="21.75" hidden="false" customHeight="true" outlineLevel="0" collapsed="false">
      <c r="A2522" s="12" t="s">
        <v>75</v>
      </c>
      <c r="B2522" s="12" t="s">
        <v>789</v>
      </c>
      <c r="C2522" s="12" t="s">
        <v>790</v>
      </c>
      <c r="D2522" s="12" t="s">
        <v>791</v>
      </c>
      <c r="E2522" s="12" t="s">
        <v>81</v>
      </c>
      <c r="F2522" s="12" t="s">
        <v>792</v>
      </c>
      <c r="G2522" s="12" t="s">
        <v>793</v>
      </c>
      <c r="H2522" s="12" t="s">
        <v>794</v>
      </c>
      <c r="I2522" s="12" t="s">
        <v>795</v>
      </c>
      <c r="J2522" s="12" t="s">
        <v>796</v>
      </c>
      <c r="K2522" s="12" t="s">
        <v>797</v>
      </c>
    </row>
    <row r="2523" customFormat="false" ht="15" hidden="false" customHeight="true" outlineLevel="0" collapsed="false">
      <c r="A2523" s="9" t="s">
        <v>605</v>
      </c>
      <c r="B2523" s="9" t="s">
        <v>798</v>
      </c>
      <c r="C2523" s="9" t="s">
        <v>1358</v>
      </c>
      <c r="D2523" s="5" t="s">
        <v>1359</v>
      </c>
      <c r="E2523" s="9" t="s">
        <v>212</v>
      </c>
      <c r="F2523" s="18" t="n">
        <v>1</v>
      </c>
      <c r="G2523" s="13" t="n">
        <f aca="false">N(INDEX('05 MATERIAL RATE LIBRARY'!$E$5:$E$400,MATCH("MAT-EPX",'05 MATERIAL RATE LIBRARY'!$A$5:$A$400,0)))</f>
        <v>200</v>
      </c>
      <c r="H2523" s="21" t="n">
        <v>0</v>
      </c>
      <c r="I2523" s="18" t="n">
        <f aca="false">F2523*(1+H2523)</f>
        <v>1</v>
      </c>
      <c r="J2523" s="13" t="n">
        <f aca="false">I2523*G2523</f>
        <v>200</v>
      </c>
      <c r="K2523" s="20" t="str">
        <f aca="false">IF(INDEX('05 MATERIAL RATE LIBRARY'!$M$5:$M$400,MATCH("MAT-EPX",'05 MATERIAL RATE LIBRARY'!$A$5:$A$400,0))=1,"",IF(INDEX('05 MATERIAL RATE LIBRARY'!$M$5:$M$400,MATCH("MAT-EPX",'05 MATERIAL RATE LIBRARY'!$A$5:$A$400,0))=2,"OLD RATE","NO RATE"))</f>
        <v/>
      </c>
    </row>
    <row r="2524" customFormat="false" ht="15" hidden="false" customHeight="true" outlineLevel="0" collapsed="false">
      <c r="A2524" s="9" t="s">
        <v>605</v>
      </c>
      <c r="B2524" s="9" t="s">
        <v>812</v>
      </c>
      <c r="C2524" s="9" t="s">
        <v>953</v>
      </c>
      <c r="D2524" s="5" t="s">
        <v>1360</v>
      </c>
      <c r="E2524" s="9" t="s">
        <v>815</v>
      </c>
      <c r="F2524" s="18" t="n">
        <v>0</v>
      </c>
      <c r="G2524" s="13" t="n">
        <f aca="false">N(INDEX('06 LABOUR RATE LIBRARY'!$D$5:$D$100,MATCH("LAB-WPA",'06 LABOUR RATE LIBRARY'!$A$5:$A$100,0)))</f>
        <v>2200</v>
      </c>
      <c r="H2524" s="21" t="n">
        <v>0</v>
      </c>
      <c r="I2524" s="18" t="n">
        <f aca="false">F2524*(1+H2524)</f>
        <v>0</v>
      </c>
      <c r="J2524" s="13" t="n">
        <f aca="false">I2524*G2524</f>
        <v>0</v>
      </c>
      <c r="K2524" s="20" t="str">
        <f aca="false">IF(INDEX('06 LABOUR RATE LIBRARY'!$L$5:$L$100,MATCH("LAB-WPA",'06 LABOUR RATE LIBRARY'!$A$5:$A$100,0))=1,"",IF(INDEX('06 LABOUR RATE LIBRARY'!$L$5:$L$100,MATCH("LAB-WPA",'06 LABOUR RATE LIBRARY'!$A$5:$A$100,0))=2,"OLD RATE","NO RATE"))</f>
        <v/>
      </c>
    </row>
    <row r="2525" customFormat="false" ht="15" hidden="false" customHeight="true" outlineLevel="0" collapsed="false">
      <c r="A2525" s="9" t="s">
        <v>605</v>
      </c>
      <c r="B2525" s="9" t="s">
        <v>812</v>
      </c>
      <c r="C2525" s="9" t="s">
        <v>816</v>
      </c>
      <c r="D2525" s="5" t="s">
        <v>1361</v>
      </c>
      <c r="E2525" s="9" t="s">
        <v>815</v>
      </c>
      <c r="F2525" s="18" t="n">
        <v>0</v>
      </c>
      <c r="G2525" s="13" t="n">
        <f aca="false">N(INDEX('06 LABOUR RATE LIBRARY'!$D$5:$D$100,MATCH("LAB-HLP",'06 LABOUR RATE LIBRARY'!$A$5:$A$100,0)))</f>
        <v>1538</v>
      </c>
      <c r="H2525" s="21" t="n">
        <v>0</v>
      </c>
      <c r="I2525" s="18" t="n">
        <f aca="false">F2525*(1+H2525)</f>
        <v>0</v>
      </c>
      <c r="J2525" s="13" t="n">
        <f aca="false">I2525*G2525</f>
        <v>0</v>
      </c>
      <c r="K252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526" customFormat="false" ht="15" hidden="false" customHeight="true" outlineLevel="0" collapsed="false">
      <c r="D2526" s="22" t="s">
        <v>825</v>
      </c>
      <c r="J2526" s="23" t="n">
        <f aca="false">SUMPRODUCT((B2523:B2525="Material")*F2523:F2525*G2523:G2525)</f>
        <v>200</v>
      </c>
    </row>
    <row r="2527" customFormat="false" ht="15" hidden="false" customHeight="true" outlineLevel="0" collapsed="false">
      <c r="D2527" s="22" t="s">
        <v>826</v>
      </c>
      <c r="J2527" s="23" t="n">
        <f aca="false">SUMIF(B2523:B2525,"Material",J2523:J2525)-J2526</f>
        <v>0</v>
      </c>
    </row>
    <row r="2528" customFormat="false" ht="15" hidden="false" customHeight="true" outlineLevel="0" collapsed="false">
      <c r="D2528" s="24" t="s">
        <v>827</v>
      </c>
      <c r="J2528" s="14" t="n">
        <f aca="false">SUMIF(B2523:B2525,"Material",J2523:J2525)</f>
        <v>200</v>
      </c>
    </row>
    <row r="2529" customFormat="false" ht="15" hidden="false" customHeight="true" outlineLevel="0" collapsed="false">
      <c r="D2529" s="24" t="s">
        <v>828</v>
      </c>
      <c r="J2529" s="14" t="n">
        <f aca="false">SUMIF(B2523:B2525,"Labour",J2523:J2525)</f>
        <v>0</v>
      </c>
    </row>
    <row r="2530" customFormat="false" ht="15" hidden="false" customHeight="true" outlineLevel="0" collapsed="false">
      <c r="D2530" s="24" t="s">
        <v>829</v>
      </c>
      <c r="J2530" s="14" t="n">
        <f aca="false">SUMIF(B2523:B2525,"Equipment",J2523:J2525)</f>
        <v>0</v>
      </c>
    </row>
    <row r="2531" customFormat="false" ht="15" hidden="false" customHeight="true" outlineLevel="0" collapsed="false">
      <c r="D2531" s="24" t="s">
        <v>830</v>
      </c>
      <c r="J2531" s="14" t="n">
        <f aca="false">SUMIF(B2523:B2525,"Transport",J2523:J2525)</f>
        <v>0</v>
      </c>
    </row>
    <row r="2532" customFormat="false" ht="15" hidden="false" customHeight="true" outlineLevel="0" collapsed="false">
      <c r="D2532" s="24" t="s">
        <v>831</v>
      </c>
      <c r="J2532" s="14" t="n">
        <f aca="false">J2528+J2529+J2530+J2531</f>
        <v>200</v>
      </c>
    </row>
    <row r="2533" customFormat="false" ht="15" hidden="false" customHeight="true" outlineLevel="0" collapsed="false">
      <c r="D2533" s="22" t="s">
        <v>832</v>
      </c>
      <c r="J2533" s="23" t="n">
        <f aca="false">J2532*OH_Site</f>
        <v>6</v>
      </c>
    </row>
    <row r="2534" customFormat="false" ht="15" hidden="false" customHeight="true" outlineLevel="0" collapsed="false">
      <c r="D2534" s="22" t="s">
        <v>833</v>
      </c>
      <c r="J2534" s="23" t="n">
        <f aca="false">J2532*OH_HO</f>
        <v>10</v>
      </c>
    </row>
    <row r="2535" customFormat="false" ht="15" hidden="false" customHeight="true" outlineLevel="0" collapsed="false">
      <c r="D2535" s="22" t="s">
        <v>834</v>
      </c>
      <c r="J2535" s="23" t="n">
        <f aca="false">J2532*Profit</f>
        <v>20</v>
      </c>
    </row>
    <row r="2536" customFormat="false" ht="15" hidden="false" customHeight="true" outlineLevel="0" collapsed="false">
      <c r="D2536" s="24" t="s">
        <v>835</v>
      </c>
      <c r="J2536" s="14" t="n">
        <f aca="false">J2532+J2533+J2534+J2535</f>
        <v>236</v>
      </c>
    </row>
    <row r="2537" customFormat="false" ht="15" hidden="false" customHeight="true" outlineLevel="0" collapsed="false">
      <c r="D2537" s="22" t="s">
        <v>836</v>
      </c>
      <c r="J2537" s="23" t="n">
        <f aca="false">IF(Tax_On="Yes",J2536*N(Tax_Rate),0)</f>
        <v>0</v>
      </c>
    </row>
    <row r="2538" customFormat="false" ht="15" hidden="false" customHeight="true" outlineLevel="0" collapsed="false">
      <c r="D2538" s="24" t="s">
        <v>895</v>
      </c>
      <c r="J2538" s="14" t="n">
        <f aca="false">ROUND(J2536+J2537,0)</f>
        <v>236</v>
      </c>
    </row>
    <row r="2539" customFormat="false" ht="15" hidden="false" customHeight="true" outlineLevel="0" collapsed="false">
      <c r="D2539" s="25" t="s">
        <v>838</v>
      </c>
      <c r="J2539" s="26" t="n">
        <f aca="false">COUNTIF(K2523:K2525,"NO RATE")+COUNTIF(K2523:K2525,"OLD RATE")</f>
        <v>0</v>
      </c>
    </row>
    <row r="2541" customFormat="false" ht="39.75" hidden="false" customHeight="true" outlineLevel="0" collapsed="false">
      <c r="A2541" s="4" t="s">
        <v>609</v>
      </c>
      <c r="B2541" s="16" t="s">
        <v>611</v>
      </c>
      <c r="C2541" s="16"/>
      <c r="D2541" s="16"/>
      <c r="E2541" s="16"/>
      <c r="F2541" s="16"/>
      <c r="G2541" s="16"/>
      <c r="H2541" s="16"/>
      <c r="I2541" s="16"/>
      <c r="J2541" s="4" t="s">
        <v>1061</v>
      </c>
      <c r="K2541" s="17"/>
    </row>
    <row r="2542" customFormat="false" ht="21.75" hidden="false" customHeight="true" outlineLevel="0" collapsed="false">
      <c r="A2542" s="12" t="s">
        <v>75</v>
      </c>
      <c r="B2542" s="12" t="s">
        <v>789</v>
      </c>
      <c r="C2542" s="12" t="s">
        <v>790</v>
      </c>
      <c r="D2542" s="12" t="s">
        <v>791</v>
      </c>
      <c r="E2542" s="12" t="s">
        <v>81</v>
      </c>
      <c r="F2542" s="12" t="s">
        <v>792</v>
      </c>
      <c r="G2542" s="12" t="s">
        <v>793</v>
      </c>
      <c r="H2542" s="12" t="s">
        <v>794</v>
      </c>
      <c r="I2542" s="12" t="s">
        <v>795</v>
      </c>
      <c r="J2542" s="12" t="s">
        <v>796</v>
      </c>
      <c r="K2542" s="12" t="s">
        <v>797</v>
      </c>
    </row>
    <row r="2543" customFormat="false" ht="15" hidden="false" customHeight="true" outlineLevel="0" collapsed="false">
      <c r="A2543" s="9" t="s">
        <v>609</v>
      </c>
      <c r="B2543" s="9" t="s">
        <v>798</v>
      </c>
      <c r="C2543" s="9" t="s">
        <v>967</v>
      </c>
      <c r="D2543" s="5" t="s">
        <v>1362</v>
      </c>
      <c r="E2543" s="9" t="s">
        <v>212</v>
      </c>
      <c r="F2543" s="18" t="n">
        <v>0.333</v>
      </c>
      <c r="G2543" s="13" t="n">
        <f aca="false">N(INDEX('05 MATERIAL RATE LIBRARY'!$E$5:$E$400,MATCH("MAT-TIL-POR",'05 MATERIAL RATE LIBRARY'!$A$5:$A$400,0)))</f>
        <v>209</v>
      </c>
      <c r="H2543" s="19" t="n">
        <f aca="false">W_Tile</f>
        <v>0.07</v>
      </c>
      <c r="I2543" s="18" t="n">
        <f aca="false">F2543*(1+H2543)</f>
        <v>0.35631</v>
      </c>
      <c r="J2543" s="13" t="n">
        <f aca="false">I2543*G2543</f>
        <v>74.46879</v>
      </c>
      <c r="K2543" s="20" t="str">
        <f aca="false">IF(INDEX('05 MATERIAL RATE LIBRARY'!$M$5:$M$400,MATCH("MAT-TIL-POR",'05 MATERIAL RATE LIBRARY'!$A$5:$A$400,0))=1,"",IF(INDEX('05 MATERIAL RATE LIBRARY'!$M$5:$M$400,MATCH("MAT-TIL-POR",'05 MATERIAL RATE LIBRARY'!$A$5:$A$400,0))=2,"OLD RATE","NO RATE"))</f>
        <v/>
      </c>
    </row>
    <row r="2544" customFormat="false" ht="15" hidden="false" customHeight="true" outlineLevel="0" collapsed="false">
      <c r="A2544" s="9" t="s">
        <v>609</v>
      </c>
      <c r="B2544" s="9" t="s">
        <v>798</v>
      </c>
      <c r="C2544" s="9" t="s">
        <v>969</v>
      </c>
      <c r="D2544" s="5" t="s">
        <v>1363</v>
      </c>
      <c r="E2544" s="9" t="s">
        <v>801</v>
      </c>
      <c r="F2544" s="18" t="n">
        <f aca="false">1/270</f>
        <v>0.0037037037037037</v>
      </c>
      <c r="G2544" s="13" t="n">
        <f aca="false">N(INDEX('05 MATERIAL RATE LIBRARY'!$E$5:$E$400,MATCH("MAT-TADH",'05 MATERIAL RATE LIBRARY'!$A$5:$A$400,0)))</f>
        <v>650</v>
      </c>
      <c r="H2544" s="21" t="n">
        <v>0</v>
      </c>
      <c r="I2544" s="18" t="n">
        <f aca="false">F2544*(1+H2544)</f>
        <v>0.0037037037037037</v>
      </c>
      <c r="J2544" s="13" t="n">
        <f aca="false">I2544*G2544</f>
        <v>2.40740740740741</v>
      </c>
      <c r="K2544" s="20" t="str">
        <f aca="false">IF(INDEX('05 MATERIAL RATE LIBRARY'!$M$5:$M$400,MATCH("MAT-TADH",'05 MATERIAL RATE LIBRARY'!$A$5:$A$400,0))=1,"",IF(INDEX('05 MATERIAL RATE LIBRARY'!$M$5:$M$400,MATCH("MAT-TADH",'05 MATERIAL RATE LIBRARY'!$A$5:$A$400,0))=2,"OLD RATE","NO RATE"))</f>
        <v/>
      </c>
    </row>
    <row r="2545" customFormat="false" ht="15" hidden="false" customHeight="true" outlineLevel="0" collapsed="false">
      <c r="A2545" s="9" t="s">
        <v>609</v>
      </c>
      <c r="B2545" s="9" t="s">
        <v>798</v>
      </c>
      <c r="C2545" s="9" t="s">
        <v>971</v>
      </c>
      <c r="D2545" s="5" t="s">
        <v>1364</v>
      </c>
      <c r="E2545" s="9" t="s">
        <v>198</v>
      </c>
      <c r="F2545" s="18" t="n">
        <v>0.01</v>
      </c>
      <c r="G2545" s="13" t="n">
        <f aca="false">N(INDEX('05 MATERIAL RATE LIBRARY'!$E$5:$E$400,MATCH("MAT-GRT",'05 MATERIAL RATE LIBRARY'!$A$5:$A$400,0)))</f>
        <v>300</v>
      </c>
      <c r="H2545" s="21" t="n">
        <v>0</v>
      </c>
      <c r="I2545" s="18" t="n">
        <f aca="false">F2545*(1+H2545)</f>
        <v>0.01</v>
      </c>
      <c r="J2545" s="13" t="n">
        <f aca="false">I2545*G2545</f>
        <v>3</v>
      </c>
      <c r="K2545" s="20" t="str">
        <f aca="false">IF(INDEX('05 MATERIAL RATE LIBRARY'!$M$5:$M$400,MATCH("MAT-GRT",'05 MATERIAL RATE LIBRARY'!$A$5:$A$400,0))=1,"",IF(INDEX('05 MATERIAL RATE LIBRARY'!$M$5:$M$400,MATCH("MAT-GRT",'05 MATERIAL RATE LIBRARY'!$A$5:$A$400,0))=2,"OLD RATE","NO RATE"))</f>
        <v/>
      </c>
    </row>
    <row r="2546" customFormat="false" ht="15" hidden="false" customHeight="true" outlineLevel="0" collapsed="false">
      <c r="A2546" s="9" t="s">
        <v>609</v>
      </c>
      <c r="B2546" s="9" t="s">
        <v>812</v>
      </c>
      <c r="C2546" s="9" t="s">
        <v>973</v>
      </c>
      <c r="D2546" s="5" t="s">
        <v>1365</v>
      </c>
      <c r="E2546" s="9" t="s">
        <v>815</v>
      </c>
      <c r="F2546" s="18" t="n">
        <f aca="false">1/150</f>
        <v>0.00666666666666667</v>
      </c>
      <c r="G2546" s="13" t="n">
        <f aca="false">N(INDEX('06 LABOUR RATE LIBRARY'!$D$5:$D$100,MATCH("LAB-TIL",'06 LABOUR RATE LIBRARY'!$A$5:$A$100,0)))</f>
        <v>2500</v>
      </c>
      <c r="H2546" s="21" t="n">
        <v>0</v>
      </c>
      <c r="I2546" s="18" t="n">
        <f aca="false">F2546*(1+H2546)</f>
        <v>0.00666666666666667</v>
      </c>
      <c r="J2546" s="13" t="n">
        <f aca="false">I2546*G2546</f>
        <v>16.6666666666667</v>
      </c>
      <c r="K2546" s="20" t="str">
        <f aca="false">IF(INDEX('06 LABOUR RATE LIBRARY'!$L$5:$L$100,MATCH("LAB-TIL",'06 LABOUR RATE LIBRARY'!$A$5:$A$100,0))=1,"",IF(INDEX('06 LABOUR RATE LIBRARY'!$L$5:$L$100,MATCH("LAB-TIL",'06 LABOUR RATE LIBRARY'!$A$5:$A$100,0))=2,"OLD RATE","NO RATE"))</f>
        <v/>
      </c>
    </row>
    <row r="2547" customFormat="false" ht="15" hidden="false" customHeight="true" outlineLevel="0" collapsed="false">
      <c r="A2547" s="9" t="s">
        <v>609</v>
      </c>
      <c r="B2547" s="9" t="s">
        <v>812</v>
      </c>
      <c r="C2547" s="9" t="s">
        <v>816</v>
      </c>
      <c r="D2547" s="5" t="s">
        <v>1366</v>
      </c>
      <c r="E2547" s="9" t="s">
        <v>815</v>
      </c>
      <c r="F2547" s="18" t="n">
        <f aca="false">1/150</f>
        <v>0.00666666666666667</v>
      </c>
      <c r="G2547" s="13" t="n">
        <f aca="false">N(INDEX('06 LABOUR RATE LIBRARY'!$D$5:$D$100,MATCH("LAB-HLP",'06 LABOUR RATE LIBRARY'!$A$5:$A$100,0)))</f>
        <v>1538</v>
      </c>
      <c r="H2547" s="21" t="n">
        <v>0</v>
      </c>
      <c r="I2547" s="18" t="n">
        <f aca="false">F2547*(1+H2547)</f>
        <v>0.00666666666666667</v>
      </c>
      <c r="J2547" s="13" t="n">
        <f aca="false">I2547*G2547</f>
        <v>10.2533333333333</v>
      </c>
      <c r="K254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548" customFormat="false" ht="15" hidden="false" customHeight="true" outlineLevel="0" collapsed="false">
      <c r="D2548" s="22" t="s">
        <v>825</v>
      </c>
      <c r="J2548" s="23" t="n">
        <f aca="false">SUMPRODUCT((B2543:B2547="Material")*F2543:F2547*G2543:G2547)</f>
        <v>75.0044074074074</v>
      </c>
    </row>
    <row r="2549" customFormat="false" ht="15" hidden="false" customHeight="true" outlineLevel="0" collapsed="false">
      <c r="D2549" s="22" t="s">
        <v>826</v>
      </c>
      <c r="J2549" s="23" t="n">
        <f aca="false">SUMIF(B2543:B2547,"Material",J2543:J2547)-J2548</f>
        <v>4.87178999999999</v>
      </c>
    </row>
    <row r="2550" customFormat="false" ht="15" hidden="false" customHeight="true" outlineLevel="0" collapsed="false">
      <c r="D2550" s="24" t="s">
        <v>827</v>
      </c>
      <c r="J2550" s="14" t="n">
        <f aca="false">SUMIF(B2543:B2547,"Material",J2543:J2547)</f>
        <v>79.8761974074074</v>
      </c>
    </row>
    <row r="2551" customFormat="false" ht="15" hidden="false" customHeight="true" outlineLevel="0" collapsed="false">
      <c r="D2551" s="24" t="s">
        <v>828</v>
      </c>
      <c r="J2551" s="14" t="n">
        <f aca="false">SUMIF(B2543:B2547,"Labour",J2543:J2547)</f>
        <v>26.92</v>
      </c>
    </row>
    <row r="2552" customFormat="false" ht="15" hidden="false" customHeight="true" outlineLevel="0" collapsed="false">
      <c r="D2552" s="24" t="s">
        <v>829</v>
      </c>
      <c r="J2552" s="14" t="n">
        <f aca="false">SUMIF(B2543:B2547,"Equipment",J2543:J2547)</f>
        <v>0</v>
      </c>
    </row>
    <row r="2553" customFormat="false" ht="15" hidden="false" customHeight="true" outlineLevel="0" collapsed="false">
      <c r="D2553" s="24" t="s">
        <v>830</v>
      </c>
      <c r="J2553" s="14" t="n">
        <f aca="false">SUMIF(B2543:B2547,"Transport",J2543:J2547)</f>
        <v>0</v>
      </c>
    </row>
    <row r="2554" customFormat="false" ht="15" hidden="false" customHeight="true" outlineLevel="0" collapsed="false">
      <c r="D2554" s="24" t="s">
        <v>831</v>
      </c>
      <c r="J2554" s="14" t="n">
        <f aca="false">J2550+J2551+J2552+J2553</f>
        <v>106.796197407407</v>
      </c>
    </row>
    <row r="2555" customFormat="false" ht="15" hidden="false" customHeight="true" outlineLevel="0" collapsed="false">
      <c r="D2555" s="22" t="s">
        <v>832</v>
      </c>
      <c r="J2555" s="23" t="n">
        <f aca="false">J2554*OH_Site</f>
        <v>3.20388592222222</v>
      </c>
    </row>
    <row r="2556" customFormat="false" ht="15" hidden="false" customHeight="true" outlineLevel="0" collapsed="false">
      <c r="D2556" s="22" t="s">
        <v>833</v>
      </c>
      <c r="J2556" s="23" t="n">
        <f aca="false">J2554*OH_HO</f>
        <v>5.33980987037037</v>
      </c>
    </row>
    <row r="2557" customFormat="false" ht="15" hidden="false" customHeight="true" outlineLevel="0" collapsed="false">
      <c r="D2557" s="22" t="s">
        <v>834</v>
      </c>
      <c r="J2557" s="23" t="n">
        <f aca="false">J2554*Profit</f>
        <v>10.6796197407407</v>
      </c>
    </row>
    <row r="2558" customFormat="false" ht="15" hidden="false" customHeight="true" outlineLevel="0" collapsed="false">
      <c r="D2558" s="24" t="s">
        <v>835</v>
      </c>
      <c r="J2558" s="14" t="n">
        <f aca="false">J2554+J2555+J2556+J2557</f>
        <v>126.019512940741</v>
      </c>
    </row>
    <row r="2559" customFormat="false" ht="15" hidden="false" customHeight="true" outlineLevel="0" collapsed="false">
      <c r="D2559" s="22" t="s">
        <v>836</v>
      </c>
      <c r="J2559" s="23" t="n">
        <f aca="false">IF(Tax_On="Yes",J2558*N(Tax_Rate),0)</f>
        <v>0</v>
      </c>
    </row>
    <row r="2560" customFormat="false" ht="15" hidden="false" customHeight="true" outlineLevel="0" collapsed="false">
      <c r="D2560" s="24" t="s">
        <v>1069</v>
      </c>
      <c r="J2560" s="14" t="n">
        <f aca="false">ROUND(J2558+J2559,0)</f>
        <v>126</v>
      </c>
    </row>
    <row r="2561" customFormat="false" ht="15" hidden="false" customHeight="true" outlineLevel="0" collapsed="false">
      <c r="D2561" s="25" t="s">
        <v>838</v>
      </c>
      <c r="J2561" s="26" t="n">
        <f aca="false">COUNTIF(K2543:K2547,"NO RATE")+COUNTIF(K2543:K2547,"OLD RATE")</f>
        <v>0</v>
      </c>
    </row>
    <row r="2563" customFormat="false" ht="39.75" hidden="false" customHeight="true" outlineLevel="0" collapsed="false">
      <c r="A2563" s="4" t="s">
        <v>613</v>
      </c>
      <c r="B2563" s="16" t="s">
        <v>615</v>
      </c>
      <c r="C2563" s="16"/>
      <c r="D2563" s="16"/>
      <c r="E2563" s="16"/>
      <c r="F2563" s="16"/>
      <c r="G2563" s="16"/>
      <c r="H2563" s="16"/>
      <c r="I2563" s="16"/>
      <c r="J2563" s="4" t="s">
        <v>890</v>
      </c>
      <c r="K2563" s="17"/>
    </row>
    <row r="2564" customFormat="false" ht="21.75" hidden="false" customHeight="true" outlineLevel="0" collapsed="false">
      <c r="A2564" s="12" t="s">
        <v>75</v>
      </c>
      <c r="B2564" s="12" t="s">
        <v>789</v>
      </c>
      <c r="C2564" s="12" t="s">
        <v>790</v>
      </c>
      <c r="D2564" s="12" t="s">
        <v>791</v>
      </c>
      <c r="E2564" s="12" t="s">
        <v>81</v>
      </c>
      <c r="F2564" s="12" t="s">
        <v>792</v>
      </c>
      <c r="G2564" s="12" t="s">
        <v>793</v>
      </c>
      <c r="H2564" s="12" t="s">
        <v>794</v>
      </c>
      <c r="I2564" s="12" t="s">
        <v>795</v>
      </c>
      <c r="J2564" s="12" t="s">
        <v>796</v>
      </c>
      <c r="K2564" s="12" t="s">
        <v>797</v>
      </c>
    </row>
    <row r="2565" customFormat="false" ht="15" hidden="false" customHeight="true" outlineLevel="0" collapsed="false">
      <c r="A2565" s="9" t="s">
        <v>613</v>
      </c>
      <c r="B2565" s="9" t="s">
        <v>798</v>
      </c>
      <c r="C2565" s="9" t="s">
        <v>799</v>
      </c>
      <c r="D2565" s="5" t="s">
        <v>850</v>
      </c>
      <c r="E2565" s="9" t="s">
        <v>801</v>
      </c>
      <c r="F2565" s="18" t="n">
        <f aca="false">0.0625*1.2*DryF_Mortar*1/5/Bag_cft</f>
        <v>0.0156</v>
      </c>
      <c r="G2565" s="13" t="n">
        <f aca="false">N(INDEX('05 MATERIAL RATE LIBRARY'!$E$5:$E$400,MATCH("MAT-CEM-OPC",'05 MATERIAL RATE LIBRARY'!$A$5:$A$400,0)))</f>
        <v>1575</v>
      </c>
      <c r="H2565" s="19" t="n">
        <f aca="false">W_Cem</f>
        <v>0.02</v>
      </c>
      <c r="I2565" s="18" t="n">
        <f aca="false">F2565*(1+H2565)</f>
        <v>0.015912</v>
      </c>
      <c r="J2565" s="13" t="n">
        <f aca="false">I2565*G2565</f>
        <v>25.0614</v>
      </c>
      <c r="K2565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566" customFormat="false" ht="15" hidden="false" customHeight="true" outlineLevel="0" collapsed="false">
      <c r="A2566" s="9" t="s">
        <v>613</v>
      </c>
      <c r="B2566" s="9" t="s">
        <v>798</v>
      </c>
      <c r="C2566" s="9" t="s">
        <v>864</v>
      </c>
      <c r="D2566" s="5" t="s">
        <v>891</v>
      </c>
      <c r="E2566" s="9" t="s">
        <v>109</v>
      </c>
      <c r="F2566" s="18" t="n">
        <f aca="false">0.0625*1.2*DryF_Mortar*4/5</f>
        <v>0.078</v>
      </c>
      <c r="G2566" s="13" t="n">
        <f aca="false">N(INDEX('05 MATERIAL RATE LIBRARY'!$E$5:$E$400,MATCH("MAT-SND-CHN",'05 MATERIAL RATE LIBRARY'!$A$5:$A$400,0)))</f>
        <v>80</v>
      </c>
      <c r="H2566" s="19" t="n">
        <f aca="false">W_Agg</f>
        <v>0.05</v>
      </c>
      <c r="I2566" s="18" t="n">
        <f aca="false">F2566*(1+H2566)</f>
        <v>0.0819</v>
      </c>
      <c r="J2566" s="13" t="n">
        <f aca="false">I2566*G2566</f>
        <v>6.552</v>
      </c>
      <c r="K2566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2567" customFormat="false" ht="15" hidden="false" customHeight="true" outlineLevel="0" collapsed="false">
      <c r="A2567" s="9" t="s">
        <v>613</v>
      </c>
      <c r="B2567" s="9" t="s">
        <v>812</v>
      </c>
      <c r="C2567" s="9" t="s">
        <v>892</v>
      </c>
      <c r="D2567" s="5" t="s">
        <v>896</v>
      </c>
      <c r="E2567" s="9" t="s">
        <v>815</v>
      </c>
      <c r="F2567" s="18" t="n">
        <f aca="false">'13 PRODUCTIVITY LIBRARY'!E30/'13 PRODUCTIVITY LIBRARY'!D30</f>
        <v>0.0125</v>
      </c>
      <c r="G2567" s="13" t="n">
        <f aca="false">N(INDEX('06 LABOUR RATE LIBRARY'!$D$5:$D$100,MATCH("LAB-PLS",'06 LABOUR RATE LIBRARY'!$A$5:$A$100,0)))</f>
        <v>2150</v>
      </c>
      <c r="H2567" s="21" t="n">
        <v>0</v>
      </c>
      <c r="I2567" s="18" t="n">
        <f aca="false">F2567*(1+H2567)</f>
        <v>0.0125</v>
      </c>
      <c r="J2567" s="13" t="n">
        <f aca="false">I2567*G2567</f>
        <v>26.875</v>
      </c>
      <c r="K2567" s="20" t="str">
        <f aca="false">IF(INDEX('06 LABOUR RATE LIBRARY'!$L$5:$L$100,MATCH("LAB-PLS",'06 LABOUR RATE LIBRARY'!$A$5:$A$100,0))=1,"",IF(INDEX('06 LABOUR RATE LIBRARY'!$L$5:$L$100,MATCH("LAB-PLS",'06 LABOUR RATE LIBRARY'!$A$5:$A$100,0))=2,"OLD RATE","NO RATE"))</f>
        <v/>
      </c>
    </row>
    <row r="2568" customFormat="false" ht="15" hidden="false" customHeight="true" outlineLevel="0" collapsed="false">
      <c r="A2568" s="9" t="s">
        <v>613</v>
      </c>
      <c r="B2568" s="9" t="s">
        <v>812</v>
      </c>
      <c r="C2568" s="9" t="s">
        <v>816</v>
      </c>
      <c r="D2568" s="5" t="s">
        <v>1367</v>
      </c>
      <c r="E2568" s="9" t="s">
        <v>815</v>
      </c>
      <c r="F2568" s="18" t="n">
        <f aca="false">'13 PRODUCTIVITY LIBRARY'!F30/'13 PRODUCTIVITY LIBRARY'!D30</f>
        <v>0.0125</v>
      </c>
      <c r="G2568" s="13" t="n">
        <f aca="false">N(INDEX('06 LABOUR RATE LIBRARY'!$D$5:$D$100,MATCH("LAB-HLP",'06 LABOUR RATE LIBRARY'!$A$5:$A$100,0)))</f>
        <v>1538</v>
      </c>
      <c r="H2568" s="21" t="n">
        <v>0</v>
      </c>
      <c r="I2568" s="18" t="n">
        <f aca="false">F2568*(1+H2568)</f>
        <v>0.0125</v>
      </c>
      <c r="J2568" s="13" t="n">
        <f aca="false">I2568*G2568</f>
        <v>19.225</v>
      </c>
      <c r="K2568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569" customFormat="false" ht="15" hidden="false" customHeight="true" outlineLevel="0" collapsed="false">
      <c r="D2569" s="22" t="s">
        <v>825</v>
      </c>
      <c r="J2569" s="23" t="n">
        <f aca="false">SUMPRODUCT((B2565:B2568="Material")*F2565:F2568*G2565:G2568)</f>
        <v>30.81</v>
      </c>
    </row>
    <row r="2570" customFormat="false" ht="15" hidden="false" customHeight="true" outlineLevel="0" collapsed="false">
      <c r="D2570" s="22" t="s">
        <v>826</v>
      </c>
      <c r="J2570" s="23" t="n">
        <f aca="false">SUMIF(B2565:B2568,"Material",J2565:J2568)-J2569</f>
        <v>0.803399999999996</v>
      </c>
    </row>
    <row r="2571" customFormat="false" ht="15" hidden="false" customHeight="true" outlineLevel="0" collapsed="false">
      <c r="D2571" s="24" t="s">
        <v>827</v>
      </c>
      <c r="J2571" s="14" t="n">
        <f aca="false">SUMIF(B2565:B2568,"Material",J2565:J2568)</f>
        <v>31.6134</v>
      </c>
    </row>
    <row r="2572" customFormat="false" ht="15" hidden="false" customHeight="true" outlineLevel="0" collapsed="false">
      <c r="D2572" s="24" t="s">
        <v>828</v>
      </c>
      <c r="J2572" s="14" t="n">
        <f aca="false">SUMIF(B2565:B2568,"Labour",J2565:J2568)</f>
        <v>46.1</v>
      </c>
    </row>
    <row r="2573" customFormat="false" ht="15" hidden="false" customHeight="true" outlineLevel="0" collapsed="false">
      <c r="D2573" s="24" t="s">
        <v>829</v>
      </c>
      <c r="J2573" s="14" t="n">
        <f aca="false">SUMIF(B2565:B2568,"Equipment",J2565:J2568)</f>
        <v>0</v>
      </c>
    </row>
    <row r="2574" customFormat="false" ht="15" hidden="false" customHeight="true" outlineLevel="0" collapsed="false">
      <c r="D2574" s="24" t="s">
        <v>830</v>
      </c>
      <c r="J2574" s="14" t="n">
        <f aca="false">SUMIF(B2565:B2568,"Transport",J2565:J2568)</f>
        <v>0</v>
      </c>
    </row>
    <row r="2575" customFormat="false" ht="15" hidden="false" customHeight="true" outlineLevel="0" collapsed="false">
      <c r="D2575" s="24" t="s">
        <v>831</v>
      </c>
      <c r="J2575" s="14" t="n">
        <f aca="false">J2571+J2572+J2573+J2574</f>
        <v>77.7134</v>
      </c>
    </row>
    <row r="2576" customFormat="false" ht="15" hidden="false" customHeight="true" outlineLevel="0" collapsed="false">
      <c r="D2576" s="22" t="s">
        <v>832</v>
      </c>
      <c r="J2576" s="23" t="n">
        <f aca="false">J2575*OH_Site</f>
        <v>2.331402</v>
      </c>
    </row>
    <row r="2577" customFormat="false" ht="15" hidden="false" customHeight="true" outlineLevel="0" collapsed="false">
      <c r="D2577" s="22" t="s">
        <v>833</v>
      </c>
      <c r="J2577" s="23" t="n">
        <f aca="false">J2575*OH_HO</f>
        <v>3.88567</v>
      </c>
    </row>
    <row r="2578" customFormat="false" ht="15" hidden="false" customHeight="true" outlineLevel="0" collapsed="false">
      <c r="D2578" s="22" t="s">
        <v>834</v>
      </c>
      <c r="J2578" s="23" t="n">
        <f aca="false">J2575*Profit</f>
        <v>7.77134</v>
      </c>
    </row>
    <row r="2579" customFormat="false" ht="15" hidden="false" customHeight="true" outlineLevel="0" collapsed="false">
      <c r="D2579" s="24" t="s">
        <v>835</v>
      </c>
      <c r="J2579" s="14" t="n">
        <f aca="false">J2575+J2576+J2577+J2578</f>
        <v>91.701812</v>
      </c>
    </row>
    <row r="2580" customFormat="false" ht="15" hidden="false" customHeight="true" outlineLevel="0" collapsed="false">
      <c r="D2580" s="22" t="s">
        <v>836</v>
      </c>
      <c r="J2580" s="23" t="n">
        <f aca="false">IF(Tax_On="Yes",J2579*N(Tax_Rate),0)</f>
        <v>0</v>
      </c>
    </row>
    <row r="2581" customFormat="false" ht="15" hidden="false" customHeight="true" outlineLevel="0" collapsed="false">
      <c r="D2581" s="24" t="s">
        <v>895</v>
      </c>
      <c r="J2581" s="14" t="n">
        <f aca="false">ROUND(J2579+J2580,0)</f>
        <v>92</v>
      </c>
    </row>
    <row r="2582" customFormat="false" ht="15" hidden="false" customHeight="true" outlineLevel="0" collapsed="false">
      <c r="D2582" s="25" t="s">
        <v>838</v>
      </c>
      <c r="J2582" s="26" t="n">
        <f aca="false">COUNTIF(K2565:K2568,"NO RATE")+COUNTIF(K2565:K2568,"OLD RATE")</f>
        <v>0</v>
      </c>
    </row>
    <row r="2584" customFormat="false" ht="39.75" hidden="false" customHeight="true" outlineLevel="0" collapsed="false">
      <c r="A2584" s="4" t="s">
        <v>617</v>
      </c>
      <c r="B2584" s="16" t="s">
        <v>619</v>
      </c>
      <c r="C2584" s="16"/>
      <c r="D2584" s="16"/>
      <c r="E2584" s="16"/>
      <c r="F2584" s="16"/>
      <c r="G2584" s="16"/>
      <c r="H2584" s="16"/>
      <c r="I2584" s="16"/>
      <c r="J2584" s="4" t="s">
        <v>890</v>
      </c>
      <c r="K2584" s="17"/>
    </row>
    <row r="2585" customFormat="false" ht="21.75" hidden="false" customHeight="true" outlineLevel="0" collapsed="false">
      <c r="A2585" s="12" t="s">
        <v>75</v>
      </c>
      <c r="B2585" s="12" t="s">
        <v>789</v>
      </c>
      <c r="C2585" s="12" t="s">
        <v>790</v>
      </c>
      <c r="D2585" s="12" t="s">
        <v>791</v>
      </c>
      <c r="E2585" s="12" t="s">
        <v>81</v>
      </c>
      <c r="F2585" s="12" t="s">
        <v>792</v>
      </c>
      <c r="G2585" s="12" t="s">
        <v>793</v>
      </c>
      <c r="H2585" s="12" t="s">
        <v>794</v>
      </c>
      <c r="I2585" s="12" t="s">
        <v>795</v>
      </c>
      <c r="J2585" s="12" t="s">
        <v>796</v>
      </c>
      <c r="K2585" s="12" t="s">
        <v>797</v>
      </c>
    </row>
    <row r="2586" customFormat="false" ht="15" hidden="false" customHeight="true" outlineLevel="0" collapsed="false">
      <c r="A2586" s="9" t="s">
        <v>617</v>
      </c>
      <c r="B2586" s="9" t="s">
        <v>798</v>
      </c>
      <c r="C2586" s="9" t="s">
        <v>799</v>
      </c>
      <c r="D2586" s="5" t="s">
        <v>850</v>
      </c>
      <c r="E2586" s="9" t="s">
        <v>801</v>
      </c>
      <c r="F2586" s="18" t="n">
        <f aca="false">0.03125*1.2*DryF_Mortar*1/4/Bag_cft</f>
        <v>0.00975</v>
      </c>
      <c r="G2586" s="13" t="n">
        <f aca="false">N(INDEX('05 MATERIAL RATE LIBRARY'!$E$5:$E$400,MATCH("MAT-CEM-OPC",'05 MATERIAL RATE LIBRARY'!$A$5:$A$400,0)))</f>
        <v>1575</v>
      </c>
      <c r="H2586" s="19" t="n">
        <f aca="false">W_Cem</f>
        <v>0.02</v>
      </c>
      <c r="I2586" s="18" t="n">
        <f aca="false">F2586*(1+H2586)</f>
        <v>0.009945</v>
      </c>
      <c r="J2586" s="13" t="n">
        <f aca="false">I2586*G2586</f>
        <v>15.663375</v>
      </c>
      <c r="K2586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587" customFormat="false" ht="15" hidden="false" customHeight="true" outlineLevel="0" collapsed="false">
      <c r="A2587" s="9" t="s">
        <v>617</v>
      </c>
      <c r="B2587" s="9" t="s">
        <v>798</v>
      </c>
      <c r="C2587" s="9" t="s">
        <v>864</v>
      </c>
      <c r="D2587" s="5" t="s">
        <v>891</v>
      </c>
      <c r="E2587" s="9" t="s">
        <v>109</v>
      </c>
      <c r="F2587" s="18" t="n">
        <f aca="false">0.03125*1.2*DryF_Mortar*3/4</f>
        <v>0.0365625</v>
      </c>
      <c r="G2587" s="13" t="n">
        <f aca="false">N(INDEX('05 MATERIAL RATE LIBRARY'!$E$5:$E$400,MATCH("MAT-SND-CHN",'05 MATERIAL RATE LIBRARY'!$A$5:$A$400,0)))</f>
        <v>80</v>
      </c>
      <c r="H2587" s="19" t="n">
        <f aca="false">W_Agg</f>
        <v>0.05</v>
      </c>
      <c r="I2587" s="18" t="n">
        <f aca="false">F2587*(1+H2587)</f>
        <v>0.038390625</v>
      </c>
      <c r="J2587" s="13" t="n">
        <f aca="false">I2587*G2587</f>
        <v>3.07125</v>
      </c>
      <c r="K2587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2588" customFormat="false" ht="15" hidden="false" customHeight="true" outlineLevel="0" collapsed="false">
      <c r="A2588" s="9" t="s">
        <v>617</v>
      </c>
      <c r="B2588" s="9" t="s">
        <v>812</v>
      </c>
      <c r="C2588" s="9" t="s">
        <v>892</v>
      </c>
      <c r="D2588" s="5" t="s">
        <v>1368</v>
      </c>
      <c r="E2588" s="9" t="s">
        <v>815</v>
      </c>
      <c r="F2588" s="18" t="n">
        <f aca="false">'13 PRODUCTIVITY LIBRARY'!E31/'13 PRODUCTIVITY LIBRARY'!D31</f>
        <v>0.0111111111111111</v>
      </c>
      <c r="G2588" s="13" t="n">
        <f aca="false">N(INDEX('06 LABOUR RATE LIBRARY'!$D$5:$D$100,MATCH("LAB-PLS",'06 LABOUR RATE LIBRARY'!$A$5:$A$100,0)))</f>
        <v>2150</v>
      </c>
      <c r="H2588" s="21" t="n">
        <v>0</v>
      </c>
      <c r="I2588" s="18" t="n">
        <f aca="false">F2588*(1+H2588)</f>
        <v>0.0111111111111111</v>
      </c>
      <c r="J2588" s="13" t="n">
        <f aca="false">I2588*G2588</f>
        <v>23.8888888888889</v>
      </c>
      <c r="K2588" s="20" t="str">
        <f aca="false">IF(INDEX('06 LABOUR RATE LIBRARY'!$L$5:$L$100,MATCH("LAB-PLS",'06 LABOUR RATE LIBRARY'!$A$5:$A$100,0))=1,"",IF(INDEX('06 LABOUR RATE LIBRARY'!$L$5:$L$100,MATCH("LAB-PLS",'06 LABOUR RATE LIBRARY'!$A$5:$A$100,0))=2,"OLD RATE","NO RATE"))</f>
        <v/>
      </c>
    </row>
    <row r="2589" customFormat="false" ht="15" hidden="false" customHeight="true" outlineLevel="0" collapsed="false">
      <c r="A2589" s="9" t="s">
        <v>617</v>
      </c>
      <c r="B2589" s="9" t="s">
        <v>812</v>
      </c>
      <c r="C2589" s="9" t="s">
        <v>816</v>
      </c>
      <c r="D2589" s="5" t="s">
        <v>1369</v>
      </c>
      <c r="E2589" s="9" t="s">
        <v>815</v>
      </c>
      <c r="F2589" s="18" t="n">
        <f aca="false">'13 PRODUCTIVITY LIBRARY'!F31/'13 PRODUCTIVITY LIBRARY'!D31</f>
        <v>0.0111111111111111</v>
      </c>
      <c r="G2589" s="13" t="n">
        <f aca="false">N(INDEX('06 LABOUR RATE LIBRARY'!$D$5:$D$100,MATCH("LAB-HLP",'06 LABOUR RATE LIBRARY'!$A$5:$A$100,0)))</f>
        <v>1538</v>
      </c>
      <c r="H2589" s="21" t="n">
        <v>0</v>
      </c>
      <c r="I2589" s="18" t="n">
        <f aca="false">F2589*(1+H2589)</f>
        <v>0.0111111111111111</v>
      </c>
      <c r="J2589" s="13" t="n">
        <f aca="false">I2589*G2589</f>
        <v>17.0888888888889</v>
      </c>
      <c r="K258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590" customFormat="false" ht="15" hidden="false" customHeight="true" outlineLevel="0" collapsed="false">
      <c r="D2590" s="22" t="s">
        <v>825</v>
      </c>
      <c r="J2590" s="23" t="n">
        <f aca="false">SUMPRODUCT((B2586:B2589="Material")*F2586:F2589*G2586:G2589)</f>
        <v>18.28125</v>
      </c>
    </row>
    <row r="2591" customFormat="false" ht="15" hidden="false" customHeight="true" outlineLevel="0" collapsed="false">
      <c r="D2591" s="22" t="s">
        <v>826</v>
      </c>
      <c r="J2591" s="23" t="n">
        <f aca="false">SUMIF(B2586:B2589,"Material",J2586:J2589)-J2590</f>
        <v>0.453375000000001</v>
      </c>
    </row>
    <row r="2592" customFormat="false" ht="15" hidden="false" customHeight="true" outlineLevel="0" collapsed="false">
      <c r="D2592" s="24" t="s">
        <v>827</v>
      </c>
      <c r="J2592" s="14" t="n">
        <f aca="false">SUMIF(B2586:B2589,"Material",J2586:J2589)</f>
        <v>18.734625</v>
      </c>
    </row>
    <row r="2593" customFormat="false" ht="15" hidden="false" customHeight="true" outlineLevel="0" collapsed="false">
      <c r="D2593" s="24" t="s">
        <v>828</v>
      </c>
      <c r="J2593" s="14" t="n">
        <f aca="false">SUMIF(B2586:B2589,"Labour",J2586:J2589)</f>
        <v>40.9777777777778</v>
      </c>
    </row>
    <row r="2594" customFormat="false" ht="15" hidden="false" customHeight="true" outlineLevel="0" collapsed="false">
      <c r="D2594" s="24" t="s">
        <v>829</v>
      </c>
      <c r="J2594" s="14" t="n">
        <f aca="false">SUMIF(B2586:B2589,"Equipment",J2586:J2589)</f>
        <v>0</v>
      </c>
    </row>
    <row r="2595" customFormat="false" ht="15" hidden="false" customHeight="true" outlineLevel="0" collapsed="false">
      <c r="D2595" s="24" t="s">
        <v>830</v>
      </c>
      <c r="J2595" s="14" t="n">
        <f aca="false">SUMIF(B2586:B2589,"Transport",J2586:J2589)</f>
        <v>0</v>
      </c>
    </row>
    <row r="2596" customFormat="false" ht="15" hidden="false" customHeight="true" outlineLevel="0" collapsed="false">
      <c r="D2596" s="24" t="s">
        <v>831</v>
      </c>
      <c r="J2596" s="14" t="n">
        <f aca="false">J2592+J2593+J2594+J2595</f>
        <v>59.7124027777778</v>
      </c>
    </row>
    <row r="2597" customFormat="false" ht="15" hidden="false" customHeight="true" outlineLevel="0" collapsed="false">
      <c r="D2597" s="22" t="s">
        <v>832</v>
      </c>
      <c r="J2597" s="23" t="n">
        <f aca="false">J2596*OH_Site</f>
        <v>1.79137208333333</v>
      </c>
    </row>
    <row r="2598" customFormat="false" ht="15" hidden="false" customHeight="true" outlineLevel="0" collapsed="false">
      <c r="D2598" s="22" t="s">
        <v>833</v>
      </c>
      <c r="J2598" s="23" t="n">
        <f aca="false">J2596*OH_HO</f>
        <v>2.98562013888889</v>
      </c>
    </row>
    <row r="2599" customFormat="false" ht="15" hidden="false" customHeight="true" outlineLevel="0" collapsed="false">
      <c r="D2599" s="22" t="s">
        <v>834</v>
      </c>
      <c r="J2599" s="23" t="n">
        <f aca="false">J2596*Profit</f>
        <v>5.97124027777778</v>
      </c>
    </row>
    <row r="2600" customFormat="false" ht="15" hidden="false" customHeight="true" outlineLevel="0" collapsed="false">
      <c r="D2600" s="24" t="s">
        <v>835</v>
      </c>
      <c r="J2600" s="14" t="n">
        <f aca="false">J2596+J2597+J2598+J2599</f>
        <v>70.4606352777778</v>
      </c>
    </row>
    <row r="2601" customFormat="false" ht="15" hidden="false" customHeight="true" outlineLevel="0" collapsed="false">
      <c r="D2601" s="22" t="s">
        <v>836</v>
      </c>
      <c r="J2601" s="23" t="n">
        <f aca="false">IF(Tax_On="Yes",J2600*N(Tax_Rate),0)</f>
        <v>0</v>
      </c>
    </row>
    <row r="2602" customFormat="false" ht="15" hidden="false" customHeight="true" outlineLevel="0" collapsed="false">
      <c r="D2602" s="24" t="s">
        <v>895</v>
      </c>
      <c r="J2602" s="14" t="n">
        <f aca="false">ROUND(J2600+J2601,0)</f>
        <v>70</v>
      </c>
    </row>
    <row r="2603" customFormat="false" ht="15" hidden="false" customHeight="true" outlineLevel="0" collapsed="false">
      <c r="D2603" s="25" t="s">
        <v>838</v>
      </c>
      <c r="J2603" s="26" t="n">
        <f aca="false">COUNTIF(K2586:K2589,"NO RATE")+COUNTIF(K2586:K2589,"OLD RATE")</f>
        <v>0</v>
      </c>
    </row>
    <row r="2605" customFormat="false" ht="39.75" hidden="false" customHeight="true" outlineLevel="0" collapsed="false">
      <c r="A2605" s="4" t="s">
        <v>621</v>
      </c>
      <c r="B2605" s="16" t="s">
        <v>623</v>
      </c>
      <c r="C2605" s="16"/>
      <c r="D2605" s="16"/>
      <c r="E2605" s="16"/>
      <c r="F2605" s="16"/>
      <c r="G2605" s="16"/>
      <c r="H2605" s="16"/>
      <c r="I2605" s="16"/>
      <c r="J2605" s="4" t="s">
        <v>890</v>
      </c>
      <c r="K2605" s="17"/>
    </row>
    <row r="2606" customFormat="false" ht="21.75" hidden="false" customHeight="true" outlineLevel="0" collapsed="false">
      <c r="A2606" s="12" t="s">
        <v>75</v>
      </c>
      <c r="B2606" s="12" t="s">
        <v>789</v>
      </c>
      <c r="C2606" s="12" t="s">
        <v>790</v>
      </c>
      <c r="D2606" s="12" t="s">
        <v>791</v>
      </c>
      <c r="E2606" s="12" t="s">
        <v>81</v>
      </c>
      <c r="F2606" s="12" t="s">
        <v>792</v>
      </c>
      <c r="G2606" s="12" t="s">
        <v>793</v>
      </c>
      <c r="H2606" s="12" t="s">
        <v>794</v>
      </c>
      <c r="I2606" s="12" t="s">
        <v>795</v>
      </c>
      <c r="J2606" s="12" t="s">
        <v>796</v>
      </c>
      <c r="K2606" s="12" t="s">
        <v>797</v>
      </c>
    </row>
    <row r="2607" customFormat="false" ht="15" hidden="false" customHeight="true" outlineLevel="0" collapsed="false">
      <c r="A2607" s="9" t="s">
        <v>621</v>
      </c>
      <c r="B2607" s="9" t="s">
        <v>798</v>
      </c>
      <c r="C2607" s="9" t="s">
        <v>799</v>
      </c>
      <c r="D2607" s="5" t="s">
        <v>850</v>
      </c>
      <c r="E2607" s="9" t="s">
        <v>801</v>
      </c>
      <c r="F2607" s="18" t="n">
        <f aca="false">0.0833*1.05*DryF_Mortar/4/Bag_cft</f>
        <v>0.0227409</v>
      </c>
      <c r="G2607" s="13" t="n">
        <f aca="false">N(INDEX('05 MATERIAL RATE LIBRARY'!$E$5:$E$400,MATCH("MAT-CEM-OPC",'05 MATERIAL RATE LIBRARY'!$A$5:$A$400,0)))</f>
        <v>1575</v>
      </c>
      <c r="H2607" s="19" t="n">
        <f aca="false">W_Cem</f>
        <v>0.02</v>
      </c>
      <c r="I2607" s="18" t="n">
        <f aca="false">F2607*(1+H2607)</f>
        <v>0.023195718</v>
      </c>
      <c r="J2607" s="13" t="n">
        <f aca="false">I2607*G2607</f>
        <v>36.53325585</v>
      </c>
      <c r="K2607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608" customFormat="false" ht="15" hidden="false" customHeight="true" outlineLevel="0" collapsed="false">
      <c r="A2608" s="9" t="s">
        <v>621</v>
      </c>
      <c r="B2608" s="9" t="s">
        <v>798</v>
      </c>
      <c r="C2608" s="9" t="s">
        <v>864</v>
      </c>
      <c r="D2608" s="5" t="s">
        <v>1370</v>
      </c>
      <c r="E2608" s="9" t="s">
        <v>109</v>
      </c>
      <c r="F2608" s="18" t="n">
        <f aca="false">0.0833*1.05*DryF_Mortar*3/4</f>
        <v>0.085278375</v>
      </c>
      <c r="G2608" s="13" t="n">
        <f aca="false">N(INDEX('05 MATERIAL RATE LIBRARY'!$E$5:$E$400,MATCH("MAT-SND-CHN",'05 MATERIAL RATE LIBRARY'!$A$5:$A$400,0)))</f>
        <v>80</v>
      </c>
      <c r="H2608" s="19" t="n">
        <f aca="false">W_Agg</f>
        <v>0.05</v>
      </c>
      <c r="I2608" s="18" t="n">
        <f aca="false">F2608*(1+H2608)</f>
        <v>0.08954229375</v>
      </c>
      <c r="J2608" s="13" t="n">
        <f aca="false">I2608*G2608</f>
        <v>7.1633835</v>
      </c>
      <c r="K2608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2609" customFormat="false" ht="15" hidden="false" customHeight="true" outlineLevel="0" collapsed="false">
      <c r="A2609" s="9" t="s">
        <v>621</v>
      </c>
      <c r="B2609" s="9" t="s">
        <v>812</v>
      </c>
      <c r="C2609" s="9" t="s">
        <v>813</v>
      </c>
      <c r="D2609" s="5" t="s">
        <v>1371</v>
      </c>
      <c r="E2609" s="9" t="s">
        <v>815</v>
      </c>
      <c r="F2609" s="18" t="n">
        <f aca="false">'13 PRODUCTIVITY LIBRARY'!E32/'13 PRODUCTIVITY LIBRARY'!D32</f>
        <v>0.00869565217391304</v>
      </c>
      <c r="G2609" s="13" t="n">
        <f aca="false">N(INDEX('06 LABOUR RATE LIBRARY'!$D$5:$D$100,MATCH("LAB-MSN",'06 LABOUR RATE LIBRARY'!$A$5:$A$100,0)))</f>
        <v>2200</v>
      </c>
      <c r="H2609" s="21" t="n">
        <v>0</v>
      </c>
      <c r="I2609" s="18" t="n">
        <f aca="false">F2609*(1+H2609)</f>
        <v>0.00869565217391304</v>
      </c>
      <c r="J2609" s="13" t="n">
        <f aca="false">I2609*G2609</f>
        <v>19.1304347826087</v>
      </c>
      <c r="K2609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610" customFormat="false" ht="15" hidden="false" customHeight="true" outlineLevel="0" collapsed="false">
      <c r="A2610" s="9" t="s">
        <v>621</v>
      </c>
      <c r="B2610" s="9" t="s">
        <v>812</v>
      </c>
      <c r="C2610" s="9" t="s">
        <v>816</v>
      </c>
      <c r="D2610" s="5" t="s">
        <v>1372</v>
      </c>
      <c r="E2610" s="9" t="s">
        <v>815</v>
      </c>
      <c r="F2610" s="18" t="n">
        <f aca="false">'13 PRODUCTIVITY LIBRARY'!F32/'13 PRODUCTIVITY LIBRARY'!D32</f>
        <v>0.0173913043478261</v>
      </c>
      <c r="G2610" s="13" t="n">
        <f aca="false">N(INDEX('06 LABOUR RATE LIBRARY'!$D$5:$D$100,MATCH("LAB-HLP",'06 LABOUR RATE LIBRARY'!$A$5:$A$100,0)))</f>
        <v>1538</v>
      </c>
      <c r="H2610" s="21" t="n">
        <v>0</v>
      </c>
      <c r="I2610" s="18" t="n">
        <f aca="false">F2610*(1+H2610)</f>
        <v>0.0173913043478261</v>
      </c>
      <c r="J2610" s="13" t="n">
        <f aca="false">I2610*G2610</f>
        <v>26.7478260869565</v>
      </c>
      <c r="K2610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611" customFormat="false" ht="15" hidden="false" customHeight="true" outlineLevel="0" collapsed="false">
      <c r="D2611" s="22" t="s">
        <v>825</v>
      </c>
      <c r="J2611" s="23" t="n">
        <f aca="false">SUMPRODUCT((B2607:B2610="Material")*F2607:F2610*G2607:G2610)</f>
        <v>42.6391875</v>
      </c>
    </row>
    <row r="2612" customFormat="false" ht="15" hidden="false" customHeight="true" outlineLevel="0" collapsed="false">
      <c r="D2612" s="22" t="s">
        <v>826</v>
      </c>
      <c r="J2612" s="23" t="n">
        <f aca="false">SUMIF(B2607:B2610,"Material",J2607:J2610)-J2611</f>
        <v>1.05745185</v>
      </c>
    </row>
    <row r="2613" customFormat="false" ht="15" hidden="false" customHeight="true" outlineLevel="0" collapsed="false">
      <c r="D2613" s="24" t="s">
        <v>827</v>
      </c>
      <c r="J2613" s="14" t="n">
        <f aca="false">SUMIF(B2607:B2610,"Material",J2607:J2610)</f>
        <v>43.69663935</v>
      </c>
    </row>
    <row r="2614" customFormat="false" ht="15" hidden="false" customHeight="true" outlineLevel="0" collapsed="false">
      <c r="D2614" s="24" t="s">
        <v>828</v>
      </c>
      <c r="J2614" s="14" t="n">
        <f aca="false">SUMIF(B2607:B2610,"Labour",J2607:J2610)</f>
        <v>45.8782608695652</v>
      </c>
    </row>
    <row r="2615" customFormat="false" ht="15" hidden="false" customHeight="true" outlineLevel="0" collapsed="false">
      <c r="D2615" s="24" t="s">
        <v>829</v>
      </c>
      <c r="J2615" s="14" t="n">
        <f aca="false">SUMIF(B2607:B2610,"Equipment",J2607:J2610)</f>
        <v>0</v>
      </c>
    </row>
    <row r="2616" customFormat="false" ht="15" hidden="false" customHeight="true" outlineLevel="0" collapsed="false">
      <c r="D2616" s="24" t="s">
        <v>830</v>
      </c>
      <c r="J2616" s="14" t="n">
        <f aca="false">SUMIF(B2607:B2610,"Transport",J2607:J2610)</f>
        <v>0</v>
      </c>
    </row>
    <row r="2617" customFormat="false" ht="15" hidden="false" customHeight="true" outlineLevel="0" collapsed="false">
      <c r="D2617" s="24" t="s">
        <v>831</v>
      </c>
      <c r="J2617" s="14" t="n">
        <f aca="false">J2613+J2614+J2615+J2616</f>
        <v>89.5749002195652</v>
      </c>
    </row>
    <row r="2618" customFormat="false" ht="15" hidden="false" customHeight="true" outlineLevel="0" collapsed="false">
      <c r="D2618" s="22" t="s">
        <v>832</v>
      </c>
      <c r="J2618" s="23" t="n">
        <f aca="false">J2617*OH_Site</f>
        <v>2.68724700658696</v>
      </c>
    </row>
    <row r="2619" customFormat="false" ht="15" hidden="false" customHeight="true" outlineLevel="0" collapsed="false">
      <c r="D2619" s="22" t="s">
        <v>833</v>
      </c>
      <c r="J2619" s="23" t="n">
        <f aca="false">J2617*OH_HO</f>
        <v>4.47874501097826</v>
      </c>
    </row>
    <row r="2620" customFormat="false" ht="15" hidden="false" customHeight="true" outlineLevel="0" collapsed="false">
      <c r="D2620" s="22" t="s">
        <v>834</v>
      </c>
      <c r="J2620" s="23" t="n">
        <f aca="false">J2617*Profit</f>
        <v>8.95749002195652</v>
      </c>
    </row>
    <row r="2621" customFormat="false" ht="15" hidden="false" customHeight="true" outlineLevel="0" collapsed="false">
      <c r="D2621" s="24" t="s">
        <v>835</v>
      </c>
      <c r="J2621" s="14" t="n">
        <f aca="false">J2617+J2618+J2619+J2620</f>
        <v>105.698382259087</v>
      </c>
    </row>
    <row r="2622" customFormat="false" ht="15" hidden="false" customHeight="true" outlineLevel="0" collapsed="false">
      <c r="D2622" s="22" t="s">
        <v>836</v>
      </c>
      <c r="J2622" s="23" t="n">
        <f aca="false">IF(Tax_On="Yes",J2621*N(Tax_Rate),0)</f>
        <v>0</v>
      </c>
    </row>
    <row r="2623" customFormat="false" ht="15" hidden="false" customHeight="true" outlineLevel="0" collapsed="false">
      <c r="D2623" s="24" t="s">
        <v>895</v>
      </c>
      <c r="J2623" s="14" t="n">
        <f aca="false">ROUND(J2621+J2622,0)</f>
        <v>106</v>
      </c>
    </row>
    <row r="2624" customFormat="false" ht="15" hidden="false" customHeight="true" outlineLevel="0" collapsed="false">
      <c r="D2624" s="25" t="s">
        <v>838</v>
      </c>
      <c r="J2624" s="26" t="n">
        <f aca="false">COUNTIF(K2607:K2610,"NO RATE")+COUNTIF(K2607:K2610,"OLD RATE")</f>
        <v>0</v>
      </c>
    </row>
    <row r="2626" customFormat="false" ht="39.75" hidden="false" customHeight="true" outlineLevel="0" collapsed="false">
      <c r="A2626" s="4" t="s">
        <v>625</v>
      </c>
      <c r="B2626" s="16" t="s">
        <v>627</v>
      </c>
      <c r="C2626" s="16"/>
      <c r="D2626" s="16"/>
      <c r="E2626" s="16"/>
      <c r="F2626" s="16"/>
      <c r="G2626" s="16"/>
      <c r="H2626" s="16"/>
      <c r="I2626" s="16"/>
      <c r="J2626" s="4" t="s">
        <v>788</v>
      </c>
      <c r="K2626" s="17"/>
    </row>
    <row r="2627" customFormat="false" ht="21.75" hidden="false" customHeight="true" outlineLevel="0" collapsed="false">
      <c r="A2627" s="12" t="s">
        <v>75</v>
      </c>
      <c r="B2627" s="12" t="s">
        <v>789</v>
      </c>
      <c r="C2627" s="12" t="s">
        <v>790</v>
      </c>
      <c r="D2627" s="12" t="s">
        <v>791</v>
      </c>
      <c r="E2627" s="12" t="s">
        <v>81</v>
      </c>
      <c r="F2627" s="12" t="s">
        <v>792</v>
      </c>
      <c r="G2627" s="12" t="s">
        <v>793</v>
      </c>
      <c r="H2627" s="12" t="s">
        <v>794</v>
      </c>
      <c r="I2627" s="12" t="s">
        <v>795</v>
      </c>
      <c r="J2627" s="12" t="s">
        <v>796</v>
      </c>
      <c r="K2627" s="12" t="s">
        <v>797</v>
      </c>
    </row>
    <row r="2628" customFormat="false" ht="15" hidden="false" customHeight="true" outlineLevel="0" collapsed="false">
      <c r="A2628" s="9" t="s">
        <v>625</v>
      </c>
      <c r="B2628" s="9" t="s">
        <v>798</v>
      </c>
      <c r="C2628" s="9" t="s">
        <v>884</v>
      </c>
      <c r="D2628" s="5" t="s">
        <v>1373</v>
      </c>
      <c r="E2628" s="9" t="s">
        <v>368</v>
      </c>
      <c r="F2628" s="18" t="n">
        <v>13.5</v>
      </c>
      <c r="G2628" s="13" t="n">
        <f aca="false">N(INDEX('05 MATERIAL RATE LIBRARY'!$E$5:$E$400,MATCH("MAT-BRK-A",'05 MATERIAL RATE LIBRARY'!$A$5:$A$400,0)))</f>
        <v>17.5</v>
      </c>
      <c r="H2628" s="19" t="n">
        <f aca="false">W_Brk</f>
        <v>0.05</v>
      </c>
      <c r="I2628" s="18" t="n">
        <f aca="false">F2628*(1+H2628)</f>
        <v>14.175</v>
      </c>
      <c r="J2628" s="13" t="n">
        <f aca="false">I2628*G2628</f>
        <v>248.0625</v>
      </c>
      <c r="K2628" s="20" t="str">
        <f aca="false">IF(INDEX('05 MATERIAL RATE LIBRARY'!$M$5:$M$400,MATCH("MAT-BRK-A",'05 MATERIAL RATE LIBRARY'!$A$5:$A$400,0))=1,"",IF(INDEX('05 MATERIAL RATE LIBRARY'!$M$5:$M$400,MATCH("MAT-BRK-A",'05 MATERIAL RATE LIBRARY'!$A$5:$A$400,0))=2,"OLD RATE","NO RATE"))</f>
        <v/>
      </c>
    </row>
    <row r="2629" customFormat="false" ht="15" hidden="false" customHeight="true" outlineLevel="0" collapsed="false">
      <c r="A2629" s="9" t="s">
        <v>625</v>
      </c>
      <c r="B2629" s="9" t="s">
        <v>798</v>
      </c>
      <c r="C2629" s="9" t="s">
        <v>799</v>
      </c>
      <c r="D2629" s="5" t="s">
        <v>1374</v>
      </c>
      <c r="E2629" s="9" t="s">
        <v>801</v>
      </c>
      <c r="F2629" s="18" t="n">
        <f aca="false">0.25*DryF_Mortar/5/Bag_cft</f>
        <v>0.052</v>
      </c>
      <c r="G2629" s="13" t="n">
        <f aca="false">N(INDEX('05 MATERIAL RATE LIBRARY'!$E$5:$E$400,MATCH("MAT-CEM-OPC",'05 MATERIAL RATE LIBRARY'!$A$5:$A$400,0)))</f>
        <v>1575</v>
      </c>
      <c r="H2629" s="19" t="n">
        <f aca="false">W_Cem</f>
        <v>0.02</v>
      </c>
      <c r="I2629" s="18" t="n">
        <f aca="false">F2629*(1+H2629)</f>
        <v>0.05304</v>
      </c>
      <c r="J2629" s="13" t="n">
        <f aca="false">I2629*G2629</f>
        <v>83.538</v>
      </c>
      <c r="K2629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630" customFormat="false" ht="15" hidden="false" customHeight="true" outlineLevel="0" collapsed="false">
      <c r="A2630" s="9" t="s">
        <v>625</v>
      </c>
      <c r="B2630" s="9" t="s">
        <v>798</v>
      </c>
      <c r="C2630" s="9" t="s">
        <v>864</v>
      </c>
      <c r="D2630" s="5" t="s">
        <v>1375</v>
      </c>
      <c r="E2630" s="9" t="s">
        <v>109</v>
      </c>
      <c r="F2630" s="18" t="n">
        <f aca="false">0.25*DryF_Mortar*4/5</f>
        <v>0.26</v>
      </c>
      <c r="G2630" s="13" t="n">
        <f aca="false">N(INDEX('05 MATERIAL RATE LIBRARY'!$E$5:$E$400,MATCH("MAT-SND-CHN",'05 MATERIAL RATE LIBRARY'!$A$5:$A$400,0)))</f>
        <v>80</v>
      </c>
      <c r="H2630" s="19" t="n">
        <f aca="false">W_Agg</f>
        <v>0.05</v>
      </c>
      <c r="I2630" s="18" t="n">
        <f aca="false">F2630*(1+H2630)</f>
        <v>0.273</v>
      </c>
      <c r="J2630" s="13" t="n">
        <f aca="false">I2630*G2630</f>
        <v>21.84</v>
      </c>
      <c r="K2630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2631" customFormat="false" ht="15" hidden="false" customHeight="true" outlineLevel="0" collapsed="false">
      <c r="A2631" s="9" t="s">
        <v>625</v>
      </c>
      <c r="B2631" s="9" t="s">
        <v>812</v>
      </c>
      <c r="C2631" s="9" t="s">
        <v>813</v>
      </c>
      <c r="D2631" s="5" t="s">
        <v>1376</v>
      </c>
      <c r="E2631" s="9" t="s">
        <v>815</v>
      </c>
      <c r="F2631" s="18" t="n">
        <f aca="false">'13 PRODUCTIVITY LIBRARY'!E29/'13 PRODUCTIVITY LIBRARY'!D29</f>
        <v>0.0181818181818182</v>
      </c>
      <c r="G2631" s="13" t="n">
        <f aca="false">N(INDEX('06 LABOUR RATE LIBRARY'!$D$5:$D$100,MATCH("LAB-MSN",'06 LABOUR RATE LIBRARY'!$A$5:$A$100,0)))</f>
        <v>2200</v>
      </c>
      <c r="H2631" s="21" t="n">
        <v>0</v>
      </c>
      <c r="I2631" s="18" t="n">
        <f aca="false">F2631*(1+H2631)</f>
        <v>0.0181818181818182</v>
      </c>
      <c r="J2631" s="13" t="n">
        <f aca="false">I2631*G2631</f>
        <v>40</v>
      </c>
      <c r="K2631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632" customFormat="false" ht="15" hidden="false" customHeight="true" outlineLevel="0" collapsed="false">
      <c r="A2632" s="9" t="s">
        <v>625</v>
      </c>
      <c r="B2632" s="9" t="s">
        <v>812</v>
      </c>
      <c r="C2632" s="9" t="s">
        <v>816</v>
      </c>
      <c r="D2632" s="5" t="s">
        <v>1377</v>
      </c>
      <c r="E2632" s="9" t="s">
        <v>815</v>
      </c>
      <c r="F2632" s="18" t="n">
        <f aca="false">'13 PRODUCTIVITY LIBRARY'!F29/'13 PRODUCTIVITY LIBRARY'!D29</f>
        <v>0.0272727272727273</v>
      </c>
      <c r="G2632" s="13" t="n">
        <f aca="false">N(INDEX('06 LABOUR RATE LIBRARY'!$D$5:$D$100,MATCH("LAB-HLP",'06 LABOUR RATE LIBRARY'!$A$5:$A$100,0)))</f>
        <v>1538</v>
      </c>
      <c r="H2632" s="21" t="n">
        <v>0</v>
      </c>
      <c r="I2632" s="18" t="n">
        <f aca="false">F2632*(1+H2632)</f>
        <v>0.0272727272727273</v>
      </c>
      <c r="J2632" s="13" t="n">
        <f aca="false">I2632*G2632</f>
        <v>41.9454545454545</v>
      </c>
      <c r="K2632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633" customFormat="false" ht="15" hidden="false" customHeight="true" outlineLevel="0" collapsed="false">
      <c r="D2633" s="22" t="s">
        <v>825</v>
      </c>
      <c r="J2633" s="23" t="n">
        <f aca="false">SUMPRODUCT((B2628:B2632="Material")*F2628:F2632*G2628:G2632)</f>
        <v>338.95</v>
      </c>
    </row>
    <row r="2634" customFormat="false" ht="15" hidden="false" customHeight="true" outlineLevel="0" collapsed="false">
      <c r="D2634" s="22" t="s">
        <v>826</v>
      </c>
      <c r="J2634" s="23" t="n">
        <f aca="false">SUMIF(B2628:B2632,"Material",J2628:J2632)-J2633</f>
        <v>14.4905000000001</v>
      </c>
    </row>
    <row r="2635" customFormat="false" ht="15" hidden="false" customHeight="true" outlineLevel="0" collapsed="false">
      <c r="D2635" s="24" t="s">
        <v>827</v>
      </c>
      <c r="J2635" s="14" t="n">
        <f aca="false">SUMIF(B2628:B2632,"Material",J2628:J2632)</f>
        <v>353.4405</v>
      </c>
    </row>
    <row r="2636" customFormat="false" ht="15" hidden="false" customHeight="true" outlineLevel="0" collapsed="false">
      <c r="D2636" s="24" t="s">
        <v>828</v>
      </c>
      <c r="J2636" s="14" t="n">
        <f aca="false">SUMIF(B2628:B2632,"Labour",J2628:J2632)</f>
        <v>81.9454545454545</v>
      </c>
    </row>
    <row r="2637" customFormat="false" ht="15" hidden="false" customHeight="true" outlineLevel="0" collapsed="false">
      <c r="D2637" s="24" t="s">
        <v>829</v>
      </c>
      <c r="J2637" s="14" t="n">
        <f aca="false">SUMIF(B2628:B2632,"Equipment",J2628:J2632)</f>
        <v>0</v>
      </c>
    </row>
    <row r="2638" customFormat="false" ht="15" hidden="false" customHeight="true" outlineLevel="0" collapsed="false">
      <c r="D2638" s="24" t="s">
        <v>830</v>
      </c>
      <c r="J2638" s="14" t="n">
        <f aca="false">SUMIF(B2628:B2632,"Transport",J2628:J2632)</f>
        <v>0</v>
      </c>
    </row>
    <row r="2639" customFormat="false" ht="15" hidden="false" customHeight="true" outlineLevel="0" collapsed="false">
      <c r="D2639" s="24" t="s">
        <v>831</v>
      </c>
      <c r="J2639" s="14" t="n">
        <f aca="false">J2635+J2636+J2637+J2638</f>
        <v>435.385954545455</v>
      </c>
    </row>
    <row r="2640" customFormat="false" ht="15" hidden="false" customHeight="true" outlineLevel="0" collapsed="false">
      <c r="D2640" s="22" t="s">
        <v>832</v>
      </c>
      <c r="J2640" s="23" t="n">
        <f aca="false">J2639*OH_Site</f>
        <v>13.0615786363636</v>
      </c>
    </row>
    <row r="2641" customFormat="false" ht="15" hidden="false" customHeight="true" outlineLevel="0" collapsed="false">
      <c r="D2641" s="22" t="s">
        <v>833</v>
      </c>
      <c r="J2641" s="23" t="n">
        <f aca="false">J2639*OH_HO</f>
        <v>21.7692977272727</v>
      </c>
    </row>
    <row r="2642" customFormat="false" ht="15" hidden="false" customHeight="true" outlineLevel="0" collapsed="false">
      <c r="D2642" s="22" t="s">
        <v>834</v>
      </c>
      <c r="J2642" s="23" t="n">
        <f aca="false">J2639*Profit</f>
        <v>43.5385954545455</v>
      </c>
    </row>
    <row r="2643" customFormat="false" ht="15" hidden="false" customHeight="true" outlineLevel="0" collapsed="false">
      <c r="D2643" s="24" t="s">
        <v>835</v>
      </c>
      <c r="J2643" s="14" t="n">
        <f aca="false">J2639+J2640+J2641+J2642</f>
        <v>513.755426363636</v>
      </c>
    </row>
    <row r="2644" customFormat="false" ht="15" hidden="false" customHeight="true" outlineLevel="0" collapsed="false">
      <c r="D2644" s="22" t="s">
        <v>836</v>
      </c>
      <c r="J2644" s="23" t="n">
        <f aca="false">IF(Tax_On="Yes",J2643*N(Tax_Rate),0)</f>
        <v>0</v>
      </c>
    </row>
    <row r="2645" customFormat="false" ht="15" hidden="false" customHeight="true" outlineLevel="0" collapsed="false">
      <c r="D2645" s="24" t="s">
        <v>837</v>
      </c>
      <c r="J2645" s="14" t="n">
        <f aca="false">ROUND(J2643+J2644,0)</f>
        <v>514</v>
      </c>
    </row>
    <row r="2646" customFormat="false" ht="15" hidden="false" customHeight="true" outlineLevel="0" collapsed="false">
      <c r="D2646" s="25" t="s">
        <v>838</v>
      </c>
      <c r="J2646" s="26" t="n">
        <f aca="false">COUNTIF(K2628:K2632,"NO RATE")+COUNTIF(K2628:K2632,"OLD RATE")</f>
        <v>0</v>
      </c>
    </row>
    <row r="2648" customFormat="false" ht="39.75" hidden="false" customHeight="true" outlineLevel="0" collapsed="false">
      <c r="A2648" s="4" t="s">
        <v>629</v>
      </c>
      <c r="B2648" s="16" t="s">
        <v>631</v>
      </c>
      <c r="C2648" s="16"/>
      <c r="D2648" s="16"/>
      <c r="E2648" s="16"/>
      <c r="F2648" s="16"/>
      <c r="G2648" s="16"/>
      <c r="H2648" s="16"/>
      <c r="I2648" s="16"/>
      <c r="J2648" s="4" t="s">
        <v>788</v>
      </c>
      <c r="K2648" s="17"/>
    </row>
    <row r="2649" customFormat="false" ht="21.75" hidden="false" customHeight="true" outlineLevel="0" collapsed="false">
      <c r="A2649" s="12" t="s">
        <v>75</v>
      </c>
      <c r="B2649" s="12" t="s">
        <v>789</v>
      </c>
      <c r="C2649" s="12" t="s">
        <v>790</v>
      </c>
      <c r="D2649" s="12" t="s">
        <v>791</v>
      </c>
      <c r="E2649" s="12" t="s">
        <v>81</v>
      </c>
      <c r="F2649" s="12" t="s">
        <v>792</v>
      </c>
      <c r="G2649" s="12" t="s">
        <v>793</v>
      </c>
      <c r="H2649" s="12" t="s">
        <v>794</v>
      </c>
      <c r="I2649" s="12" t="s">
        <v>795</v>
      </c>
      <c r="J2649" s="12" t="s">
        <v>796</v>
      </c>
      <c r="K2649" s="12" t="s">
        <v>797</v>
      </c>
    </row>
    <row r="2650" customFormat="false" ht="15" hidden="false" customHeight="true" outlineLevel="0" collapsed="false">
      <c r="A2650" s="9" t="s">
        <v>629</v>
      </c>
      <c r="B2650" s="9" t="s">
        <v>798</v>
      </c>
      <c r="C2650" s="9" t="s">
        <v>799</v>
      </c>
      <c r="D2650" s="5" t="s">
        <v>1378</v>
      </c>
      <c r="E2650" s="9" t="s">
        <v>801</v>
      </c>
      <c r="F2650" s="18" t="n">
        <f aca="false">DryF_Conc/10/Bag_cft</f>
        <v>0.1232</v>
      </c>
      <c r="G2650" s="13" t="n">
        <f aca="false">N(INDEX('05 MATERIAL RATE LIBRARY'!$E$5:$E$400,MATCH("MAT-CEM-OPC",'05 MATERIAL RATE LIBRARY'!$A$5:$A$400,0)))</f>
        <v>1575</v>
      </c>
      <c r="H2650" s="19" t="n">
        <f aca="false">W_Cem</f>
        <v>0.02</v>
      </c>
      <c r="I2650" s="18" t="n">
        <f aca="false">F2650*(1+H2650)</f>
        <v>0.125664</v>
      </c>
      <c r="J2650" s="13" t="n">
        <f aca="false">I2650*G2650</f>
        <v>197.9208</v>
      </c>
      <c r="K2650" s="20" t="str">
        <f aca="false">IF(INDEX('05 MATERIAL RATE LIBRARY'!$M$5:$M$400,MATCH("MAT-CEM-OPC",'05 MATERIAL RATE LIBRARY'!$A$5:$A$400,0))=1,"",IF(INDEX('05 MATERIAL RATE LIBRARY'!$M$5:$M$400,MATCH("MAT-CEM-OPC",'05 MATERIAL RATE LIBRARY'!$A$5:$A$400,0))=2,"OLD RATE","NO RATE"))</f>
        <v/>
      </c>
    </row>
    <row r="2651" customFormat="false" ht="15" hidden="false" customHeight="true" outlineLevel="0" collapsed="false">
      <c r="A2651" s="9" t="s">
        <v>629</v>
      </c>
      <c r="B2651" s="9" t="s">
        <v>798</v>
      </c>
      <c r="C2651" s="9" t="s">
        <v>864</v>
      </c>
      <c r="D2651" s="5" t="s">
        <v>1379</v>
      </c>
      <c r="E2651" s="9" t="s">
        <v>109</v>
      </c>
      <c r="F2651" s="18" t="n">
        <f aca="false">DryF_Conc*3/10</f>
        <v>0.462</v>
      </c>
      <c r="G2651" s="13" t="n">
        <f aca="false">N(INDEX('05 MATERIAL RATE LIBRARY'!$E$5:$E$400,MATCH("MAT-SND-CHN",'05 MATERIAL RATE LIBRARY'!$A$5:$A$400,0)))</f>
        <v>80</v>
      </c>
      <c r="H2651" s="19" t="n">
        <f aca="false">W_Agg</f>
        <v>0.05</v>
      </c>
      <c r="I2651" s="18" t="n">
        <f aca="false">F2651*(1+H2651)</f>
        <v>0.4851</v>
      </c>
      <c r="J2651" s="13" t="n">
        <f aca="false">I2651*G2651</f>
        <v>38.808</v>
      </c>
      <c r="K2651" s="20" t="str">
        <f aca="false">IF(INDEX('05 MATERIAL RATE LIBRARY'!$M$5:$M$400,MATCH("MAT-SND-CHN",'05 MATERIAL RATE LIBRARY'!$A$5:$A$400,0))=1,"",IF(INDEX('05 MATERIAL RATE LIBRARY'!$M$5:$M$400,MATCH("MAT-SND-CHN",'05 MATERIAL RATE LIBRARY'!$A$5:$A$400,0))=2,"OLD RATE","NO RATE"))</f>
        <v/>
      </c>
    </row>
    <row r="2652" customFormat="false" ht="15" hidden="false" customHeight="true" outlineLevel="0" collapsed="false">
      <c r="A2652" s="9" t="s">
        <v>629</v>
      </c>
      <c r="B2652" s="9" t="s">
        <v>798</v>
      </c>
      <c r="C2652" s="9" t="s">
        <v>839</v>
      </c>
      <c r="D2652" s="5" t="s">
        <v>1380</v>
      </c>
      <c r="E2652" s="9" t="s">
        <v>109</v>
      </c>
      <c r="F2652" s="18" t="n">
        <f aca="false">DryF_Conc*6/10</f>
        <v>0.924</v>
      </c>
      <c r="G2652" s="13" t="n">
        <f aca="false">N(INDEX('05 MATERIAL RATE LIBRARY'!$E$5:$E$400,MATCH("MAT-CRS-MGL",'05 MATERIAL RATE LIBRARY'!$A$5:$A$400,0)))</f>
        <v>180</v>
      </c>
      <c r="H2652" s="19" t="n">
        <f aca="false">W_Agg</f>
        <v>0.05</v>
      </c>
      <c r="I2652" s="18" t="n">
        <f aca="false">F2652*(1+H2652)</f>
        <v>0.9702</v>
      </c>
      <c r="J2652" s="13" t="n">
        <f aca="false">I2652*G2652</f>
        <v>174.636</v>
      </c>
      <c r="K2652" s="20" t="str">
        <f aca="false">IF(INDEX('05 MATERIAL RATE LIBRARY'!$M$5:$M$400,MATCH("MAT-CRS-MGL",'05 MATERIAL RATE LIBRARY'!$A$5:$A$400,0))=1,"",IF(INDEX('05 MATERIAL RATE LIBRARY'!$M$5:$M$400,MATCH("MAT-CRS-MGL",'05 MATERIAL RATE LIBRARY'!$A$5:$A$400,0))=2,"OLD RATE","NO RATE"))</f>
        <v/>
      </c>
    </row>
    <row r="2653" customFormat="false" ht="15" hidden="false" customHeight="true" outlineLevel="0" collapsed="false">
      <c r="A2653" s="9" t="s">
        <v>629</v>
      </c>
      <c r="B2653" s="9" t="s">
        <v>798</v>
      </c>
      <c r="C2653" s="9" t="s">
        <v>809</v>
      </c>
      <c r="D2653" s="5" t="s">
        <v>1381</v>
      </c>
      <c r="E2653" s="9" t="s">
        <v>811</v>
      </c>
      <c r="F2653" s="18" t="n">
        <f aca="false">DryF_Conc/10/Bag_cft*Bag_kg*0.6</f>
        <v>3.696</v>
      </c>
      <c r="G2653" s="13" t="n">
        <f aca="false">N(INDEX('05 MATERIAL RATE LIBRARY'!$E$5:$E$400,MATCH("MAT-WTR",'05 MATERIAL RATE LIBRARY'!$A$5:$A$400,0)))</f>
        <v>0.686</v>
      </c>
      <c r="H2653" s="19" t="n">
        <f aca="false">W_Wtr</f>
        <v>0</v>
      </c>
      <c r="I2653" s="18" t="n">
        <f aca="false">F2653*(1+H2653)</f>
        <v>3.696</v>
      </c>
      <c r="J2653" s="13" t="n">
        <f aca="false">I2653*G2653</f>
        <v>2.535456</v>
      </c>
      <c r="K2653" s="20" t="str">
        <f aca="false">IF(INDEX('05 MATERIAL RATE LIBRARY'!$M$5:$M$400,MATCH("MAT-WTR",'05 MATERIAL RATE LIBRARY'!$A$5:$A$400,0))=1,"",IF(INDEX('05 MATERIAL RATE LIBRARY'!$M$5:$M$400,MATCH("MAT-WTR",'05 MATERIAL RATE LIBRARY'!$A$5:$A$400,0))=2,"OLD RATE","NO RATE"))</f>
        <v/>
      </c>
    </row>
    <row r="2654" customFormat="false" ht="15" hidden="false" customHeight="true" outlineLevel="0" collapsed="false">
      <c r="A2654" s="9" t="s">
        <v>629</v>
      </c>
      <c r="B2654" s="9" t="s">
        <v>812</v>
      </c>
      <c r="C2654" s="9" t="s">
        <v>813</v>
      </c>
      <c r="D2654" s="5" t="s">
        <v>843</v>
      </c>
      <c r="E2654" s="9" t="s">
        <v>815</v>
      </c>
      <c r="F2654" s="18" t="n">
        <f aca="false">'13 PRODUCTIVITY LIBRARY'!E6/'13 PRODUCTIVITY LIBRARY'!D6</f>
        <v>0.0125</v>
      </c>
      <c r="G2654" s="13" t="n">
        <f aca="false">N(INDEX('06 LABOUR RATE LIBRARY'!$D$5:$D$100,MATCH("LAB-MSN",'06 LABOUR RATE LIBRARY'!$A$5:$A$100,0)))</f>
        <v>2200</v>
      </c>
      <c r="H2654" s="21" t="n">
        <v>0</v>
      </c>
      <c r="I2654" s="18" t="n">
        <f aca="false">F2654*(1+H2654)</f>
        <v>0.0125</v>
      </c>
      <c r="J2654" s="13" t="n">
        <f aca="false">I2654*G2654</f>
        <v>27.5</v>
      </c>
      <c r="K265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655" customFormat="false" ht="15" hidden="false" customHeight="true" outlineLevel="0" collapsed="false">
      <c r="A2655" s="9" t="s">
        <v>629</v>
      </c>
      <c r="B2655" s="9" t="s">
        <v>812</v>
      </c>
      <c r="C2655" s="9" t="s">
        <v>816</v>
      </c>
      <c r="D2655" s="5" t="s">
        <v>1382</v>
      </c>
      <c r="E2655" s="9" t="s">
        <v>815</v>
      </c>
      <c r="F2655" s="18" t="n">
        <f aca="false">'13 PRODUCTIVITY LIBRARY'!F6/'13 PRODUCTIVITY LIBRARY'!D6</f>
        <v>0.075</v>
      </c>
      <c r="G2655" s="13" t="n">
        <f aca="false">N(INDEX('06 LABOUR RATE LIBRARY'!$D$5:$D$100,MATCH("LAB-HLP",'06 LABOUR RATE LIBRARY'!$A$5:$A$100,0)))</f>
        <v>1538</v>
      </c>
      <c r="H2655" s="21" t="n">
        <v>0</v>
      </c>
      <c r="I2655" s="18" t="n">
        <f aca="false">F2655*(1+H2655)</f>
        <v>0.075</v>
      </c>
      <c r="J2655" s="13" t="n">
        <f aca="false">I2655*G2655</f>
        <v>115.35</v>
      </c>
      <c r="K265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656" customFormat="false" ht="15" hidden="false" customHeight="true" outlineLevel="0" collapsed="false">
      <c r="A2656" s="9" t="s">
        <v>629</v>
      </c>
      <c r="B2656" s="9" t="s">
        <v>818</v>
      </c>
      <c r="C2656" s="9" t="s">
        <v>821</v>
      </c>
      <c r="D2656" s="5" t="s">
        <v>1383</v>
      </c>
      <c r="E2656" s="9" t="s">
        <v>815</v>
      </c>
      <c r="F2656" s="18" t="n">
        <f aca="false">1/150</f>
        <v>0.00666666666666667</v>
      </c>
      <c r="G2656" s="13" t="n">
        <f aca="false">N(INDEX('07 EQUIPMENT RATE LIBRARY'!$D$5:$D$100,MATCH("EQ-MIX",'07 EQUIPMENT RATE LIBRARY'!$A$5:$A$100,0)))</f>
        <v>3500</v>
      </c>
      <c r="H2656" s="21" t="n">
        <v>0</v>
      </c>
      <c r="I2656" s="18" t="n">
        <f aca="false">F2656*(1+H2656)</f>
        <v>0.00666666666666667</v>
      </c>
      <c r="J2656" s="13" t="n">
        <f aca="false">I2656*G2656</f>
        <v>23.3333333333333</v>
      </c>
      <c r="K2656" s="20" t="str">
        <f aca="false">IF(INDEX('07 EQUIPMENT RATE LIBRARY'!$H$5:$H$100,MATCH("EQ-MIX",'07 EQUIPMENT RATE LIBRARY'!$A$5:$A$100,0))=1,"",IF(INDEX('07 EQUIPMENT RATE LIBRARY'!$H$5:$H$100,MATCH("EQ-MIX",'07 EQUIPMENT RATE LIBRARY'!$A$5:$A$100,0))=2,"OLD RATE","NO RATE"))</f>
        <v/>
      </c>
    </row>
    <row r="2657" customFormat="false" ht="15" hidden="false" customHeight="true" outlineLevel="0" collapsed="false">
      <c r="D2657" s="22" t="s">
        <v>825</v>
      </c>
      <c r="J2657" s="23" t="n">
        <f aca="false">SUMPRODUCT((B2650:B2656="Material")*F2650:F2656*G2650:G2656)</f>
        <v>399.855456</v>
      </c>
    </row>
    <row r="2658" customFormat="false" ht="15" hidden="false" customHeight="true" outlineLevel="0" collapsed="false">
      <c r="D2658" s="22" t="s">
        <v>826</v>
      </c>
      <c r="J2658" s="23" t="n">
        <f aca="false">SUMIF(B2650:B2656,"Material",J2650:J2656)-J2657</f>
        <v>14.0448</v>
      </c>
    </row>
    <row r="2659" customFormat="false" ht="15" hidden="false" customHeight="true" outlineLevel="0" collapsed="false">
      <c r="D2659" s="24" t="s">
        <v>827</v>
      </c>
      <c r="J2659" s="14" t="n">
        <f aca="false">SUMIF(B2650:B2656,"Material",J2650:J2656)</f>
        <v>413.900256</v>
      </c>
    </row>
    <row r="2660" customFormat="false" ht="15" hidden="false" customHeight="true" outlineLevel="0" collapsed="false">
      <c r="D2660" s="24" t="s">
        <v>828</v>
      </c>
      <c r="J2660" s="14" t="n">
        <f aca="false">SUMIF(B2650:B2656,"Labour",J2650:J2656)</f>
        <v>142.85</v>
      </c>
    </row>
    <row r="2661" customFormat="false" ht="15" hidden="false" customHeight="true" outlineLevel="0" collapsed="false">
      <c r="D2661" s="24" t="s">
        <v>829</v>
      </c>
      <c r="J2661" s="14" t="n">
        <f aca="false">SUMIF(B2650:B2656,"Equipment",J2650:J2656)</f>
        <v>23.3333333333333</v>
      </c>
    </row>
    <row r="2662" customFormat="false" ht="15" hidden="false" customHeight="true" outlineLevel="0" collapsed="false">
      <c r="D2662" s="24" t="s">
        <v>830</v>
      </c>
      <c r="J2662" s="14" t="n">
        <f aca="false">SUMIF(B2650:B2656,"Transport",J2650:J2656)</f>
        <v>0</v>
      </c>
    </row>
    <row r="2663" customFormat="false" ht="15" hidden="false" customHeight="true" outlineLevel="0" collapsed="false">
      <c r="D2663" s="24" t="s">
        <v>831</v>
      </c>
      <c r="J2663" s="14" t="n">
        <f aca="false">J2659+J2660+J2661+J2662</f>
        <v>580.083589333333</v>
      </c>
    </row>
    <row r="2664" customFormat="false" ht="15" hidden="false" customHeight="true" outlineLevel="0" collapsed="false">
      <c r="D2664" s="22" t="s">
        <v>832</v>
      </c>
      <c r="J2664" s="23" t="n">
        <f aca="false">J2663*OH_Site</f>
        <v>17.40250768</v>
      </c>
    </row>
    <row r="2665" customFormat="false" ht="15" hidden="false" customHeight="true" outlineLevel="0" collapsed="false">
      <c r="D2665" s="22" t="s">
        <v>833</v>
      </c>
      <c r="J2665" s="23" t="n">
        <f aca="false">J2663*OH_HO</f>
        <v>29.0041794666667</v>
      </c>
    </row>
    <row r="2666" customFormat="false" ht="15" hidden="false" customHeight="true" outlineLevel="0" collapsed="false">
      <c r="D2666" s="22" t="s">
        <v>834</v>
      </c>
      <c r="J2666" s="23" t="n">
        <f aca="false">J2663*Profit</f>
        <v>58.0083589333333</v>
      </c>
    </row>
    <row r="2667" customFormat="false" ht="15" hidden="false" customHeight="true" outlineLevel="0" collapsed="false">
      <c r="D2667" s="24" t="s">
        <v>835</v>
      </c>
      <c r="J2667" s="14" t="n">
        <f aca="false">J2663+J2664+J2665+J2666</f>
        <v>684.498635413333</v>
      </c>
    </row>
    <row r="2668" customFormat="false" ht="15" hidden="false" customHeight="true" outlineLevel="0" collapsed="false">
      <c r="D2668" s="22" t="s">
        <v>836</v>
      </c>
      <c r="J2668" s="23" t="n">
        <f aca="false">IF(Tax_On="Yes",J2667*N(Tax_Rate),0)</f>
        <v>0</v>
      </c>
    </row>
    <row r="2669" customFormat="false" ht="15" hidden="false" customHeight="true" outlineLevel="0" collapsed="false">
      <c r="D2669" s="24" t="s">
        <v>837</v>
      </c>
      <c r="J2669" s="14" t="n">
        <f aca="false">ROUND(J2667+J2668,0)</f>
        <v>684</v>
      </c>
    </row>
    <row r="2670" customFormat="false" ht="15" hidden="false" customHeight="true" outlineLevel="0" collapsed="false">
      <c r="D2670" s="25" t="s">
        <v>838</v>
      </c>
      <c r="J2670" s="26" t="n">
        <f aca="false">COUNTIF(K2650:K2656,"NO RATE")+COUNTIF(K2650:K2656,"OLD RATE")</f>
        <v>0</v>
      </c>
    </row>
    <row r="2672" customFormat="false" ht="39.75" hidden="false" customHeight="true" outlineLevel="0" collapsed="false">
      <c r="A2672" s="4" t="s">
        <v>633</v>
      </c>
      <c r="B2672" s="16" t="s">
        <v>635</v>
      </c>
      <c r="C2672" s="16"/>
      <c r="D2672" s="16"/>
      <c r="E2672" s="16"/>
      <c r="F2672" s="16"/>
      <c r="G2672" s="16"/>
      <c r="H2672" s="16"/>
      <c r="I2672" s="16"/>
      <c r="J2672" s="4" t="s">
        <v>890</v>
      </c>
      <c r="K2672" s="17"/>
    </row>
    <row r="2673" customFormat="false" ht="21.75" hidden="false" customHeight="true" outlineLevel="0" collapsed="false">
      <c r="A2673" s="12" t="s">
        <v>75</v>
      </c>
      <c r="B2673" s="12" t="s">
        <v>789</v>
      </c>
      <c r="C2673" s="12" t="s">
        <v>790</v>
      </c>
      <c r="D2673" s="12" t="s">
        <v>791</v>
      </c>
      <c r="E2673" s="12" t="s">
        <v>81</v>
      </c>
      <c r="F2673" s="12" t="s">
        <v>792</v>
      </c>
      <c r="G2673" s="12" t="s">
        <v>793</v>
      </c>
      <c r="H2673" s="12" t="s">
        <v>794</v>
      </c>
      <c r="I2673" s="12" t="s">
        <v>795</v>
      </c>
      <c r="J2673" s="12" t="s">
        <v>796</v>
      </c>
      <c r="K2673" s="12" t="s">
        <v>797</v>
      </c>
    </row>
    <row r="2674" customFormat="false" ht="15" hidden="false" customHeight="true" outlineLevel="0" collapsed="false">
      <c r="A2674" s="9" t="s">
        <v>633</v>
      </c>
      <c r="B2674" s="9" t="s">
        <v>798</v>
      </c>
      <c r="C2674" s="9" t="s">
        <v>898</v>
      </c>
      <c r="D2674" s="5" t="s">
        <v>1384</v>
      </c>
      <c r="E2674" s="9" t="s">
        <v>900</v>
      </c>
      <c r="F2674" s="18" t="n">
        <f aca="false">1/32/Reuse_Ply</f>
        <v>0.00520833333333333</v>
      </c>
      <c r="G2674" s="13" t="n">
        <f aca="false">N(INDEX('05 MATERIAL RATE LIBRARY'!$E$5:$E$400,MATCH("MAT-PLY-18",'05 MATERIAL RATE LIBRARY'!$A$5:$A$400,0)))</f>
        <v>5500</v>
      </c>
      <c r="H2674" s="19" t="n">
        <f aca="false">W_Ply</f>
        <v>0.1</v>
      </c>
      <c r="I2674" s="18" t="n">
        <f aca="false">F2674*(1+H2674)</f>
        <v>0.00572916666666667</v>
      </c>
      <c r="J2674" s="13" t="n">
        <f aca="false">I2674*G2674</f>
        <v>31.5104166666667</v>
      </c>
      <c r="K2674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2675" customFormat="false" ht="15" hidden="false" customHeight="true" outlineLevel="0" collapsed="false">
      <c r="A2675" s="9" t="s">
        <v>633</v>
      </c>
      <c r="B2675" s="9" t="s">
        <v>798</v>
      </c>
      <c r="C2675" s="9" t="s">
        <v>901</v>
      </c>
      <c r="D2675" s="5" t="s">
        <v>1385</v>
      </c>
      <c r="E2675" s="9" t="s">
        <v>109</v>
      </c>
      <c r="F2675" s="18" t="n">
        <f aca="false">0.04/Reuse_Tim</f>
        <v>0.004</v>
      </c>
      <c r="G2675" s="13" t="n">
        <f aca="false">N(INDEX('05 MATERIAL RATE LIBRARY'!$E$5:$E$400,MATCH("MAT-TIM-CHR",'05 MATERIAL RATE LIBRARY'!$A$5:$A$400,0)))</f>
        <v>3680</v>
      </c>
      <c r="H2675" s="21" t="n">
        <v>0</v>
      </c>
      <c r="I2675" s="18" t="n">
        <f aca="false">F2675*(1+H2675)</f>
        <v>0.004</v>
      </c>
      <c r="J2675" s="13" t="n">
        <f aca="false">I2675*G2675</f>
        <v>14.72</v>
      </c>
      <c r="K2675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2676" customFormat="false" ht="15" hidden="false" customHeight="true" outlineLevel="0" collapsed="false">
      <c r="A2676" s="9" t="s">
        <v>633</v>
      </c>
      <c r="B2676" s="9" t="s">
        <v>798</v>
      </c>
      <c r="C2676" s="9" t="s">
        <v>903</v>
      </c>
      <c r="D2676" s="5" t="s">
        <v>1386</v>
      </c>
      <c r="E2676" s="9" t="s">
        <v>198</v>
      </c>
      <c r="F2676" s="18" t="n">
        <v>0.01</v>
      </c>
      <c r="G2676" s="13" t="n">
        <f aca="false">N(INDEX('05 MATERIAL RATE LIBRARY'!$E$5:$E$400,MATCH("MAT-NAIL",'05 MATERIAL RATE LIBRARY'!$A$5:$A$400,0)))</f>
        <v>715</v>
      </c>
      <c r="H2676" s="21" t="n">
        <v>0</v>
      </c>
      <c r="I2676" s="18" t="n">
        <f aca="false">F2676*(1+H2676)</f>
        <v>0.01</v>
      </c>
      <c r="J2676" s="13" t="n">
        <f aca="false">I2676*G2676</f>
        <v>7.15</v>
      </c>
      <c r="K2676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2677" customFormat="false" ht="15" hidden="false" customHeight="true" outlineLevel="0" collapsed="false">
      <c r="A2677" s="9" t="s">
        <v>633</v>
      </c>
      <c r="B2677" s="9" t="s">
        <v>798</v>
      </c>
      <c r="C2677" s="9" t="s">
        <v>905</v>
      </c>
      <c r="D2677" s="5" t="s">
        <v>1387</v>
      </c>
      <c r="E2677" s="9" t="s">
        <v>811</v>
      </c>
      <c r="F2677" s="18" t="n">
        <v>0.01</v>
      </c>
      <c r="G2677" s="13" t="n">
        <f aca="false">N(INDEX('05 MATERIAL RATE LIBRARY'!$E$5:$E$400,MATCH("MAT-SHOIL",'05 MATERIAL RATE LIBRARY'!$A$5:$A$400,0)))</f>
        <v>400</v>
      </c>
      <c r="H2677" s="21" t="n">
        <v>0</v>
      </c>
      <c r="I2677" s="18" t="n">
        <f aca="false">F2677*(1+H2677)</f>
        <v>0.01</v>
      </c>
      <c r="J2677" s="13" t="n">
        <f aca="false">I2677*G2677</f>
        <v>4</v>
      </c>
      <c r="K2677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2678" customFormat="false" ht="15" hidden="false" customHeight="true" outlineLevel="0" collapsed="false">
      <c r="A2678" s="9" t="s">
        <v>633</v>
      </c>
      <c r="B2678" s="9" t="s">
        <v>812</v>
      </c>
      <c r="C2678" s="9" t="s">
        <v>907</v>
      </c>
      <c r="D2678" s="5" t="s">
        <v>913</v>
      </c>
      <c r="E2678" s="9" t="s">
        <v>815</v>
      </c>
      <c r="F2678" s="18" t="n">
        <f aca="false">'13 PRODUCTIVITY LIBRARY'!E11/'13 PRODUCTIVITY LIBRARY'!D11</f>
        <v>0.01</v>
      </c>
      <c r="G2678" s="13" t="n">
        <f aca="false">N(INDEX('06 LABOUR RATE LIBRARY'!$D$5:$D$100,MATCH("LAB-CRP",'06 LABOUR RATE LIBRARY'!$A$5:$A$100,0)))</f>
        <v>2400</v>
      </c>
      <c r="H2678" s="21" t="n">
        <v>0</v>
      </c>
      <c r="I2678" s="18" t="n">
        <f aca="false">F2678*(1+H2678)</f>
        <v>0.01</v>
      </c>
      <c r="J2678" s="13" t="n">
        <f aca="false">I2678*G2678</f>
        <v>24</v>
      </c>
      <c r="K2678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2679" customFormat="false" ht="15" hidden="false" customHeight="true" outlineLevel="0" collapsed="false">
      <c r="A2679" s="9" t="s">
        <v>633</v>
      </c>
      <c r="B2679" s="9" t="s">
        <v>812</v>
      </c>
      <c r="C2679" s="9" t="s">
        <v>816</v>
      </c>
      <c r="D2679" s="5" t="s">
        <v>914</v>
      </c>
      <c r="E2679" s="9" t="s">
        <v>815</v>
      </c>
      <c r="F2679" s="18" t="n">
        <f aca="false">'13 PRODUCTIVITY LIBRARY'!F11/'13 PRODUCTIVITY LIBRARY'!D11</f>
        <v>0.01</v>
      </c>
      <c r="G2679" s="13" t="n">
        <f aca="false">N(INDEX('06 LABOUR RATE LIBRARY'!$D$5:$D$100,MATCH("LAB-HLP",'06 LABOUR RATE LIBRARY'!$A$5:$A$100,0)))</f>
        <v>1538</v>
      </c>
      <c r="H2679" s="21" t="n">
        <v>0</v>
      </c>
      <c r="I2679" s="18" t="n">
        <f aca="false">F2679*(1+H2679)</f>
        <v>0.01</v>
      </c>
      <c r="J2679" s="13" t="n">
        <f aca="false">I2679*G2679</f>
        <v>15.38</v>
      </c>
      <c r="K267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680" customFormat="false" ht="15" hidden="false" customHeight="true" outlineLevel="0" collapsed="false">
      <c r="A2680" s="9" t="s">
        <v>633</v>
      </c>
      <c r="B2680" s="9" t="s">
        <v>818</v>
      </c>
      <c r="C2680" s="9" t="s">
        <v>910</v>
      </c>
      <c r="D2680" s="5" t="s">
        <v>1388</v>
      </c>
      <c r="E2680" s="9" t="s">
        <v>212</v>
      </c>
      <c r="F2680" s="18" t="n">
        <v>1</v>
      </c>
      <c r="G2680" s="13" t="n">
        <f aca="false">N(INDEX('07 EQUIPMENT RATE LIBRARY'!$D$5:$D$100,MATCH("EQ-PROP",'07 EQUIPMENT RATE LIBRARY'!$A$5:$A$100,0)))</f>
        <v>10</v>
      </c>
      <c r="H2680" s="21" t="n">
        <v>0</v>
      </c>
      <c r="I2680" s="18" t="n">
        <f aca="false">F2680*(1+H2680)</f>
        <v>1</v>
      </c>
      <c r="J2680" s="13" t="n">
        <f aca="false">I2680*G2680</f>
        <v>10</v>
      </c>
      <c r="K2680" s="20" t="str">
        <f aca="false">IF(INDEX('07 EQUIPMENT RATE LIBRARY'!$H$5:$H$100,MATCH("EQ-PROP",'07 EQUIPMENT RATE LIBRARY'!$A$5:$A$100,0))=1,"",IF(INDEX('07 EQUIPMENT RATE LIBRARY'!$H$5:$H$100,MATCH("EQ-PROP",'07 EQUIPMENT RATE LIBRARY'!$A$5:$A$100,0))=2,"OLD RATE","NO RATE"))</f>
        <v/>
      </c>
    </row>
    <row r="2681" customFormat="false" ht="15" hidden="false" customHeight="true" outlineLevel="0" collapsed="false">
      <c r="D2681" s="22" t="s">
        <v>825</v>
      </c>
      <c r="J2681" s="23" t="n">
        <f aca="false">SUMPRODUCT((B2674:B2680="Material")*F2674:F2680*G2674:G2680)</f>
        <v>54.5158333333333</v>
      </c>
    </row>
    <row r="2682" customFormat="false" ht="15" hidden="false" customHeight="true" outlineLevel="0" collapsed="false">
      <c r="D2682" s="22" t="s">
        <v>826</v>
      </c>
      <c r="J2682" s="23" t="n">
        <f aca="false">SUMIF(B2674:B2680,"Material",J2674:J2680)-J2681</f>
        <v>2.86458333333334</v>
      </c>
    </row>
    <row r="2683" customFormat="false" ht="15" hidden="false" customHeight="true" outlineLevel="0" collapsed="false">
      <c r="D2683" s="24" t="s">
        <v>827</v>
      </c>
      <c r="J2683" s="14" t="n">
        <f aca="false">SUMIF(B2674:B2680,"Material",J2674:J2680)</f>
        <v>57.3804166666667</v>
      </c>
    </row>
    <row r="2684" customFormat="false" ht="15" hidden="false" customHeight="true" outlineLevel="0" collapsed="false">
      <c r="D2684" s="24" t="s">
        <v>828</v>
      </c>
      <c r="J2684" s="14" t="n">
        <f aca="false">SUMIF(B2674:B2680,"Labour",J2674:J2680)</f>
        <v>39.38</v>
      </c>
    </row>
    <row r="2685" customFormat="false" ht="15" hidden="false" customHeight="true" outlineLevel="0" collapsed="false">
      <c r="D2685" s="24" t="s">
        <v>829</v>
      </c>
      <c r="J2685" s="14" t="n">
        <f aca="false">SUMIF(B2674:B2680,"Equipment",J2674:J2680)</f>
        <v>10</v>
      </c>
    </row>
    <row r="2686" customFormat="false" ht="15" hidden="false" customHeight="true" outlineLevel="0" collapsed="false">
      <c r="D2686" s="24" t="s">
        <v>830</v>
      </c>
      <c r="J2686" s="14" t="n">
        <f aca="false">SUMIF(B2674:B2680,"Transport",J2674:J2680)</f>
        <v>0</v>
      </c>
    </row>
    <row r="2687" customFormat="false" ht="15" hidden="false" customHeight="true" outlineLevel="0" collapsed="false">
      <c r="D2687" s="24" t="s">
        <v>831</v>
      </c>
      <c r="J2687" s="14" t="n">
        <f aca="false">J2683+J2684+J2685+J2686</f>
        <v>106.760416666667</v>
      </c>
    </row>
    <row r="2688" customFormat="false" ht="15" hidden="false" customHeight="true" outlineLevel="0" collapsed="false">
      <c r="D2688" s="22" t="s">
        <v>832</v>
      </c>
      <c r="J2688" s="23" t="n">
        <f aca="false">J2687*OH_Site</f>
        <v>3.2028125</v>
      </c>
    </row>
    <row r="2689" customFormat="false" ht="15" hidden="false" customHeight="true" outlineLevel="0" collapsed="false">
      <c r="D2689" s="22" t="s">
        <v>833</v>
      </c>
      <c r="J2689" s="23" t="n">
        <f aca="false">J2687*OH_HO</f>
        <v>5.33802083333333</v>
      </c>
    </row>
    <row r="2690" customFormat="false" ht="15" hidden="false" customHeight="true" outlineLevel="0" collapsed="false">
      <c r="D2690" s="22" t="s">
        <v>834</v>
      </c>
      <c r="J2690" s="23" t="n">
        <f aca="false">J2687*Profit</f>
        <v>10.6760416666667</v>
      </c>
    </row>
    <row r="2691" customFormat="false" ht="15" hidden="false" customHeight="true" outlineLevel="0" collapsed="false">
      <c r="D2691" s="24" t="s">
        <v>835</v>
      </c>
      <c r="J2691" s="14" t="n">
        <f aca="false">J2687+J2688+J2689+J2690</f>
        <v>125.977291666667</v>
      </c>
    </row>
    <row r="2692" customFormat="false" ht="15" hidden="false" customHeight="true" outlineLevel="0" collapsed="false">
      <c r="D2692" s="22" t="s">
        <v>836</v>
      </c>
      <c r="J2692" s="23" t="n">
        <f aca="false">IF(Tax_On="Yes",J2691*N(Tax_Rate),0)</f>
        <v>0</v>
      </c>
    </row>
    <row r="2693" customFormat="false" ht="15" hidden="false" customHeight="true" outlineLevel="0" collapsed="false">
      <c r="D2693" s="24" t="s">
        <v>895</v>
      </c>
      <c r="J2693" s="14" t="n">
        <f aca="false">ROUND(J2691+J2692,0)</f>
        <v>126</v>
      </c>
    </row>
    <row r="2694" customFormat="false" ht="15" hidden="false" customHeight="true" outlineLevel="0" collapsed="false">
      <c r="D2694" s="25" t="s">
        <v>838</v>
      </c>
      <c r="J2694" s="26" t="n">
        <f aca="false">COUNTIF(K2674:K2680,"NO RATE")+COUNTIF(K2674:K2680,"OLD RATE")</f>
        <v>0</v>
      </c>
    </row>
    <row r="2696" customFormat="false" ht="39.75" hidden="false" customHeight="true" outlineLevel="0" collapsed="false">
      <c r="A2696" s="4" t="s">
        <v>637</v>
      </c>
      <c r="B2696" s="16" t="s">
        <v>639</v>
      </c>
      <c r="C2696" s="16"/>
      <c r="D2696" s="16"/>
      <c r="E2696" s="16"/>
      <c r="F2696" s="16"/>
      <c r="G2696" s="16"/>
      <c r="H2696" s="16"/>
      <c r="I2696" s="16"/>
      <c r="J2696" s="4" t="s">
        <v>890</v>
      </c>
      <c r="K2696" s="17"/>
    </row>
    <row r="2697" customFormat="false" ht="21.75" hidden="false" customHeight="true" outlineLevel="0" collapsed="false">
      <c r="A2697" s="12" t="s">
        <v>75</v>
      </c>
      <c r="B2697" s="12" t="s">
        <v>789</v>
      </c>
      <c r="C2697" s="12" t="s">
        <v>790</v>
      </c>
      <c r="D2697" s="12" t="s">
        <v>791</v>
      </c>
      <c r="E2697" s="12" t="s">
        <v>81</v>
      </c>
      <c r="F2697" s="12" t="s">
        <v>792</v>
      </c>
      <c r="G2697" s="12" t="s">
        <v>793</v>
      </c>
      <c r="H2697" s="12" t="s">
        <v>794</v>
      </c>
      <c r="I2697" s="12" t="s">
        <v>795</v>
      </c>
      <c r="J2697" s="12" t="s">
        <v>796</v>
      </c>
      <c r="K2697" s="12" t="s">
        <v>797</v>
      </c>
    </row>
    <row r="2698" customFormat="false" ht="15" hidden="false" customHeight="true" outlineLevel="0" collapsed="false">
      <c r="A2698" s="9" t="s">
        <v>637</v>
      </c>
      <c r="B2698" s="9" t="s">
        <v>798</v>
      </c>
      <c r="C2698" s="9" t="s">
        <v>898</v>
      </c>
      <c r="D2698" s="5" t="s">
        <v>1384</v>
      </c>
      <c r="E2698" s="9" t="s">
        <v>900</v>
      </c>
      <c r="F2698" s="18" t="n">
        <f aca="false">1/32/Reuse_Ply</f>
        <v>0.00520833333333333</v>
      </c>
      <c r="G2698" s="13" t="n">
        <f aca="false">N(INDEX('05 MATERIAL RATE LIBRARY'!$E$5:$E$400,MATCH("MAT-PLY-18",'05 MATERIAL RATE LIBRARY'!$A$5:$A$400,0)))</f>
        <v>5500</v>
      </c>
      <c r="H2698" s="19" t="n">
        <f aca="false">W_Ply</f>
        <v>0.1</v>
      </c>
      <c r="I2698" s="18" t="n">
        <f aca="false">F2698*(1+H2698)</f>
        <v>0.00572916666666667</v>
      </c>
      <c r="J2698" s="13" t="n">
        <f aca="false">I2698*G2698</f>
        <v>31.5104166666667</v>
      </c>
      <c r="K2698" s="20" t="str">
        <f aca="false">IF(INDEX('05 MATERIAL RATE LIBRARY'!$M$5:$M$400,MATCH("MAT-PLY-18",'05 MATERIAL RATE LIBRARY'!$A$5:$A$400,0))=1,"",IF(INDEX('05 MATERIAL RATE LIBRARY'!$M$5:$M$400,MATCH("MAT-PLY-18",'05 MATERIAL RATE LIBRARY'!$A$5:$A$400,0))=2,"OLD RATE","NO RATE"))</f>
        <v/>
      </c>
    </row>
    <row r="2699" customFormat="false" ht="15" hidden="false" customHeight="true" outlineLevel="0" collapsed="false">
      <c r="A2699" s="9" t="s">
        <v>637</v>
      </c>
      <c r="B2699" s="9" t="s">
        <v>798</v>
      </c>
      <c r="C2699" s="9" t="s">
        <v>901</v>
      </c>
      <c r="D2699" s="5" t="s">
        <v>1385</v>
      </c>
      <c r="E2699" s="9" t="s">
        <v>109</v>
      </c>
      <c r="F2699" s="18" t="n">
        <f aca="false">0.04/Reuse_Tim</f>
        <v>0.004</v>
      </c>
      <c r="G2699" s="13" t="n">
        <f aca="false">N(INDEX('05 MATERIAL RATE LIBRARY'!$E$5:$E$400,MATCH("MAT-TIM-CHR",'05 MATERIAL RATE LIBRARY'!$A$5:$A$400,0)))</f>
        <v>3680</v>
      </c>
      <c r="H2699" s="21" t="n">
        <v>0</v>
      </c>
      <c r="I2699" s="18" t="n">
        <f aca="false">F2699*(1+H2699)</f>
        <v>0.004</v>
      </c>
      <c r="J2699" s="13" t="n">
        <f aca="false">I2699*G2699</f>
        <v>14.72</v>
      </c>
      <c r="K2699" s="20" t="str">
        <f aca="false">IF(INDEX('05 MATERIAL RATE LIBRARY'!$M$5:$M$400,MATCH("MAT-TIM-CHR",'05 MATERIAL RATE LIBRARY'!$A$5:$A$400,0))=1,"",IF(INDEX('05 MATERIAL RATE LIBRARY'!$M$5:$M$400,MATCH("MAT-TIM-CHR",'05 MATERIAL RATE LIBRARY'!$A$5:$A$400,0))=2,"OLD RATE","NO RATE"))</f>
        <v/>
      </c>
    </row>
    <row r="2700" customFormat="false" ht="15" hidden="false" customHeight="true" outlineLevel="0" collapsed="false">
      <c r="A2700" s="9" t="s">
        <v>637</v>
      </c>
      <c r="B2700" s="9" t="s">
        <v>798</v>
      </c>
      <c r="C2700" s="9" t="s">
        <v>903</v>
      </c>
      <c r="D2700" s="5" t="s">
        <v>1386</v>
      </c>
      <c r="E2700" s="9" t="s">
        <v>198</v>
      </c>
      <c r="F2700" s="18" t="n">
        <v>0.01</v>
      </c>
      <c r="G2700" s="13" t="n">
        <f aca="false">N(INDEX('05 MATERIAL RATE LIBRARY'!$E$5:$E$400,MATCH("MAT-NAIL",'05 MATERIAL RATE LIBRARY'!$A$5:$A$400,0)))</f>
        <v>715</v>
      </c>
      <c r="H2700" s="21" t="n">
        <v>0</v>
      </c>
      <c r="I2700" s="18" t="n">
        <f aca="false">F2700*(1+H2700)</f>
        <v>0.01</v>
      </c>
      <c r="J2700" s="13" t="n">
        <f aca="false">I2700*G2700</f>
        <v>7.15</v>
      </c>
      <c r="K2700" s="20" t="str">
        <f aca="false">IF(INDEX('05 MATERIAL RATE LIBRARY'!$M$5:$M$400,MATCH("MAT-NAIL",'05 MATERIAL RATE LIBRARY'!$A$5:$A$400,0))=1,"",IF(INDEX('05 MATERIAL RATE LIBRARY'!$M$5:$M$400,MATCH("MAT-NAIL",'05 MATERIAL RATE LIBRARY'!$A$5:$A$400,0))=2,"OLD RATE","NO RATE"))</f>
        <v/>
      </c>
    </row>
    <row r="2701" customFormat="false" ht="15" hidden="false" customHeight="true" outlineLevel="0" collapsed="false">
      <c r="A2701" s="9" t="s">
        <v>637</v>
      </c>
      <c r="B2701" s="9" t="s">
        <v>798</v>
      </c>
      <c r="C2701" s="9" t="s">
        <v>905</v>
      </c>
      <c r="D2701" s="5" t="s">
        <v>1387</v>
      </c>
      <c r="E2701" s="9" t="s">
        <v>811</v>
      </c>
      <c r="F2701" s="18" t="n">
        <v>0.01</v>
      </c>
      <c r="G2701" s="13" t="n">
        <f aca="false">N(INDEX('05 MATERIAL RATE LIBRARY'!$E$5:$E$400,MATCH("MAT-SHOIL",'05 MATERIAL RATE LIBRARY'!$A$5:$A$400,0)))</f>
        <v>400</v>
      </c>
      <c r="H2701" s="21" t="n">
        <v>0</v>
      </c>
      <c r="I2701" s="18" t="n">
        <f aca="false">F2701*(1+H2701)</f>
        <v>0.01</v>
      </c>
      <c r="J2701" s="13" t="n">
        <f aca="false">I2701*G2701</f>
        <v>4</v>
      </c>
      <c r="K2701" s="20" t="str">
        <f aca="false">IF(INDEX('05 MATERIAL RATE LIBRARY'!$M$5:$M$400,MATCH("MAT-SHOIL",'05 MATERIAL RATE LIBRARY'!$A$5:$A$400,0))=1,"",IF(INDEX('05 MATERIAL RATE LIBRARY'!$M$5:$M$400,MATCH("MAT-SHOIL",'05 MATERIAL RATE LIBRARY'!$A$5:$A$400,0))=2,"OLD RATE","NO RATE"))</f>
        <v/>
      </c>
    </row>
    <row r="2702" customFormat="false" ht="15" hidden="false" customHeight="true" outlineLevel="0" collapsed="false">
      <c r="A2702" s="9" t="s">
        <v>637</v>
      </c>
      <c r="B2702" s="9" t="s">
        <v>812</v>
      </c>
      <c r="C2702" s="9" t="s">
        <v>907</v>
      </c>
      <c r="D2702" s="5" t="s">
        <v>918</v>
      </c>
      <c r="E2702" s="9" t="s">
        <v>815</v>
      </c>
      <c r="F2702" s="18" t="n">
        <f aca="false">'13 PRODUCTIVITY LIBRARY'!E13/'13 PRODUCTIVITY LIBRARY'!D13</f>
        <v>0.00769230769230769</v>
      </c>
      <c r="G2702" s="13" t="n">
        <f aca="false">N(INDEX('06 LABOUR RATE LIBRARY'!$D$5:$D$100,MATCH("LAB-CRP",'06 LABOUR RATE LIBRARY'!$A$5:$A$100,0)))</f>
        <v>2400</v>
      </c>
      <c r="H2702" s="21" t="n">
        <v>0</v>
      </c>
      <c r="I2702" s="18" t="n">
        <f aca="false">F2702*(1+H2702)</f>
        <v>0.00769230769230769</v>
      </c>
      <c r="J2702" s="13" t="n">
        <f aca="false">I2702*G2702</f>
        <v>18.4615384615385</v>
      </c>
      <c r="K2702" s="20" t="str">
        <f aca="false">IF(INDEX('06 LABOUR RATE LIBRARY'!$L$5:$L$100,MATCH("LAB-CRP",'06 LABOUR RATE LIBRARY'!$A$5:$A$100,0))=1,"",IF(INDEX('06 LABOUR RATE LIBRARY'!$L$5:$L$100,MATCH("LAB-CRP",'06 LABOUR RATE LIBRARY'!$A$5:$A$100,0))=2,"OLD RATE","NO RATE"))</f>
        <v/>
      </c>
    </row>
    <row r="2703" customFormat="false" ht="15" hidden="false" customHeight="true" outlineLevel="0" collapsed="false">
      <c r="A2703" s="9" t="s">
        <v>637</v>
      </c>
      <c r="B2703" s="9" t="s">
        <v>812</v>
      </c>
      <c r="C2703" s="9" t="s">
        <v>816</v>
      </c>
      <c r="D2703" s="5" t="s">
        <v>919</v>
      </c>
      <c r="E2703" s="9" t="s">
        <v>815</v>
      </c>
      <c r="F2703" s="18" t="n">
        <f aca="false">'13 PRODUCTIVITY LIBRARY'!F13/'13 PRODUCTIVITY LIBRARY'!D13</f>
        <v>0.00769230769230769</v>
      </c>
      <c r="G2703" s="13" t="n">
        <f aca="false">N(INDEX('06 LABOUR RATE LIBRARY'!$D$5:$D$100,MATCH("LAB-HLP",'06 LABOUR RATE LIBRARY'!$A$5:$A$100,0)))</f>
        <v>1538</v>
      </c>
      <c r="H2703" s="21" t="n">
        <v>0</v>
      </c>
      <c r="I2703" s="18" t="n">
        <f aca="false">F2703*(1+H2703)</f>
        <v>0.00769230769230769</v>
      </c>
      <c r="J2703" s="13" t="n">
        <f aca="false">I2703*G2703</f>
        <v>11.8307692307692</v>
      </c>
      <c r="K2703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704" customFormat="false" ht="15" hidden="false" customHeight="true" outlineLevel="0" collapsed="false">
      <c r="D2704" s="22" t="s">
        <v>825</v>
      </c>
      <c r="J2704" s="23" t="n">
        <f aca="false">SUMPRODUCT((B2698:B2703="Material")*F2698:F2703*G2698:G2703)</f>
        <v>54.5158333333333</v>
      </c>
    </row>
    <row r="2705" customFormat="false" ht="15" hidden="false" customHeight="true" outlineLevel="0" collapsed="false">
      <c r="D2705" s="22" t="s">
        <v>826</v>
      </c>
      <c r="J2705" s="23" t="n">
        <f aca="false">SUMIF(B2698:B2703,"Material",J2698:J2703)-J2704</f>
        <v>2.86458333333334</v>
      </c>
    </row>
    <row r="2706" customFormat="false" ht="15" hidden="false" customHeight="true" outlineLevel="0" collapsed="false">
      <c r="D2706" s="24" t="s">
        <v>827</v>
      </c>
      <c r="J2706" s="14" t="n">
        <f aca="false">SUMIF(B2698:B2703,"Material",J2698:J2703)</f>
        <v>57.3804166666667</v>
      </c>
    </row>
    <row r="2707" customFormat="false" ht="15" hidden="false" customHeight="true" outlineLevel="0" collapsed="false">
      <c r="D2707" s="24" t="s">
        <v>828</v>
      </c>
      <c r="J2707" s="14" t="n">
        <f aca="false">SUMIF(B2698:B2703,"Labour",J2698:J2703)</f>
        <v>30.2923076923077</v>
      </c>
    </row>
    <row r="2708" customFormat="false" ht="15" hidden="false" customHeight="true" outlineLevel="0" collapsed="false">
      <c r="D2708" s="24" t="s">
        <v>829</v>
      </c>
      <c r="J2708" s="14" t="n">
        <f aca="false">SUMIF(B2698:B2703,"Equipment",J2698:J2703)</f>
        <v>0</v>
      </c>
    </row>
    <row r="2709" customFormat="false" ht="15" hidden="false" customHeight="true" outlineLevel="0" collapsed="false">
      <c r="D2709" s="24" t="s">
        <v>830</v>
      </c>
      <c r="J2709" s="14" t="n">
        <f aca="false">SUMIF(B2698:B2703,"Transport",J2698:J2703)</f>
        <v>0</v>
      </c>
    </row>
    <row r="2710" customFormat="false" ht="15" hidden="false" customHeight="true" outlineLevel="0" collapsed="false">
      <c r="D2710" s="24" t="s">
        <v>831</v>
      </c>
      <c r="J2710" s="14" t="n">
        <f aca="false">J2706+J2707+J2708+J2709</f>
        <v>87.6727243589744</v>
      </c>
    </row>
    <row r="2711" customFormat="false" ht="15" hidden="false" customHeight="true" outlineLevel="0" collapsed="false">
      <c r="D2711" s="22" t="s">
        <v>832</v>
      </c>
      <c r="J2711" s="23" t="n">
        <f aca="false">J2710*OH_Site</f>
        <v>2.63018173076923</v>
      </c>
    </row>
    <row r="2712" customFormat="false" ht="15" hidden="false" customHeight="true" outlineLevel="0" collapsed="false">
      <c r="D2712" s="22" t="s">
        <v>833</v>
      </c>
      <c r="J2712" s="23" t="n">
        <f aca="false">J2710*OH_HO</f>
        <v>4.38363621794872</v>
      </c>
    </row>
    <row r="2713" customFormat="false" ht="15" hidden="false" customHeight="true" outlineLevel="0" collapsed="false">
      <c r="D2713" s="22" t="s">
        <v>834</v>
      </c>
      <c r="J2713" s="23" t="n">
        <f aca="false">J2710*Profit</f>
        <v>8.76727243589744</v>
      </c>
    </row>
    <row r="2714" customFormat="false" ht="15" hidden="false" customHeight="true" outlineLevel="0" collapsed="false">
      <c r="D2714" s="24" t="s">
        <v>835</v>
      </c>
      <c r="J2714" s="14" t="n">
        <f aca="false">J2710+J2711+J2712+J2713</f>
        <v>103.45381474359</v>
      </c>
    </row>
    <row r="2715" customFormat="false" ht="15" hidden="false" customHeight="true" outlineLevel="0" collapsed="false">
      <c r="D2715" s="22" t="s">
        <v>836</v>
      </c>
      <c r="J2715" s="23" t="n">
        <f aca="false">IF(Tax_On="Yes",J2714*N(Tax_Rate),0)</f>
        <v>0</v>
      </c>
    </row>
    <row r="2716" customFormat="false" ht="15" hidden="false" customHeight="true" outlineLevel="0" collapsed="false">
      <c r="D2716" s="24" t="s">
        <v>895</v>
      </c>
      <c r="J2716" s="14" t="n">
        <f aca="false">ROUND(J2714+J2715,0)</f>
        <v>103</v>
      </c>
    </row>
    <row r="2717" customFormat="false" ht="15" hidden="false" customHeight="true" outlineLevel="0" collapsed="false">
      <c r="D2717" s="25" t="s">
        <v>838</v>
      </c>
      <c r="J2717" s="26" t="n">
        <f aca="false">COUNTIF(K2698:K2703,"NO RATE")+COUNTIF(K2698:K2703,"OLD RATE")</f>
        <v>0</v>
      </c>
    </row>
    <row r="2719" customFormat="false" ht="39.75" hidden="false" customHeight="true" outlineLevel="0" collapsed="false">
      <c r="A2719" s="4" t="s">
        <v>640</v>
      </c>
      <c r="B2719" s="16" t="s">
        <v>642</v>
      </c>
      <c r="C2719" s="16"/>
      <c r="D2719" s="16"/>
      <c r="E2719" s="16"/>
      <c r="F2719" s="16"/>
      <c r="G2719" s="16"/>
      <c r="H2719" s="16"/>
      <c r="I2719" s="16"/>
      <c r="J2719" s="4" t="s">
        <v>1389</v>
      </c>
      <c r="K2719" s="17"/>
    </row>
    <row r="2720" customFormat="false" ht="21.75" hidden="false" customHeight="true" outlineLevel="0" collapsed="false">
      <c r="A2720" s="12" t="s">
        <v>75</v>
      </c>
      <c r="B2720" s="12" t="s">
        <v>789</v>
      </c>
      <c r="C2720" s="12" t="s">
        <v>790</v>
      </c>
      <c r="D2720" s="12" t="s">
        <v>791</v>
      </c>
      <c r="E2720" s="12" t="s">
        <v>81</v>
      </c>
      <c r="F2720" s="12" t="s">
        <v>792</v>
      </c>
      <c r="G2720" s="12" t="s">
        <v>793</v>
      </c>
      <c r="H2720" s="12" t="s">
        <v>794</v>
      </c>
      <c r="I2720" s="12" t="s">
        <v>795</v>
      </c>
      <c r="J2720" s="12" t="s">
        <v>796</v>
      </c>
      <c r="K2720" s="12" t="s">
        <v>797</v>
      </c>
    </row>
    <row r="2721" customFormat="false" ht="15" hidden="false" customHeight="true" outlineLevel="0" collapsed="false">
      <c r="A2721" s="9" t="s">
        <v>640</v>
      </c>
      <c r="B2721" s="9" t="s">
        <v>798</v>
      </c>
      <c r="C2721" s="9" t="s">
        <v>876</v>
      </c>
      <c r="D2721" s="5" t="s">
        <v>1390</v>
      </c>
      <c r="E2721" s="9" t="s">
        <v>198</v>
      </c>
      <c r="F2721" s="18" t="n">
        <v>1000</v>
      </c>
      <c r="G2721" s="13" t="n">
        <f aca="false">N(INDEX('05 MATERIAL RATE LIBRARY'!$E$5:$E$400,MATCH("MAT-STL-G60",'05 MATERIAL RATE LIBRARY'!$A$5:$A$400,0)))</f>
        <v>242</v>
      </c>
      <c r="H2721" s="19" t="n">
        <f aca="false">W_Stl</f>
        <v>0.03</v>
      </c>
      <c r="I2721" s="18" t="n">
        <f aca="false">F2721*(1+H2721)</f>
        <v>1030</v>
      </c>
      <c r="J2721" s="13" t="n">
        <f aca="false">I2721*G2721</f>
        <v>249260</v>
      </c>
      <c r="K2721" s="20" t="str">
        <f aca="false">IF(INDEX('05 MATERIAL RATE LIBRARY'!$M$5:$M$400,MATCH("MAT-STL-G60",'05 MATERIAL RATE LIBRARY'!$A$5:$A$400,0))=1,"",IF(INDEX('05 MATERIAL RATE LIBRARY'!$M$5:$M$400,MATCH("MAT-STL-G60",'05 MATERIAL RATE LIBRARY'!$A$5:$A$400,0))=2,"OLD RATE","NO RATE"))</f>
        <v/>
      </c>
    </row>
    <row r="2722" customFormat="false" ht="15" hidden="false" customHeight="true" outlineLevel="0" collapsed="false">
      <c r="A2722" s="9" t="s">
        <v>640</v>
      </c>
      <c r="B2722" s="9" t="s">
        <v>798</v>
      </c>
      <c r="C2722" s="9" t="s">
        <v>878</v>
      </c>
      <c r="D2722" s="5" t="s">
        <v>1391</v>
      </c>
      <c r="E2722" s="9" t="s">
        <v>198</v>
      </c>
      <c r="F2722" s="18" t="n">
        <v>10</v>
      </c>
      <c r="G2722" s="13" t="n">
        <f aca="false">N(INDEX('05 MATERIAL RATE LIBRARY'!$E$5:$E$400,MATCH("MAT-BWIRE",'05 MATERIAL RATE LIBRARY'!$A$5:$A$400,0)))</f>
        <v>345</v>
      </c>
      <c r="H2722" s="21" t="n">
        <v>0</v>
      </c>
      <c r="I2722" s="18" t="n">
        <f aca="false">F2722*(1+H2722)</f>
        <v>10</v>
      </c>
      <c r="J2722" s="13" t="n">
        <f aca="false">I2722*G2722</f>
        <v>3450</v>
      </c>
      <c r="K2722" s="20" t="str">
        <f aca="false">IF(INDEX('05 MATERIAL RATE LIBRARY'!$M$5:$M$400,MATCH("MAT-BWIRE",'05 MATERIAL RATE LIBRARY'!$A$5:$A$400,0))=1,"",IF(INDEX('05 MATERIAL RATE LIBRARY'!$M$5:$M$400,MATCH("MAT-BWIRE",'05 MATERIAL RATE LIBRARY'!$A$5:$A$400,0))=2,"OLD RATE","NO RATE"))</f>
        <v/>
      </c>
    </row>
    <row r="2723" customFormat="false" ht="15" hidden="false" customHeight="true" outlineLevel="0" collapsed="false">
      <c r="A2723" s="9" t="s">
        <v>640</v>
      </c>
      <c r="B2723" s="9" t="s">
        <v>812</v>
      </c>
      <c r="C2723" s="9" t="s">
        <v>880</v>
      </c>
      <c r="D2723" s="5" t="s">
        <v>1392</v>
      </c>
      <c r="E2723" s="9" t="s">
        <v>815</v>
      </c>
      <c r="F2723" s="18" t="n">
        <f aca="false">1000*'13 PRODUCTIVITY LIBRARY'!E7/'13 PRODUCTIVITY LIBRARY'!D7</f>
        <v>2.77777777777778</v>
      </c>
      <c r="G2723" s="13" t="n">
        <f aca="false">N(INDEX('06 LABOUR RATE LIBRARY'!$D$5:$D$100,MATCH("LAB-SFX",'06 LABOUR RATE LIBRARY'!$A$5:$A$100,0)))</f>
        <v>2450</v>
      </c>
      <c r="H2723" s="21" t="n">
        <v>0</v>
      </c>
      <c r="I2723" s="18" t="n">
        <f aca="false">F2723*(1+H2723)</f>
        <v>2.77777777777778</v>
      </c>
      <c r="J2723" s="13" t="n">
        <f aca="false">I2723*G2723</f>
        <v>6805.55555555556</v>
      </c>
      <c r="K2723" s="20" t="str">
        <f aca="false">IF(INDEX('06 LABOUR RATE LIBRARY'!$L$5:$L$100,MATCH("LAB-SFX",'06 LABOUR RATE LIBRARY'!$A$5:$A$100,0))=1,"",IF(INDEX('06 LABOUR RATE LIBRARY'!$L$5:$L$100,MATCH("LAB-SFX",'06 LABOUR RATE LIBRARY'!$A$5:$A$100,0))=2,"OLD RATE","NO RATE"))</f>
        <v/>
      </c>
    </row>
    <row r="2724" customFormat="false" ht="15" hidden="false" customHeight="true" outlineLevel="0" collapsed="false">
      <c r="A2724" s="9" t="s">
        <v>640</v>
      </c>
      <c r="B2724" s="9" t="s">
        <v>812</v>
      </c>
      <c r="C2724" s="9" t="s">
        <v>816</v>
      </c>
      <c r="D2724" s="5" t="s">
        <v>1393</v>
      </c>
      <c r="E2724" s="9" t="s">
        <v>815</v>
      </c>
      <c r="F2724" s="18" t="n">
        <f aca="false">1000*'13 PRODUCTIVITY LIBRARY'!F7/'13 PRODUCTIVITY LIBRARY'!D7</f>
        <v>2.77777777777778</v>
      </c>
      <c r="G2724" s="13" t="n">
        <f aca="false">N(INDEX('06 LABOUR RATE LIBRARY'!$D$5:$D$100,MATCH("LAB-HLP",'06 LABOUR RATE LIBRARY'!$A$5:$A$100,0)))</f>
        <v>1538</v>
      </c>
      <c r="H2724" s="21" t="n">
        <v>0</v>
      </c>
      <c r="I2724" s="18" t="n">
        <f aca="false">F2724*(1+H2724)</f>
        <v>2.77777777777778</v>
      </c>
      <c r="J2724" s="13" t="n">
        <f aca="false">I2724*G2724</f>
        <v>4272.22222222222</v>
      </c>
      <c r="K2724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725" customFormat="false" ht="15" hidden="false" customHeight="true" outlineLevel="0" collapsed="false">
      <c r="D2725" s="22" t="s">
        <v>825</v>
      </c>
      <c r="J2725" s="23" t="n">
        <f aca="false">SUMPRODUCT((B2721:B2724="Material")*F2721:F2724*G2721:G2724)</f>
        <v>245450</v>
      </c>
    </row>
    <row r="2726" customFormat="false" ht="15" hidden="false" customHeight="true" outlineLevel="0" collapsed="false">
      <c r="D2726" s="22" t="s">
        <v>826</v>
      </c>
      <c r="J2726" s="23" t="n">
        <f aca="false">SUMIF(B2721:B2724,"Material",J2721:J2724)-J2725</f>
        <v>7260</v>
      </c>
    </row>
    <row r="2727" customFormat="false" ht="15" hidden="false" customHeight="true" outlineLevel="0" collapsed="false">
      <c r="D2727" s="24" t="s">
        <v>827</v>
      </c>
      <c r="J2727" s="14" t="n">
        <f aca="false">SUMIF(B2721:B2724,"Material",J2721:J2724)</f>
        <v>252710</v>
      </c>
    </row>
    <row r="2728" customFormat="false" ht="15" hidden="false" customHeight="true" outlineLevel="0" collapsed="false">
      <c r="D2728" s="24" t="s">
        <v>828</v>
      </c>
      <c r="J2728" s="14" t="n">
        <f aca="false">SUMIF(B2721:B2724,"Labour",J2721:J2724)</f>
        <v>11077.7777777778</v>
      </c>
    </row>
    <row r="2729" customFormat="false" ht="15" hidden="false" customHeight="true" outlineLevel="0" collapsed="false">
      <c r="D2729" s="24" t="s">
        <v>829</v>
      </c>
      <c r="J2729" s="14" t="n">
        <f aca="false">SUMIF(B2721:B2724,"Equipment",J2721:J2724)</f>
        <v>0</v>
      </c>
    </row>
    <row r="2730" customFormat="false" ht="15" hidden="false" customHeight="true" outlineLevel="0" collapsed="false">
      <c r="D2730" s="24" t="s">
        <v>830</v>
      </c>
      <c r="J2730" s="14" t="n">
        <f aca="false">SUMIF(B2721:B2724,"Transport",J2721:J2724)</f>
        <v>0</v>
      </c>
    </row>
    <row r="2731" customFormat="false" ht="15" hidden="false" customHeight="true" outlineLevel="0" collapsed="false">
      <c r="D2731" s="24" t="s">
        <v>831</v>
      </c>
      <c r="J2731" s="14" t="n">
        <f aca="false">J2727+J2728+J2729+J2730</f>
        <v>263787.777777778</v>
      </c>
    </row>
    <row r="2732" customFormat="false" ht="15" hidden="false" customHeight="true" outlineLevel="0" collapsed="false">
      <c r="D2732" s="22" t="s">
        <v>832</v>
      </c>
      <c r="J2732" s="23" t="n">
        <f aca="false">J2731*OH_Site</f>
        <v>7913.63333333333</v>
      </c>
    </row>
    <row r="2733" customFormat="false" ht="15" hidden="false" customHeight="true" outlineLevel="0" collapsed="false">
      <c r="D2733" s="22" t="s">
        <v>833</v>
      </c>
      <c r="J2733" s="23" t="n">
        <f aca="false">J2731*OH_HO</f>
        <v>13189.3888888889</v>
      </c>
    </row>
    <row r="2734" customFormat="false" ht="15" hidden="false" customHeight="true" outlineLevel="0" collapsed="false">
      <c r="D2734" s="22" t="s">
        <v>834</v>
      </c>
      <c r="J2734" s="23" t="n">
        <f aca="false">J2731*Profit</f>
        <v>26378.7777777778</v>
      </c>
    </row>
    <row r="2735" customFormat="false" ht="15" hidden="false" customHeight="true" outlineLevel="0" collapsed="false">
      <c r="D2735" s="24" t="s">
        <v>835</v>
      </c>
      <c r="J2735" s="14" t="n">
        <f aca="false">J2731+J2732+J2733+J2734</f>
        <v>311269.577777778</v>
      </c>
    </row>
    <row r="2736" customFormat="false" ht="15" hidden="false" customHeight="true" outlineLevel="0" collapsed="false">
      <c r="D2736" s="22" t="s">
        <v>836</v>
      </c>
      <c r="J2736" s="23" t="n">
        <f aca="false">IF(Tax_On="Yes",J2735*N(Tax_Rate),0)</f>
        <v>0</v>
      </c>
    </row>
    <row r="2737" customFormat="false" ht="15" hidden="false" customHeight="true" outlineLevel="0" collapsed="false">
      <c r="D2737" s="24" t="s">
        <v>1394</v>
      </c>
      <c r="J2737" s="14" t="n">
        <f aca="false">ROUND(J2735+J2736,0)</f>
        <v>311270</v>
      </c>
    </row>
    <row r="2738" customFormat="false" ht="15" hidden="false" customHeight="true" outlineLevel="0" collapsed="false">
      <c r="D2738" s="25" t="s">
        <v>838</v>
      </c>
      <c r="J2738" s="26" t="n">
        <f aca="false">COUNTIF(K2721:K2724,"NO RATE")+COUNTIF(K2721:K2724,"OLD RATE")</f>
        <v>0</v>
      </c>
    </row>
    <row r="2740" customFormat="false" ht="39.75" hidden="false" customHeight="true" outlineLevel="0" collapsed="false">
      <c r="A2740" s="4" t="s">
        <v>645</v>
      </c>
      <c r="B2740" s="16" t="s">
        <v>647</v>
      </c>
      <c r="C2740" s="16"/>
      <c r="D2740" s="16"/>
      <c r="E2740" s="16"/>
      <c r="F2740" s="16"/>
      <c r="G2740" s="16"/>
      <c r="H2740" s="16"/>
      <c r="I2740" s="16"/>
      <c r="J2740" s="4" t="s">
        <v>788</v>
      </c>
      <c r="K2740" s="17"/>
    </row>
    <row r="2741" customFormat="false" ht="21.75" hidden="false" customHeight="true" outlineLevel="0" collapsed="false">
      <c r="A2741" s="12" t="s">
        <v>75</v>
      </c>
      <c r="B2741" s="12" t="s">
        <v>789</v>
      </c>
      <c r="C2741" s="12" t="s">
        <v>790</v>
      </c>
      <c r="D2741" s="12" t="s">
        <v>791</v>
      </c>
      <c r="E2741" s="12" t="s">
        <v>81</v>
      </c>
      <c r="F2741" s="12" t="s">
        <v>792</v>
      </c>
      <c r="G2741" s="12" t="s">
        <v>793</v>
      </c>
      <c r="H2741" s="12" t="s">
        <v>794</v>
      </c>
      <c r="I2741" s="12" t="s">
        <v>795</v>
      </c>
      <c r="J2741" s="12" t="s">
        <v>796</v>
      </c>
      <c r="K2741" s="12" t="s">
        <v>797</v>
      </c>
    </row>
    <row r="2742" customFormat="false" ht="15" hidden="false" customHeight="true" outlineLevel="0" collapsed="false">
      <c r="A2742" s="9" t="s">
        <v>645</v>
      </c>
      <c r="B2742" s="9" t="s">
        <v>798</v>
      </c>
      <c r="C2742" s="9" t="s">
        <v>1395</v>
      </c>
      <c r="D2742" s="5" t="s">
        <v>1396</v>
      </c>
      <c r="E2742" s="9" t="s">
        <v>109</v>
      </c>
      <c r="F2742" s="18" t="n">
        <v>1</v>
      </c>
      <c r="G2742" s="13" t="n">
        <f aca="false">N(INDEX('05 MATERIAL RATE LIBRARY'!$E$5:$E$400,MATCH("MAT-RMC-4000",'05 MATERIAL RATE LIBRARY'!$A$5:$A$400,0)))</f>
        <v>337.25</v>
      </c>
      <c r="H2742" s="19" t="n">
        <f aca="false">W_RMC</f>
        <v>0.02</v>
      </c>
      <c r="I2742" s="18" t="n">
        <f aca="false">F2742*(1+H2742)</f>
        <v>1.02</v>
      </c>
      <c r="J2742" s="13" t="n">
        <f aca="false">I2742*G2742</f>
        <v>343.995</v>
      </c>
      <c r="K2742" s="20" t="str">
        <f aca="false">IF(INDEX('05 MATERIAL RATE LIBRARY'!$M$5:$M$400,MATCH("MAT-RMC-4000",'05 MATERIAL RATE LIBRARY'!$A$5:$A$400,0))=1,"",IF(INDEX('05 MATERIAL RATE LIBRARY'!$M$5:$M$400,MATCH("MAT-RMC-4000",'05 MATERIAL RATE LIBRARY'!$A$5:$A$400,0))=2,"OLD RATE","NO RATE"))</f>
        <v/>
      </c>
    </row>
    <row r="2743" customFormat="false" ht="15" hidden="false" customHeight="true" outlineLevel="0" collapsed="false">
      <c r="A2743" s="9" t="s">
        <v>645</v>
      </c>
      <c r="B2743" s="9" t="s">
        <v>818</v>
      </c>
      <c r="C2743" s="9" t="s">
        <v>823</v>
      </c>
      <c r="D2743" s="5" t="s">
        <v>1397</v>
      </c>
      <c r="E2743" s="9" t="s">
        <v>109</v>
      </c>
      <c r="F2743" s="18" t="n">
        <v>1</v>
      </c>
      <c r="G2743" s="13" t="n">
        <f aca="false">N(INDEX('07 EQUIPMENT RATE LIBRARY'!$D$5:$D$100,MATCH("EQ-PUMP",'07 EQUIPMENT RATE LIBRARY'!$A$5:$A$100,0)))</f>
        <v>28.32</v>
      </c>
      <c r="H2743" s="21" t="n">
        <v>0</v>
      </c>
      <c r="I2743" s="18" t="n">
        <f aca="false">F2743*(1+H2743)</f>
        <v>1</v>
      </c>
      <c r="J2743" s="13" t="n">
        <f aca="false">I2743*G2743</f>
        <v>28.32</v>
      </c>
      <c r="K2743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744" customFormat="false" ht="15" hidden="false" customHeight="true" outlineLevel="0" collapsed="false">
      <c r="A2744" s="9" t="s">
        <v>645</v>
      </c>
      <c r="B2744" s="9" t="s">
        <v>812</v>
      </c>
      <c r="C2744" s="9" t="s">
        <v>813</v>
      </c>
      <c r="D2744" s="5" t="s">
        <v>1398</v>
      </c>
      <c r="E2744" s="9" t="s">
        <v>815</v>
      </c>
      <c r="F2744" s="18" t="n">
        <f aca="false">'13 PRODUCTIVITY LIBRARY'!E28/'13 PRODUCTIVITY LIBRARY'!D28</f>
        <v>0.00645161290322581</v>
      </c>
      <c r="G2744" s="13" t="n">
        <f aca="false">N(INDEX('06 LABOUR RATE LIBRARY'!$D$5:$D$100,MATCH("LAB-MSN",'06 LABOUR RATE LIBRARY'!$A$5:$A$100,0)))</f>
        <v>2200</v>
      </c>
      <c r="H2744" s="21" t="n">
        <v>0</v>
      </c>
      <c r="I2744" s="18" t="n">
        <f aca="false">F2744*(1+H2744)</f>
        <v>0.00645161290322581</v>
      </c>
      <c r="J2744" s="13" t="n">
        <f aca="false">I2744*G2744</f>
        <v>14.1935483870968</v>
      </c>
      <c r="K2744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745" customFormat="false" ht="15" hidden="false" customHeight="true" outlineLevel="0" collapsed="false">
      <c r="A2745" s="9" t="s">
        <v>645</v>
      </c>
      <c r="B2745" s="9" t="s">
        <v>812</v>
      </c>
      <c r="C2745" s="9" t="s">
        <v>816</v>
      </c>
      <c r="D2745" s="5" t="s">
        <v>1399</v>
      </c>
      <c r="E2745" s="9" t="s">
        <v>815</v>
      </c>
      <c r="F2745" s="18" t="n">
        <f aca="false">'13 PRODUCTIVITY LIBRARY'!F28/'13 PRODUCTIVITY LIBRARY'!D28</f>
        <v>0.0516129032258065</v>
      </c>
      <c r="G2745" s="13" t="n">
        <f aca="false">N(INDEX('06 LABOUR RATE LIBRARY'!$D$5:$D$100,MATCH("LAB-HLP",'06 LABOUR RATE LIBRARY'!$A$5:$A$100,0)))</f>
        <v>1538</v>
      </c>
      <c r="H2745" s="21" t="n">
        <v>0</v>
      </c>
      <c r="I2745" s="18" t="n">
        <f aca="false">F2745*(1+H2745)</f>
        <v>0.0516129032258065</v>
      </c>
      <c r="J2745" s="13" t="n">
        <f aca="false">I2745*G2745</f>
        <v>79.3806451612903</v>
      </c>
      <c r="K2745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746" customFormat="false" ht="15" hidden="false" customHeight="true" outlineLevel="0" collapsed="false">
      <c r="A2746" s="9" t="s">
        <v>645</v>
      </c>
      <c r="B2746" s="9" t="s">
        <v>818</v>
      </c>
      <c r="C2746" s="9" t="s">
        <v>819</v>
      </c>
      <c r="D2746" s="5" t="s">
        <v>1400</v>
      </c>
      <c r="E2746" s="9" t="s">
        <v>815</v>
      </c>
      <c r="F2746" s="18" t="n">
        <f aca="false">1/'13 PRODUCTIVITY LIBRARY'!D28</f>
        <v>0.00645161290322581</v>
      </c>
      <c r="G2746" s="13" t="n">
        <f aca="false">N(INDEX('07 EQUIPMENT RATE LIBRARY'!$D$5:$D$100,MATCH("EQ-VIB",'07 EQUIPMENT RATE LIBRARY'!$A$5:$A$100,0)))</f>
        <v>227</v>
      </c>
      <c r="H2746" s="21" t="n">
        <v>0</v>
      </c>
      <c r="I2746" s="18" t="n">
        <f aca="false">F2746*(1+H2746)</f>
        <v>0.00645161290322581</v>
      </c>
      <c r="J2746" s="13" t="n">
        <f aca="false">I2746*G2746</f>
        <v>1.46451612903226</v>
      </c>
      <c r="K2746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747" customFormat="false" ht="15" hidden="false" customHeight="true" outlineLevel="0" collapsed="false">
      <c r="D2747" s="22" t="s">
        <v>825</v>
      </c>
      <c r="J2747" s="23" t="n">
        <f aca="false">SUMPRODUCT((B2742:B2746="Material")*F2742:F2746*G2742:G2746)</f>
        <v>337.25</v>
      </c>
    </row>
    <row r="2748" customFormat="false" ht="15" hidden="false" customHeight="true" outlineLevel="0" collapsed="false">
      <c r="D2748" s="22" t="s">
        <v>826</v>
      </c>
      <c r="J2748" s="23" t="n">
        <f aca="false">SUMIF(B2742:B2746,"Material",J2742:J2746)-J2747</f>
        <v>6.745</v>
      </c>
    </row>
    <row r="2749" customFormat="false" ht="15" hidden="false" customHeight="true" outlineLevel="0" collapsed="false">
      <c r="D2749" s="24" t="s">
        <v>827</v>
      </c>
      <c r="J2749" s="14" t="n">
        <f aca="false">SUMIF(B2742:B2746,"Material",J2742:J2746)</f>
        <v>343.995</v>
      </c>
    </row>
    <row r="2750" customFormat="false" ht="15" hidden="false" customHeight="true" outlineLevel="0" collapsed="false">
      <c r="D2750" s="24" t="s">
        <v>828</v>
      </c>
      <c r="J2750" s="14" t="n">
        <f aca="false">SUMIF(B2742:B2746,"Labour",J2742:J2746)</f>
        <v>93.5741935483871</v>
      </c>
    </row>
    <row r="2751" customFormat="false" ht="15" hidden="false" customHeight="true" outlineLevel="0" collapsed="false">
      <c r="D2751" s="24" t="s">
        <v>829</v>
      </c>
      <c r="J2751" s="14" t="n">
        <f aca="false">SUMIF(B2742:B2746,"Equipment",J2742:J2746)</f>
        <v>29.7845161290323</v>
      </c>
    </row>
    <row r="2752" customFormat="false" ht="15" hidden="false" customHeight="true" outlineLevel="0" collapsed="false">
      <c r="D2752" s="24" t="s">
        <v>830</v>
      </c>
      <c r="J2752" s="14" t="n">
        <f aca="false">SUMIF(B2742:B2746,"Transport",J2742:J2746)</f>
        <v>0</v>
      </c>
    </row>
    <row r="2753" customFormat="false" ht="15" hidden="false" customHeight="true" outlineLevel="0" collapsed="false">
      <c r="D2753" s="24" t="s">
        <v>831</v>
      </c>
      <c r="J2753" s="14" t="n">
        <f aca="false">J2749+J2750+J2751+J2752</f>
        <v>467.353709677419</v>
      </c>
    </row>
    <row r="2754" customFormat="false" ht="15" hidden="false" customHeight="true" outlineLevel="0" collapsed="false">
      <c r="D2754" s="22" t="s">
        <v>832</v>
      </c>
      <c r="J2754" s="23" t="n">
        <f aca="false">J2753*OH_Site</f>
        <v>14.0206112903226</v>
      </c>
    </row>
    <row r="2755" customFormat="false" ht="15" hidden="false" customHeight="true" outlineLevel="0" collapsed="false">
      <c r="D2755" s="22" t="s">
        <v>833</v>
      </c>
      <c r="J2755" s="23" t="n">
        <f aca="false">J2753*OH_HO</f>
        <v>23.367685483871</v>
      </c>
    </row>
    <row r="2756" customFormat="false" ht="15" hidden="false" customHeight="true" outlineLevel="0" collapsed="false">
      <c r="D2756" s="22" t="s">
        <v>834</v>
      </c>
      <c r="J2756" s="23" t="n">
        <f aca="false">J2753*Profit</f>
        <v>46.7353709677419</v>
      </c>
    </row>
    <row r="2757" customFormat="false" ht="15" hidden="false" customHeight="true" outlineLevel="0" collapsed="false">
      <c r="D2757" s="24" t="s">
        <v>835</v>
      </c>
      <c r="J2757" s="14" t="n">
        <f aca="false">J2753+J2754+J2755+J2756</f>
        <v>551.477377419355</v>
      </c>
    </row>
    <row r="2758" customFormat="false" ht="15" hidden="false" customHeight="true" outlineLevel="0" collapsed="false">
      <c r="D2758" s="22" t="s">
        <v>836</v>
      </c>
      <c r="J2758" s="23" t="n">
        <f aca="false">IF(Tax_On="Yes",J2757*N(Tax_Rate),0)</f>
        <v>0</v>
      </c>
    </row>
    <row r="2759" customFormat="false" ht="15" hidden="false" customHeight="true" outlineLevel="0" collapsed="false">
      <c r="D2759" s="24" t="s">
        <v>837</v>
      </c>
      <c r="J2759" s="14" t="n">
        <f aca="false">ROUND(J2757+J2758,0)</f>
        <v>551</v>
      </c>
    </row>
    <row r="2760" customFormat="false" ht="15" hidden="false" customHeight="true" outlineLevel="0" collapsed="false">
      <c r="D2760" s="25" t="s">
        <v>838</v>
      </c>
      <c r="J2760" s="26" t="n">
        <f aca="false">COUNTIF(K2742:K2746,"NO RATE")+COUNTIF(K2742:K2746,"OLD RATE")</f>
        <v>0</v>
      </c>
    </row>
    <row r="2762" customFormat="false" ht="39.75" hidden="false" customHeight="true" outlineLevel="0" collapsed="false">
      <c r="A2762" s="4" t="s">
        <v>651</v>
      </c>
      <c r="B2762" s="16" t="s">
        <v>653</v>
      </c>
      <c r="C2762" s="16"/>
      <c r="D2762" s="16"/>
      <c r="E2762" s="16"/>
      <c r="F2762" s="16"/>
      <c r="G2762" s="16"/>
      <c r="H2762" s="16"/>
      <c r="I2762" s="16"/>
      <c r="J2762" s="4" t="s">
        <v>788</v>
      </c>
      <c r="K2762" s="17"/>
    </row>
    <row r="2763" customFormat="false" ht="21.75" hidden="false" customHeight="true" outlineLevel="0" collapsed="false">
      <c r="A2763" s="12" t="s">
        <v>75</v>
      </c>
      <c r="B2763" s="12" t="s">
        <v>789</v>
      </c>
      <c r="C2763" s="12" t="s">
        <v>790</v>
      </c>
      <c r="D2763" s="12" t="s">
        <v>791</v>
      </c>
      <c r="E2763" s="12" t="s">
        <v>81</v>
      </c>
      <c r="F2763" s="12" t="s">
        <v>792</v>
      </c>
      <c r="G2763" s="12" t="s">
        <v>793</v>
      </c>
      <c r="H2763" s="12" t="s">
        <v>794</v>
      </c>
      <c r="I2763" s="12" t="s">
        <v>795</v>
      </c>
      <c r="J2763" s="12" t="s">
        <v>796</v>
      </c>
      <c r="K2763" s="12" t="s">
        <v>797</v>
      </c>
    </row>
    <row r="2764" customFormat="false" ht="15" hidden="false" customHeight="true" outlineLevel="0" collapsed="false">
      <c r="A2764" s="9" t="s">
        <v>651</v>
      </c>
      <c r="B2764" s="9" t="s">
        <v>798</v>
      </c>
      <c r="C2764" s="9" t="s">
        <v>1401</v>
      </c>
      <c r="D2764" s="5" t="s">
        <v>1396</v>
      </c>
      <c r="E2764" s="9" t="s">
        <v>109</v>
      </c>
      <c r="F2764" s="18" t="n">
        <v>1</v>
      </c>
      <c r="G2764" s="13" t="n">
        <f aca="false">N(INDEX('05 MATERIAL RATE LIBRARY'!$E$5:$E$400,MATCH("MAT-RMC-4500",'05 MATERIAL RATE LIBRARY'!$A$5:$A$400,0)))</f>
        <v>331.31</v>
      </c>
      <c r="H2764" s="19" t="n">
        <f aca="false">W_RMC</f>
        <v>0.02</v>
      </c>
      <c r="I2764" s="18" t="n">
        <f aca="false">F2764*(1+H2764)</f>
        <v>1.02</v>
      </c>
      <c r="J2764" s="13" t="n">
        <f aca="false">I2764*G2764</f>
        <v>337.9362</v>
      </c>
      <c r="K2764" s="20" t="str">
        <f aca="false">IF(INDEX('05 MATERIAL RATE LIBRARY'!$M$5:$M$400,MATCH("MAT-RMC-4500",'05 MATERIAL RATE LIBRARY'!$A$5:$A$400,0))=1,"",IF(INDEX('05 MATERIAL RATE LIBRARY'!$M$5:$M$400,MATCH("MAT-RMC-4500",'05 MATERIAL RATE LIBRARY'!$A$5:$A$400,0))=2,"OLD RATE","NO RATE"))</f>
        <v/>
      </c>
    </row>
    <row r="2765" customFormat="false" ht="15" hidden="false" customHeight="true" outlineLevel="0" collapsed="false">
      <c r="A2765" s="9" t="s">
        <v>651</v>
      </c>
      <c r="B2765" s="9" t="s">
        <v>818</v>
      </c>
      <c r="C2765" s="9" t="s">
        <v>823</v>
      </c>
      <c r="D2765" s="5" t="s">
        <v>1397</v>
      </c>
      <c r="E2765" s="9" t="s">
        <v>109</v>
      </c>
      <c r="F2765" s="18" t="n">
        <v>1</v>
      </c>
      <c r="G2765" s="13" t="n">
        <f aca="false">N(INDEX('07 EQUIPMENT RATE LIBRARY'!$D$5:$D$100,MATCH("EQ-PUMP",'07 EQUIPMENT RATE LIBRARY'!$A$5:$A$100,0)))</f>
        <v>28.32</v>
      </c>
      <c r="H2765" s="21" t="n">
        <v>0</v>
      </c>
      <c r="I2765" s="18" t="n">
        <f aca="false">F2765*(1+H2765)</f>
        <v>1</v>
      </c>
      <c r="J2765" s="13" t="n">
        <f aca="false">I2765*G2765</f>
        <v>28.32</v>
      </c>
      <c r="K2765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766" customFormat="false" ht="15" hidden="false" customHeight="true" outlineLevel="0" collapsed="false">
      <c r="A2766" s="9" t="s">
        <v>651</v>
      </c>
      <c r="B2766" s="9" t="s">
        <v>812</v>
      </c>
      <c r="C2766" s="9" t="s">
        <v>813</v>
      </c>
      <c r="D2766" s="5" t="s">
        <v>1398</v>
      </c>
      <c r="E2766" s="9" t="s">
        <v>815</v>
      </c>
      <c r="F2766" s="18" t="n">
        <f aca="false">'13 PRODUCTIVITY LIBRARY'!E28/'13 PRODUCTIVITY LIBRARY'!D28</f>
        <v>0.00645161290322581</v>
      </c>
      <c r="G2766" s="13" t="n">
        <f aca="false">N(INDEX('06 LABOUR RATE LIBRARY'!$D$5:$D$100,MATCH("LAB-MSN",'06 LABOUR RATE LIBRARY'!$A$5:$A$100,0)))</f>
        <v>2200</v>
      </c>
      <c r="H2766" s="21" t="n">
        <v>0</v>
      </c>
      <c r="I2766" s="18" t="n">
        <f aca="false">F2766*(1+H2766)</f>
        <v>0.00645161290322581</v>
      </c>
      <c r="J2766" s="13" t="n">
        <f aca="false">I2766*G2766</f>
        <v>14.1935483870968</v>
      </c>
      <c r="K2766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767" customFormat="false" ht="15" hidden="false" customHeight="true" outlineLevel="0" collapsed="false">
      <c r="A2767" s="9" t="s">
        <v>651</v>
      </c>
      <c r="B2767" s="9" t="s">
        <v>812</v>
      </c>
      <c r="C2767" s="9" t="s">
        <v>816</v>
      </c>
      <c r="D2767" s="5" t="s">
        <v>1399</v>
      </c>
      <c r="E2767" s="9" t="s">
        <v>815</v>
      </c>
      <c r="F2767" s="18" t="n">
        <f aca="false">'13 PRODUCTIVITY LIBRARY'!F28/'13 PRODUCTIVITY LIBRARY'!D28</f>
        <v>0.0516129032258065</v>
      </c>
      <c r="G2767" s="13" t="n">
        <f aca="false">N(INDEX('06 LABOUR RATE LIBRARY'!$D$5:$D$100,MATCH("LAB-HLP",'06 LABOUR RATE LIBRARY'!$A$5:$A$100,0)))</f>
        <v>1538</v>
      </c>
      <c r="H2767" s="21" t="n">
        <v>0</v>
      </c>
      <c r="I2767" s="18" t="n">
        <f aca="false">F2767*(1+H2767)</f>
        <v>0.0516129032258065</v>
      </c>
      <c r="J2767" s="13" t="n">
        <f aca="false">I2767*G2767</f>
        <v>79.3806451612903</v>
      </c>
      <c r="K276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768" customFormat="false" ht="15" hidden="false" customHeight="true" outlineLevel="0" collapsed="false">
      <c r="A2768" s="9" t="s">
        <v>651</v>
      </c>
      <c r="B2768" s="9" t="s">
        <v>818</v>
      </c>
      <c r="C2768" s="9" t="s">
        <v>819</v>
      </c>
      <c r="D2768" s="5" t="s">
        <v>1400</v>
      </c>
      <c r="E2768" s="9" t="s">
        <v>815</v>
      </c>
      <c r="F2768" s="18" t="n">
        <f aca="false">1/'13 PRODUCTIVITY LIBRARY'!D28</f>
        <v>0.00645161290322581</v>
      </c>
      <c r="G2768" s="13" t="n">
        <f aca="false">N(INDEX('07 EQUIPMENT RATE LIBRARY'!$D$5:$D$100,MATCH("EQ-VIB",'07 EQUIPMENT RATE LIBRARY'!$A$5:$A$100,0)))</f>
        <v>227</v>
      </c>
      <c r="H2768" s="21" t="n">
        <v>0</v>
      </c>
      <c r="I2768" s="18" t="n">
        <f aca="false">F2768*(1+H2768)</f>
        <v>0.00645161290322581</v>
      </c>
      <c r="J2768" s="13" t="n">
        <f aca="false">I2768*G2768</f>
        <v>1.46451612903226</v>
      </c>
      <c r="K2768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769" customFormat="false" ht="15" hidden="false" customHeight="true" outlineLevel="0" collapsed="false">
      <c r="D2769" s="22" t="s">
        <v>825</v>
      </c>
      <c r="J2769" s="23" t="n">
        <f aca="false">SUMPRODUCT((B2764:B2768="Material")*F2764:F2768*G2764:G2768)</f>
        <v>331.31</v>
      </c>
    </row>
    <row r="2770" customFormat="false" ht="15" hidden="false" customHeight="true" outlineLevel="0" collapsed="false">
      <c r="D2770" s="22" t="s">
        <v>826</v>
      </c>
      <c r="J2770" s="23" t="n">
        <f aca="false">SUMIF(B2764:B2768,"Material",J2764:J2768)-J2769</f>
        <v>6.62619999999998</v>
      </c>
    </row>
    <row r="2771" customFormat="false" ht="15" hidden="false" customHeight="true" outlineLevel="0" collapsed="false">
      <c r="D2771" s="24" t="s">
        <v>827</v>
      </c>
      <c r="J2771" s="14" t="n">
        <f aca="false">SUMIF(B2764:B2768,"Material",J2764:J2768)</f>
        <v>337.9362</v>
      </c>
    </row>
    <row r="2772" customFormat="false" ht="15" hidden="false" customHeight="true" outlineLevel="0" collapsed="false">
      <c r="D2772" s="24" t="s">
        <v>828</v>
      </c>
      <c r="J2772" s="14" t="n">
        <f aca="false">SUMIF(B2764:B2768,"Labour",J2764:J2768)</f>
        <v>93.5741935483871</v>
      </c>
    </row>
    <row r="2773" customFormat="false" ht="15" hidden="false" customHeight="true" outlineLevel="0" collapsed="false">
      <c r="D2773" s="24" t="s">
        <v>829</v>
      </c>
      <c r="J2773" s="14" t="n">
        <f aca="false">SUMIF(B2764:B2768,"Equipment",J2764:J2768)</f>
        <v>29.7845161290323</v>
      </c>
    </row>
    <row r="2774" customFormat="false" ht="15" hidden="false" customHeight="true" outlineLevel="0" collapsed="false">
      <c r="D2774" s="24" t="s">
        <v>830</v>
      </c>
      <c r="J2774" s="14" t="n">
        <f aca="false">SUMIF(B2764:B2768,"Transport",J2764:J2768)</f>
        <v>0</v>
      </c>
    </row>
    <row r="2775" customFormat="false" ht="15" hidden="false" customHeight="true" outlineLevel="0" collapsed="false">
      <c r="D2775" s="24" t="s">
        <v>831</v>
      </c>
      <c r="J2775" s="14" t="n">
        <f aca="false">J2771+J2772+J2773+J2774</f>
        <v>461.294909677419</v>
      </c>
    </row>
    <row r="2776" customFormat="false" ht="15" hidden="false" customHeight="true" outlineLevel="0" collapsed="false">
      <c r="D2776" s="22" t="s">
        <v>832</v>
      </c>
      <c r="J2776" s="23" t="n">
        <f aca="false">J2775*OH_Site</f>
        <v>13.8388472903226</v>
      </c>
    </row>
    <row r="2777" customFormat="false" ht="15" hidden="false" customHeight="true" outlineLevel="0" collapsed="false">
      <c r="D2777" s="22" t="s">
        <v>833</v>
      </c>
      <c r="J2777" s="23" t="n">
        <f aca="false">J2775*OH_HO</f>
        <v>23.064745483871</v>
      </c>
    </row>
    <row r="2778" customFormat="false" ht="15" hidden="false" customHeight="true" outlineLevel="0" collapsed="false">
      <c r="D2778" s="22" t="s">
        <v>834</v>
      </c>
      <c r="J2778" s="23" t="n">
        <f aca="false">J2775*Profit</f>
        <v>46.1294909677419</v>
      </c>
    </row>
    <row r="2779" customFormat="false" ht="15" hidden="false" customHeight="true" outlineLevel="0" collapsed="false">
      <c r="D2779" s="24" t="s">
        <v>835</v>
      </c>
      <c r="J2779" s="14" t="n">
        <f aca="false">J2775+J2776+J2777+J2778</f>
        <v>544.327993419355</v>
      </c>
    </row>
    <row r="2780" customFormat="false" ht="15" hidden="false" customHeight="true" outlineLevel="0" collapsed="false">
      <c r="D2780" s="22" t="s">
        <v>836</v>
      </c>
      <c r="J2780" s="23" t="n">
        <f aca="false">IF(Tax_On="Yes",J2779*N(Tax_Rate),0)</f>
        <v>0</v>
      </c>
    </row>
    <row r="2781" customFormat="false" ht="15" hidden="false" customHeight="true" outlineLevel="0" collapsed="false">
      <c r="D2781" s="24" t="s">
        <v>837</v>
      </c>
      <c r="J2781" s="14" t="n">
        <f aca="false">ROUND(J2779+J2780,0)</f>
        <v>544</v>
      </c>
    </row>
    <row r="2782" customFormat="false" ht="15" hidden="false" customHeight="true" outlineLevel="0" collapsed="false">
      <c r="D2782" s="25" t="s">
        <v>838</v>
      </c>
      <c r="J2782" s="26" t="n">
        <f aca="false">COUNTIF(K2764:K2768,"NO RATE")+COUNTIF(K2764:K2768,"OLD RATE")</f>
        <v>0</v>
      </c>
    </row>
    <row r="2784" customFormat="false" ht="39.75" hidden="false" customHeight="true" outlineLevel="0" collapsed="false">
      <c r="A2784" s="4" t="s">
        <v>654</v>
      </c>
      <c r="B2784" s="16" t="s">
        <v>656</v>
      </c>
      <c r="C2784" s="16"/>
      <c r="D2784" s="16"/>
      <c r="E2784" s="16"/>
      <c r="F2784" s="16"/>
      <c r="G2784" s="16"/>
      <c r="H2784" s="16"/>
      <c r="I2784" s="16"/>
      <c r="J2784" s="4" t="s">
        <v>788</v>
      </c>
      <c r="K2784" s="17"/>
    </row>
    <row r="2785" customFormat="false" ht="21.75" hidden="false" customHeight="true" outlineLevel="0" collapsed="false">
      <c r="A2785" s="12" t="s">
        <v>75</v>
      </c>
      <c r="B2785" s="12" t="s">
        <v>789</v>
      </c>
      <c r="C2785" s="12" t="s">
        <v>790</v>
      </c>
      <c r="D2785" s="12" t="s">
        <v>791</v>
      </c>
      <c r="E2785" s="12" t="s">
        <v>81</v>
      </c>
      <c r="F2785" s="12" t="s">
        <v>792</v>
      </c>
      <c r="G2785" s="12" t="s">
        <v>793</v>
      </c>
      <c r="H2785" s="12" t="s">
        <v>794</v>
      </c>
      <c r="I2785" s="12" t="s">
        <v>795</v>
      </c>
      <c r="J2785" s="12" t="s">
        <v>796</v>
      </c>
      <c r="K2785" s="12" t="s">
        <v>797</v>
      </c>
    </row>
    <row r="2786" customFormat="false" ht="15" hidden="false" customHeight="true" outlineLevel="0" collapsed="false">
      <c r="A2786" s="9" t="s">
        <v>654</v>
      </c>
      <c r="B2786" s="9" t="s">
        <v>798</v>
      </c>
      <c r="C2786" s="9" t="s">
        <v>1402</v>
      </c>
      <c r="D2786" s="5" t="s">
        <v>1396</v>
      </c>
      <c r="E2786" s="9" t="s">
        <v>109</v>
      </c>
      <c r="F2786" s="18" t="n">
        <v>1</v>
      </c>
      <c r="G2786" s="13" t="n">
        <f aca="false">N(INDEX('05 MATERIAL RATE LIBRARY'!$E$5:$E$400,MATCH("MAT-RMC-6500",'05 MATERIAL RATE LIBRARY'!$A$5:$A$400,0)))</f>
        <v>427.58</v>
      </c>
      <c r="H2786" s="19" t="n">
        <f aca="false">W_RMC</f>
        <v>0.02</v>
      </c>
      <c r="I2786" s="18" t="n">
        <f aca="false">F2786*(1+H2786)</f>
        <v>1.02</v>
      </c>
      <c r="J2786" s="13" t="n">
        <f aca="false">I2786*G2786</f>
        <v>436.1316</v>
      </c>
      <c r="K2786" s="20" t="str">
        <f aca="false">IF(INDEX('05 MATERIAL RATE LIBRARY'!$M$5:$M$400,MATCH("MAT-RMC-6500",'05 MATERIAL RATE LIBRARY'!$A$5:$A$400,0))=1,"",IF(INDEX('05 MATERIAL RATE LIBRARY'!$M$5:$M$400,MATCH("MAT-RMC-6500",'05 MATERIAL RATE LIBRARY'!$A$5:$A$400,0))=2,"OLD RATE","NO RATE"))</f>
        <v/>
      </c>
    </row>
    <row r="2787" customFormat="false" ht="15" hidden="false" customHeight="true" outlineLevel="0" collapsed="false">
      <c r="A2787" s="9" t="s">
        <v>654</v>
      </c>
      <c r="B2787" s="9" t="s">
        <v>818</v>
      </c>
      <c r="C2787" s="9" t="s">
        <v>823</v>
      </c>
      <c r="D2787" s="5" t="s">
        <v>1397</v>
      </c>
      <c r="E2787" s="9" t="s">
        <v>109</v>
      </c>
      <c r="F2787" s="18" t="n">
        <v>1</v>
      </c>
      <c r="G2787" s="13" t="n">
        <f aca="false">N(INDEX('07 EQUIPMENT RATE LIBRARY'!$D$5:$D$100,MATCH("EQ-PUMP",'07 EQUIPMENT RATE LIBRARY'!$A$5:$A$100,0)))</f>
        <v>28.32</v>
      </c>
      <c r="H2787" s="21" t="n">
        <v>0</v>
      </c>
      <c r="I2787" s="18" t="n">
        <f aca="false">F2787*(1+H2787)</f>
        <v>1</v>
      </c>
      <c r="J2787" s="13" t="n">
        <f aca="false">I2787*G2787</f>
        <v>28.32</v>
      </c>
      <c r="K2787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788" customFormat="false" ht="15" hidden="false" customHeight="true" outlineLevel="0" collapsed="false">
      <c r="A2788" s="9" t="s">
        <v>654</v>
      </c>
      <c r="B2788" s="9" t="s">
        <v>812</v>
      </c>
      <c r="C2788" s="9" t="s">
        <v>813</v>
      </c>
      <c r="D2788" s="5" t="s">
        <v>1398</v>
      </c>
      <c r="E2788" s="9" t="s">
        <v>815</v>
      </c>
      <c r="F2788" s="18" t="n">
        <f aca="false">'13 PRODUCTIVITY LIBRARY'!E28/'13 PRODUCTIVITY LIBRARY'!D28</f>
        <v>0.00645161290322581</v>
      </c>
      <c r="G2788" s="13" t="n">
        <f aca="false">N(INDEX('06 LABOUR RATE LIBRARY'!$D$5:$D$100,MATCH("LAB-MSN",'06 LABOUR RATE LIBRARY'!$A$5:$A$100,0)))</f>
        <v>2200</v>
      </c>
      <c r="H2788" s="21" t="n">
        <v>0</v>
      </c>
      <c r="I2788" s="18" t="n">
        <f aca="false">F2788*(1+H2788)</f>
        <v>0.00645161290322581</v>
      </c>
      <c r="J2788" s="13" t="n">
        <f aca="false">I2788*G2788</f>
        <v>14.1935483870968</v>
      </c>
      <c r="K2788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789" customFormat="false" ht="15" hidden="false" customHeight="true" outlineLevel="0" collapsed="false">
      <c r="A2789" s="9" t="s">
        <v>654</v>
      </c>
      <c r="B2789" s="9" t="s">
        <v>812</v>
      </c>
      <c r="C2789" s="9" t="s">
        <v>816</v>
      </c>
      <c r="D2789" s="5" t="s">
        <v>1399</v>
      </c>
      <c r="E2789" s="9" t="s">
        <v>815</v>
      </c>
      <c r="F2789" s="18" t="n">
        <f aca="false">'13 PRODUCTIVITY LIBRARY'!F28/'13 PRODUCTIVITY LIBRARY'!D28</f>
        <v>0.0516129032258065</v>
      </c>
      <c r="G2789" s="13" t="n">
        <f aca="false">N(INDEX('06 LABOUR RATE LIBRARY'!$D$5:$D$100,MATCH("LAB-HLP",'06 LABOUR RATE LIBRARY'!$A$5:$A$100,0)))</f>
        <v>1538</v>
      </c>
      <c r="H2789" s="21" t="n">
        <v>0</v>
      </c>
      <c r="I2789" s="18" t="n">
        <f aca="false">F2789*(1+H2789)</f>
        <v>0.0516129032258065</v>
      </c>
      <c r="J2789" s="13" t="n">
        <f aca="false">I2789*G2789</f>
        <v>79.3806451612903</v>
      </c>
      <c r="K278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790" customFormat="false" ht="15" hidden="false" customHeight="true" outlineLevel="0" collapsed="false">
      <c r="A2790" s="9" t="s">
        <v>654</v>
      </c>
      <c r="B2790" s="9" t="s">
        <v>818</v>
      </c>
      <c r="C2790" s="9" t="s">
        <v>819</v>
      </c>
      <c r="D2790" s="5" t="s">
        <v>1400</v>
      </c>
      <c r="E2790" s="9" t="s">
        <v>815</v>
      </c>
      <c r="F2790" s="18" t="n">
        <f aca="false">1/'13 PRODUCTIVITY LIBRARY'!D28</f>
        <v>0.00645161290322581</v>
      </c>
      <c r="G2790" s="13" t="n">
        <f aca="false">N(INDEX('07 EQUIPMENT RATE LIBRARY'!$D$5:$D$100,MATCH("EQ-VIB",'07 EQUIPMENT RATE LIBRARY'!$A$5:$A$100,0)))</f>
        <v>227</v>
      </c>
      <c r="H2790" s="21" t="n">
        <v>0</v>
      </c>
      <c r="I2790" s="18" t="n">
        <f aca="false">F2790*(1+H2790)</f>
        <v>0.00645161290322581</v>
      </c>
      <c r="J2790" s="13" t="n">
        <f aca="false">I2790*G2790</f>
        <v>1.46451612903226</v>
      </c>
      <c r="K2790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791" customFormat="false" ht="15" hidden="false" customHeight="true" outlineLevel="0" collapsed="false">
      <c r="D2791" s="22" t="s">
        <v>825</v>
      </c>
      <c r="J2791" s="23" t="n">
        <f aca="false">SUMPRODUCT((B2786:B2790="Material")*F2786:F2790*G2786:G2790)</f>
        <v>427.58</v>
      </c>
    </row>
    <row r="2792" customFormat="false" ht="15" hidden="false" customHeight="true" outlineLevel="0" collapsed="false">
      <c r="D2792" s="22" t="s">
        <v>826</v>
      </c>
      <c r="J2792" s="23" t="n">
        <f aca="false">SUMIF(B2786:B2790,"Material",J2786:J2790)-J2791</f>
        <v>8.55160000000001</v>
      </c>
    </row>
    <row r="2793" customFormat="false" ht="15" hidden="false" customHeight="true" outlineLevel="0" collapsed="false">
      <c r="D2793" s="24" t="s">
        <v>827</v>
      </c>
      <c r="J2793" s="14" t="n">
        <f aca="false">SUMIF(B2786:B2790,"Material",J2786:J2790)</f>
        <v>436.1316</v>
      </c>
    </row>
    <row r="2794" customFormat="false" ht="15" hidden="false" customHeight="true" outlineLevel="0" collapsed="false">
      <c r="D2794" s="24" t="s">
        <v>828</v>
      </c>
      <c r="J2794" s="14" t="n">
        <f aca="false">SUMIF(B2786:B2790,"Labour",J2786:J2790)</f>
        <v>93.5741935483871</v>
      </c>
    </row>
    <row r="2795" customFormat="false" ht="15" hidden="false" customHeight="true" outlineLevel="0" collapsed="false">
      <c r="D2795" s="24" t="s">
        <v>829</v>
      </c>
      <c r="J2795" s="14" t="n">
        <f aca="false">SUMIF(B2786:B2790,"Equipment",J2786:J2790)</f>
        <v>29.7845161290323</v>
      </c>
    </row>
    <row r="2796" customFormat="false" ht="15" hidden="false" customHeight="true" outlineLevel="0" collapsed="false">
      <c r="D2796" s="24" t="s">
        <v>830</v>
      </c>
      <c r="J2796" s="14" t="n">
        <f aca="false">SUMIF(B2786:B2790,"Transport",J2786:J2790)</f>
        <v>0</v>
      </c>
    </row>
    <row r="2797" customFormat="false" ht="15" hidden="false" customHeight="true" outlineLevel="0" collapsed="false">
      <c r="D2797" s="24" t="s">
        <v>831</v>
      </c>
      <c r="J2797" s="14" t="n">
        <f aca="false">J2793+J2794+J2795+J2796</f>
        <v>559.490309677419</v>
      </c>
    </row>
    <row r="2798" customFormat="false" ht="15" hidden="false" customHeight="true" outlineLevel="0" collapsed="false">
      <c r="D2798" s="22" t="s">
        <v>832</v>
      </c>
      <c r="J2798" s="23" t="n">
        <f aca="false">J2797*OH_Site</f>
        <v>16.7847092903226</v>
      </c>
    </row>
    <row r="2799" customFormat="false" ht="15" hidden="false" customHeight="true" outlineLevel="0" collapsed="false">
      <c r="D2799" s="22" t="s">
        <v>833</v>
      </c>
      <c r="J2799" s="23" t="n">
        <f aca="false">J2797*OH_HO</f>
        <v>27.974515483871</v>
      </c>
    </row>
    <row r="2800" customFormat="false" ht="15" hidden="false" customHeight="true" outlineLevel="0" collapsed="false">
      <c r="D2800" s="22" t="s">
        <v>834</v>
      </c>
      <c r="J2800" s="23" t="n">
        <f aca="false">J2797*Profit</f>
        <v>55.9490309677419</v>
      </c>
    </row>
    <row r="2801" customFormat="false" ht="15" hidden="false" customHeight="true" outlineLevel="0" collapsed="false">
      <c r="D2801" s="24" t="s">
        <v>835</v>
      </c>
      <c r="J2801" s="14" t="n">
        <f aca="false">J2797+J2798+J2799+J2800</f>
        <v>660.198565419355</v>
      </c>
    </row>
    <row r="2802" customFormat="false" ht="15" hidden="false" customHeight="true" outlineLevel="0" collapsed="false">
      <c r="D2802" s="22" t="s">
        <v>836</v>
      </c>
      <c r="J2802" s="23" t="n">
        <f aca="false">IF(Tax_On="Yes",J2801*N(Tax_Rate),0)</f>
        <v>0</v>
      </c>
    </row>
    <row r="2803" customFormat="false" ht="15" hidden="false" customHeight="true" outlineLevel="0" collapsed="false">
      <c r="D2803" s="24" t="s">
        <v>837</v>
      </c>
      <c r="J2803" s="14" t="n">
        <f aca="false">ROUND(J2801+J2802,0)</f>
        <v>660</v>
      </c>
    </row>
    <row r="2804" customFormat="false" ht="15" hidden="false" customHeight="true" outlineLevel="0" collapsed="false">
      <c r="D2804" s="25" t="s">
        <v>838</v>
      </c>
      <c r="J2804" s="26" t="n">
        <f aca="false">COUNTIF(K2786:K2790,"NO RATE")+COUNTIF(K2786:K2790,"OLD RATE")</f>
        <v>0</v>
      </c>
    </row>
    <row r="2806" customFormat="false" ht="39.75" hidden="false" customHeight="true" outlineLevel="0" collapsed="false">
      <c r="A2806" s="4" t="s">
        <v>657</v>
      </c>
      <c r="B2806" s="16" t="s">
        <v>659</v>
      </c>
      <c r="C2806" s="16"/>
      <c r="D2806" s="16"/>
      <c r="E2806" s="16"/>
      <c r="F2806" s="16"/>
      <c r="G2806" s="16"/>
      <c r="H2806" s="16"/>
      <c r="I2806" s="16"/>
      <c r="J2806" s="4" t="s">
        <v>788</v>
      </c>
      <c r="K2806" s="17"/>
    </row>
    <row r="2807" customFormat="false" ht="21.75" hidden="false" customHeight="true" outlineLevel="0" collapsed="false">
      <c r="A2807" s="12" t="s">
        <v>75</v>
      </c>
      <c r="B2807" s="12" t="s">
        <v>789</v>
      </c>
      <c r="C2807" s="12" t="s">
        <v>790</v>
      </c>
      <c r="D2807" s="12" t="s">
        <v>791</v>
      </c>
      <c r="E2807" s="12" t="s">
        <v>81</v>
      </c>
      <c r="F2807" s="12" t="s">
        <v>792</v>
      </c>
      <c r="G2807" s="12" t="s">
        <v>793</v>
      </c>
      <c r="H2807" s="12" t="s">
        <v>794</v>
      </c>
      <c r="I2807" s="12" t="s">
        <v>795</v>
      </c>
      <c r="J2807" s="12" t="s">
        <v>796</v>
      </c>
      <c r="K2807" s="12" t="s">
        <v>797</v>
      </c>
    </row>
    <row r="2808" customFormat="false" ht="15" hidden="false" customHeight="true" outlineLevel="0" collapsed="false">
      <c r="A2808" s="9" t="s">
        <v>657</v>
      </c>
      <c r="B2808" s="9" t="s">
        <v>798</v>
      </c>
      <c r="C2808" s="9" t="s">
        <v>1403</v>
      </c>
      <c r="D2808" s="5" t="s">
        <v>1396</v>
      </c>
      <c r="E2808" s="9" t="s">
        <v>109</v>
      </c>
      <c r="F2808" s="18" t="n">
        <v>1</v>
      </c>
      <c r="G2808" s="13" t="n">
        <f aca="false">N(INDEX('05 MATERIAL RATE LIBRARY'!$E$5:$E$400,MATCH("MAT-RMC-LEAN",'05 MATERIAL RATE LIBRARY'!$A$5:$A$400,0)))</f>
        <v>270.03</v>
      </c>
      <c r="H2808" s="19" t="n">
        <f aca="false">W_RMC</f>
        <v>0.02</v>
      </c>
      <c r="I2808" s="18" t="n">
        <f aca="false">F2808*(1+H2808)</f>
        <v>1.02</v>
      </c>
      <c r="J2808" s="13" t="n">
        <f aca="false">I2808*G2808</f>
        <v>275.4306</v>
      </c>
      <c r="K2808" s="20" t="str">
        <f aca="false">IF(INDEX('05 MATERIAL RATE LIBRARY'!$M$5:$M$400,MATCH("MAT-RMC-LEAN",'05 MATERIAL RATE LIBRARY'!$A$5:$A$400,0))=1,"",IF(INDEX('05 MATERIAL RATE LIBRARY'!$M$5:$M$400,MATCH("MAT-RMC-LEAN",'05 MATERIAL RATE LIBRARY'!$A$5:$A$400,0))=2,"OLD RATE","NO RATE"))</f>
        <v/>
      </c>
    </row>
    <row r="2809" customFormat="false" ht="15" hidden="false" customHeight="true" outlineLevel="0" collapsed="false">
      <c r="A2809" s="9" t="s">
        <v>657</v>
      </c>
      <c r="B2809" s="9" t="s">
        <v>818</v>
      </c>
      <c r="C2809" s="9" t="s">
        <v>823</v>
      </c>
      <c r="D2809" s="5" t="s">
        <v>1397</v>
      </c>
      <c r="E2809" s="9" t="s">
        <v>109</v>
      </c>
      <c r="F2809" s="18" t="n">
        <v>1</v>
      </c>
      <c r="G2809" s="13" t="n">
        <f aca="false">N(INDEX('07 EQUIPMENT RATE LIBRARY'!$D$5:$D$100,MATCH("EQ-PUMP",'07 EQUIPMENT RATE LIBRARY'!$A$5:$A$100,0)))</f>
        <v>28.32</v>
      </c>
      <c r="H2809" s="21" t="n">
        <v>0</v>
      </c>
      <c r="I2809" s="18" t="n">
        <f aca="false">F2809*(1+H2809)</f>
        <v>1</v>
      </c>
      <c r="J2809" s="13" t="n">
        <f aca="false">I2809*G2809</f>
        <v>28.32</v>
      </c>
      <c r="K2809" s="20" t="str">
        <f aca="false">IF(INDEX('07 EQUIPMENT RATE LIBRARY'!$H$5:$H$100,MATCH("EQ-PUMP",'07 EQUIPMENT RATE LIBRARY'!$A$5:$A$100,0))=1,"",IF(INDEX('07 EQUIPMENT RATE LIBRARY'!$H$5:$H$100,MATCH("EQ-PUMP",'07 EQUIPMENT RATE LIBRARY'!$A$5:$A$100,0))=2,"OLD RATE","NO RATE"))</f>
        <v/>
      </c>
    </row>
    <row r="2810" customFormat="false" ht="15" hidden="false" customHeight="true" outlineLevel="0" collapsed="false">
      <c r="A2810" s="9" t="s">
        <v>657</v>
      </c>
      <c r="B2810" s="9" t="s">
        <v>812</v>
      </c>
      <c r="C2810" s="9" t="s">
        <v>813</v>
      </c>
      <c r="D2810" s="5" t="s">
        <v>1398</v>
      </c>
      <c r="E2810" s="9" t="s">
        <v>815</v>
      </c>
      <c r="F2810" s="18" t="n">
        <f aca="false">'13 PRODUCTIVITY LIBRARY'!E28/'13 PRODUCTIVITY LIBRARY'!D28</f>
        <v>0.00645161290322581</v>
      </c>
      <c r="G2810" s="13" t="n">
        <f aca="false">N(INDEX('06 LABOUR RATE LIBRARY'!$D$5:$D$100,MATCH("LAB-MSN",'06 LABOUR RATE LIBRARY'!$A$5:$A$100,0)))</f>
        <v>2200</v>
      </c>
      <c r="H2810" s="21" t="n">
        <v>0</v>
      </c>
      <c r="I2810" s="18" t="n">
        <f aca="false">F2810*(1+H2810)</f>
        <v>0.00645161290322581</v>
      </c>
      <c r="J2810" s="13" t="n">
        <f aca="false">I2810*G2810</f>
        <v>14.1935483870968</v>
      </c>
      <c r="K2810" s="20" t="str">
        <f aca="false">IF(INDEX('06 LABOUR RATE LIBRARY'!$L$5:$L$100,MATCH("LAB-MSN",'06 LABOUR RATE LIBRARY'!$A$5:$A$100,0))=1,"",IF(INDEX('06 LABOUR RATE LIBRARY'!$L$5:$L$100,MATCH("LAB-MSN",'06 LABOUR RATE LIBRARY'!$A$5:$A$100,0))=2,"OLD RATE","NO RATE"))</f>
        <v/>
      </c>
    </row>
    <row r="2811" customFormat="false" ht="15" hidden="false" customHeight="true" outlineLevel="0" collapsed="false">
      <c r="A2811" s="9" t="s">
        <v>657</v>
      </c>
      <c r="B2811" s="9" t="s">
        <v>812</v>
      </c>
      <c r="C2811" s="9" t="s">
        <v>816</v>
      </c>
      <c r="D2811" s="5" t="s">
        <v>1399</v>
      </c>
      <c r="E2811" s="9" t="s">
        <v>815</v>
      </c>
      <c r="F2811" s="18" t="n">
        <f aca="false">'13 PRODUCTIVITY LIBRARY'!F28/'13 PRODUCTIVITY LIBRARY'!D28</f>
        <v>0.0516129032258065</v>
      </c>
      <c r="G2811" s="13" t="n">
        <f aca="false">N(INDEX('06 LABOUR RATE LIBRARY'!$D$5:$D$100,MATCH("LAB-HLP",'06 LABOUR RATE LIBRARY'!$A$5:$A$100,0)))</f>
        <v>1538</v>
      </c>
      <c r="H2811" s="21" t="n">
        <v>0</v>
      </c>
      <c r="I2811" s="18" t="n">
        <f aca="false">F2811*(1+H2811)</f>
        <v>0.0516129032258065</v>
      </c>
      <c r="J2811" s="13" t="n">
        <f aca="false">I2811*G2811</f>
        <v>79.3806451612903</v>
      </c>
      <c r="K2811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812" customFormat="false" ht="15" hidden="false" customHeight="true" outlineLevel="0" collapsed="false">
      <c r="A2812" s="9" t="s">
        <v>657</v>
      </c>
      <c r="B2812" s="9" t="s">
        <v>818</v>
      </c>
      <c r="C2812" s="9" t="s">
        <v>819</v>
      </c>
      <c r="D2812" s="5" t="s">
        <v>1400</v>
      </c>
      <c r="E2812" s="9" t="s">
        <v>815</v>
      </c>
      <c r="F2812" s="18" t="n">
        <f aca="false">1/'13 PRODUCTIVITY LIBRARY'!D28</f>
        <v>0.00645161290322581</v>
      </c>
      <c r="G2812" s="13" t="n">
        <f aca="false">N(INDEX('07 EQUIPMENT RATE LIBRARY'!$D$5:$D$100,MATCH("EQ-VIB",'07 EQUIPMENT RATE LIBRARY'!$A$5:$A$100,0)))</f>
        <v>227</v>
      </c>
      <c r="H2812" s="21" t="n">
        <v>0</v>
      </c>
      <c r="I2812" s="18" t="n">
        <f aca="false">F2812*(1+H2812)</f>
        <v>0.00645161290322581</v>
      </c>
      <c r="J2812" s="13" t="n">
        <f aca="false">I2812*G2812</f>
        <v>1.46451612903226</v>
      </c>
      <c r="K2812" s="20" t="str">
        <f aca="false">IF(INDEX('07 EQUIPMENT RATE LIBRARY'!$H$5:$H$100,MATCH("EQ-VIB",'07 EQUIPMENT RATE LIBRARY'!$A$5:$A$100,0))=1,"",IF(INDEX('07 EQUIPMENT RATE LIBRARY'!$H$5:$H$100,MATCH("EQ-VIB",'07 EQUIPMENT RATE LIBRARY'!$A$5:$A$100,0))=2,"OLD RATE","NO RATE"))</f>
        <v/>
      </c>
    </row>
    <row r="2813" customFormat="false" ht="15" hidden="false" customHeight="true" outlineLevel="0" collapsed="false">
      <c r="D2813" s="22" t="s">
        <v>825</v>
      </c>
      <c r="J2813" s="23" t="n">
        <f aca="false">SUMPRODUCT((B2808:B2812="Material")*F2808:F2812*G2808:G2812)</f>
        <v>270.03</v>
      </c>
    </row>
    <row r="2814" customFormat="false" ht="15" hidden="false" customHeight="true" outlineLevel="0" collapsed="false">
      <c r="D2814" s="22" t="s">
        <v>826</v>
      </c>
      <c r="J2814" s="23" t="n">
        <f aca="false">SUMIF(B2808:B2812,"Material",J2808:J2812)-J2813</f>
        <v>5.4006</v>
      </c>
    </row>
    <row r="2815" customFormat="false" ht="15" hidden="false" customHeight="true" outlineLevel="0" collapsed="false">
      <c r="D2815" s="24" t="s">
        <v>827</v>
      </c>
      <c r="J2815" s="14" t="n">
        <f aca="false">SUMIF(B2808:B2812,"Material",J2808:J2812)</f>
        <v>275.4306</v>
      </c>
    </row>
    <row r="2816" customFormat="false" ht="15" hidden="false" customHeight="true" outlineLevel="0" collapsed="false">
      <c r="D2816" s="24" t="s">
        <v>828</v>
      </c>
      <c r="J2816" s="14" t="n">
        <f aca="false">SUMIF(B2808:B2812,"Labour",J2808:J2812)</f>
        <v>93.5741935483871</v>
      </c>
    </row>
    <row r="2817" customFormat="false" ht="15" hidden="false" customHeight="true" outlineLevel="0" collapsed="false">
      <c r="D2817" s="24" t="s">
        <v>829</v>
      </c>
      <c r="J2817" s="14" t="n">
        <f aca="false">SUMIF(B2808:B2812,"Equipment",J2808:J2812)</f>
        <v>29.7845161290323</v>
      </c>
    </row>
    <row r="2818" customFormat="false" ht="15" hidden="false" customHeight="true" outlineLevel="0" collapsed="false">
      <c r="D2818" s="24" t="s">
        <v>830</v>
      </c>
      <c r="J2818" s="14" t="n">
        <f aca="false">SUMIF(B2808:B2812,"Transport",J2808:J2812)</f>
        <v>0</v>
      </c>
    </row>
    <row r="2819" customFormat="false" ht="15" hidden="false" customHeight="true" outlineLevel="0" collapsed="false">
      <c r="D2819" s="24" t="s">
        <v>831</v>
      </c>
      <c r="J2819" s="14" t="n">
        <f aca="false">J2815+J2816+J2817+J2818</f>
        <v>398.789309677419</v>
      </c>
    </row>
    <row r="2820" customFormat="false" ht="15" hidden="false" customHeight="true" outlineLevel="0" collapsed="false">
      <c r="D2820" s="22" t="s">
        <v>832</v>
      </c>
      <c r="J2820" s="23" t="n">
        <f aca="false">J2819*OH_Site</f>
        <v>11.9636792903226</v>
      </c>
    </row>
    <row r="2821" customFormat="false" ht="15" hidden="false" customHeight="true" outlineLevel="0" collapsed="false">
      <c r="D2821" s="22" t="s">
        <v>833</v>
      </c>
      <c r="J2821" s="23" t="n">
        <f aca="false">J2819*OH_HO</f>
        <v>19.939465483871</v>
      </c>
    </row>
    <row r="2822" customFormat="false" ht="15" hidden="false" customHeight="true" outlineLevel="0" collapsed="false">
      <c r="D2822" s="22" t="s">
        <v>834</v>
      </c>
      <c r="J2822" s="23" t="n">
        <f aca="false">J2819*Profit</f>
        <v>39.8789309677419</v>
      </c>
    </row>
    <row r="2823" customFormat="false" ht="15" hidden="false" customHeight="true" outlineLevel="0" collapsed="false">
      <c r="D2823" s="24" t="s">
        <v>835</v>
      </c>
      <c r="J2823" s="14" t="n">
        <f aca="false">J2819+J2820+J2821+J2822</f>
        <v>470.571385419355</v>
      </c>
    </row>
    <row r="2824" customFormat="false" ht="15" hidden="false" customHeight="true" outlineLevel="0" collapsed="false">
      <c r="D2824" s="22" t="s">
        <v>836</v>
      </c>
      <c r="J2824" s="23" t="n">
        <f aca="false">IF(Tax_On="Yes",J2823*N(Tax_Rate),0)</f>
        <v>0</v>
      </c>
    </row>
    <row r="2825" customFormat="false" ht="15" hidden="false" customHeight="true" outlineLevel="0" collapsed="false">
      <c r="D2825" s="24" t="s">
        <v>837</v>
      </c>
      <c r="J2825" s="14" t="n">
        <f aca="false">ROUND(J2823+J2824,0)</f>
        <v>471</v>
      </c>
    </row>
    <row r="2826" customFormat="false" ht="15" hidden="false" customHeight="true" outlineLevel="0" collapsed="false">
      <c r="D2826" s="25" t="s">
        <v>838</v>
      </c>
      <c r="J2826" s="26" t="n">
        <f aca="false">COUNTIF(K2808:K2812,"NO RATE")+COUNTIF(K2808:K2812,"OLD RATE")</f>
        <v>0</v>
      </c>
    </row>
    <row r="2828" customFormat="false" ht="84.75" hidden="false" customHeight="true" outlineLevel="0" collapsed="false">
      <c r="A2828" s="4" t="s">
        <v>660</v>
      </c>
      <c r="B2828" s="16" t="s">
        <v>662</v>
      </c>
      <c r="C2828" s="27"/>
      <c r="D2828" s="27"/>
      <c r="E2828" s="27"/>
      <c r="F2828" s="27"/>
      <c r="G2828" s="27"/>
      <c r="H2828" s="27"/>
      <c r="I2828" s="28"/>
      <c r="J2828" s="4" t="s">
        <v>788</v>
      </c>
      <c r="K2828" s="17"/>
    </row>
    <row r="2829" customFormat="false" ht="15" hidden="false" customHeight="true" outlineLevel="0" collapsed="false">
      <c r="A2829" s="12" t="s">
        <v>75</v>
      </c>
      <c r="B2829" s="12" t="s">
        <v>789</v>
      </c>
      <c r="C2829" s="12" t="s">
        <v>790</v>
      </c>
      <c r="D2829" s="12" t="s">
        <v>791</v>
      </c>
      <c r="E2829" s="12" t="s">
        <v>81</v>
      </c>
      <c r="F2829" s="12" t="s">
        <v>792</v>
      </c>
      <c r="G2829" s="12" t="s">
        <v>793</v>
      </c>
      <c r="H2829" s="12" t="s">
        <v>794</v>
      </c>
      <c r="I2829" s="12" t="s">
        <v>795</v>
      </c>
      <c r="J2829" s="12" t="s">
        <v>796</v>
      </c>
      <c r="K2829" s="12" t="s">
        <v>797</v>
      </c>
    </row>
    <row r="2830" customFormat="false" ht="15" hidden="false" customHeight="true" outlineLevel="0" collapsed="false">
      <c r="A2830" s="9" t="s">
        <v>660</v>
      </c>
      <c r="B2830" s="9" t="s">
        <v>812</v>
      </c>
      <c r="C2830" s="9" t="s">
        <v>1404</v>
      </c>
      <c r="D2830" s="5" t="s">
        <v>1405</v>
      </c>
      <c r="E2830" s="9" t="s">
        <v>109</v>
      </c>
      <c r="F2830" s="18" t="n">
        <v>1</v>
      </c>
      <c r="G2830" s="13" t="n">
        <f aca="false">N(INDEX('06 LABOUR RATE LIBRARY'!$D$5:$D$100,MATCH("MRS-C6-6-17",'06 LABOUR RATE LIBRARY'!$A$5:$A$100,0)))</f>
        <v>60.9</v>
      </c>
      <c r="H2830" s="19" t="n">
        <v>0</v>
      </c>
      <c r="I2830" s="18" t="n">
        <f aca="false">F2830*(1+H2830)</f>
        <v>1</v>
      </c>
      <c r="J2830" s="13" t="n">
        <f aca="false">I2830*G2830</f>
        <v>60.9</v>
      </c>
      <c r="K2830" s="20" t="str">
        <f aca="false">IF(INDEX('06 LABOUR RATE LIBRARY'!$L$5:$L$100,MATCH("MRS-C6-6-17",'06 LABOUR RATE LIBRARY'!$A$5:$A$100,0))=1,"",IF(INDEX('06 LABOUR RATE LIBRARY'!$L$5:$L$100,MATCH("MRS-C6-6-17",'06 LABOUR RATE LIBRARY'!$A$5:$A$100,0))=2,"OLD RATE","NO RATE"))</f>
        <v/>
      </c>
    </row>
    <row r="2831" customFormat="false" ht="15" hidden="false" customHeight="true" outlineLevel="0" collapsed="false">
      <c r="D2831" s="22" t="s">
        <v>825</v>
      </c>
      <c r="J2831" s="23" t="n">
        <f aca="false">SUMPRODUCT((B2830:B2830="Material")*F2830:F2830*G2830:G2830)</f>
        <v>0</v>
      </c>
    </row>
    <row r="2832" customFormat="false" ht="15" hidden="false" customHeight="true" outlineLevel="0" collapsed="false">
      <c r="D2832" s="22" t="s">
        <v>826</v>
      </c>
      <c r="J2832" s="23" t="n">
        <f aca="false">SUMIF(B2830:B2830,"Material",J2830:J2830)-J2831</f>
        <v>0</v>
      </c>
    </row>
    <row r="2833" customFormat="false" ht="15" hidden="false" customHeight="true" outlineLevel="0" collapsed="false">
      <c r="D2833" s="24" t="s">
        <v>827</v>
      </c>
      <c r="J2833" s="14" t="n">
        <f aca="false">SUMIF(B2830:B2830,"Material",J2830:J2830)</f>
        <v>0</v>
      </c>
    </row>
    <row r="2834" customFormat="false" ht="15" hidden="false" customHeight="true" outlineLevel="0" collapsed="false">
      <c r="D2834" s="24" t="s">
        <v>828</v>
      </c>
      <c r="J2834" s="14" t="n">
        <f aca="false">SUMIF(B2830:B2830,"Labour",J2830:J2830)</f>
        <v>60.9</v>
      </c>
    </row>
    <row r="2835" customFormat="false" ht="15" hidden="false" customHeight="true" outlineLevel="0" collapsed="false">
      <c r="D2835" s="24" t="s">
        <v>829</v>
      </c>
      <c r="J2835" s="14" t="n">
        <f aca="false">SUMIF(B2830:B2830,"Equipment",J2830:J2830)</f>
        <v>0</v>
      </c>
    </row>
    <row r="2836" customFormat="false" ht="15" hidden="false" customHeight="true" outlineLevel="0" collapsed="false">
      <c r="D2836" s="24" t="s">
        <v>830</v>
      </c>
      <c r="J2836" s="14" t="n">
        <f aca="false">SUMIF(B2830:B2830,"Transport",J2830:J2830)</f>
        <v>0</v>
      </c>
    </row>
    <row r="2837" customFormat="false" ht="15" hidden="false" customHeight="true" outlineLevel="0" collapsed="false">
      <c r="D2837" s="24" t="s">
        <v>831</v>
      </c>
      <c r="J2837" s="14" t="n">
        <f aca="false">J2833+J2834+J2835+J2836</f>
        <v>60.9</v>
      </c>
    </row>
    <row r="2838" customFormat="false" ht="15" hidden="false" customHeight="true" outlineLevel="0" collapsed="false">
      <c r="D2838" s="22" t="s">
        <v>832</v>
      </c>
      <c r="J2838" s="23" t="n">
        <f aca="false">J2837*OH_Site</f>
        <v>1.827</v>
      </c>
    </row>
    <row r="2839" customFormat="false" ht="15" hidden="false" customHeight="true" outlineLevel="0" collapsed="false">
      <c r="D2839" s="22" t="s">
        <v>833</v>
      </c>
      <c r="J2839" s="23" t="n">
        <f aca="false">J2837*OH_HO</f>
        <v>3.045</v>
      </c>
    </row>
    <row r="2840" customFormat="false" ht="15" hidden="false" customHeight="true" outlineLevel="0" collapsed="false">
      <c r="D2840" s="22" t="s">
        <v>834</v>
      </c>
      <c r="J2840" s="23" t="n">
        <f aca="false">J2837*Profit</f>
        <v>6.09</v>
      </c>
    </row>
    <row r="2841" customFormat="false" ht="15" hidden="false" customHeight="true" outlineLevel="0" collapsed="false">
      <c r="D2841" s="24" t="s">
        <v>835</v>
      </c>
      <c r="J2841" s="14" t="n">
        <f aca="false">J2837+J2838+J2839+J2840</f>
        <v>71.862</v>
      </c>
    </row>
    <row r="2842" customFormat="false" ht="15" hidden="false" customHeight="true" outlineLevel="0" collapsed="false">
      <c r="D2842" s="22" t="s">
        <v>836</v>
      </c>
      <c r="J2842" s="23" t="n">
        <f aca="false">IF(Tax_On="Yes",J2841*N(Tax_Rate),0)</f>
        <v>0</v>
      </c>
    </row>
    <row r="2843" customFormat="false" ht="15" hidden="false" customHeight="true" outlineLevel="0" collapsed="false">
      <c r="D2843" s="24" t="s">
        <v>837</v>
      </c>
      <c r="J2843" s="14" t="n">
        <f aca="false">ROUND(J2841+J2842,0)</f>
        <v>72</v>
      </c>
    </row>
    <row r="2844" customFormat="false" ht="15" hidden="false" customHeight="true" outlineLevel="0" collapsed="false">
      <c r="D2844" s="25" t="s">
        <v>838</v>
      </c>
      <c r="J2844" s="26" t="n">
        <f aca="false">COUNTIF(K2830:K2830,"NO RATE")+COUNTIF(K2830:K2830,"OLD RATE")</f>
        <v>0</v>
      </c>
    </row>
    <row r="2846" customFormat="false" ht="63.75" hidden="false" customHeight="true" outlineLevel="0" collapsed="false">
      <c r="A2846" s="4" t="s">
        <v>666</v>
      </c>
      <c r="B2846" s="16" t="s">
        <v>667</v>
      </c>
      <c r="C2846" s="27"/>
      <c r="D2846" s="27"/>
      <c r="E2846" s="27"/>
      <c r="F2846" s="27"/>
      <c r="G2846" s="27"/>
      <c r="H2846" s="27"/>
      <c r="I2846" s="28"/>
      <c r="J2846" s="4" t="s">
        <v>788</v>
      </c>
      <c r="K2846" s="17"/>
    </row>
    <row r="2847" customFormat="false" ht="15" hidden="false" customHeight="true" outlineLevel="0" collapsed="false">
      <c r="A2847" s="12" t="s">
        <v>75</v>
      </c>
      <c r="B2847" s="12" t="s">
        <v>789</v>
      </c>
      <c r="C2847" s="12" t="s">
        <v>790</v>
      </c>
      <c r="D2847" s="12" t="s">
        <v>791</v>
      </c>
      <c r="E2847" s="12" t="s">
        <v>81</v>
      </c>
      <c r="F2847" s="12" t="s">
        <v>792</v>
      </c>
      <c r="G2847" s="12" t="s">
        <v>793</v>
      </c>
      <c r="H2847" s="12" t="s">
        <v>794</v>
      </c>
      <c r="I2847" s="12" t="s">
        <v>795</v>
      </c>
      <c r="J2847" s="12" t="s">
        <v>796</v>
      </c>
      <c r="K2847" s="12" t="s">
        <v>797</v>
      </c>
    </row>
    <row r="2848" customFormat="false" ht="15" hidden="false" customHeight="true" outlineLevel="0" collapsed="false">
      <c r="A2848" s="9" t="s">
        <v>666</v>
      </c>
      <c r="B2848" s="9" t="s">
        <v>812</v>
      </c>
      <c r="C2848" s="9" t="s">
        <v>1406</v>
      </c>
      <c r="D2848" s="5" t="s">
        <v>1405</v>
      </c>
      <c r="E2848" s="9" t="s">
        <v>109</v>
      </c>
      <c r="F2848" s="18" t="n">
        <v>1</v>
      </c>
      <c r="G2848" s="13" t="n">
        <f aca="false">N(INDEX('06 LABOUR RATE LIBRARY'!$D$5:$D$100,MATCH("MRS-C7-6-1",'06 LABOUR RATE LIBRARY'!$A$5:$A$100,0)))</f>
        <v>17.9345</v>
      </c>
      <c r="H2848" s="19" t="n">
        <v>0</v>
      </c>
      <c r="I2848" s="18" t="n">
        <f aca="false">F2848*(1+H2848)</f>
        <v>1</v>
      </c>
      <c r="J2848" s="13" t="n">
        <f aca="false">I2848*G2848</f>
        <v>17.9345</v>
      </c>
      <c r="K2848" s="20" t="str">
        <f aca="false">IF(INDEX('06 LABOUR RATE LIBRARY'!$L$5:$L$100,MATCH("MRS-C7-6-1",'06 LABOUR RATE LIBRARY'!$A$5:$A$100,0))=1,"",IF(INDEX('06 LABOUR RATE LIBRARY'!$L$5:$L$100,MATCH("MRS-C7-6-1",'06 LABOUR RATE LIBRARY'!$A$5:$A$100,0))=2,"OLD RATE","NO RATE"))</f>
        <v/>
      </c>
    </row>
    <row r="2849" customFormat="false" ht="15" hidden="false" customHeight="true" outlineLevel="0" collapsed="false">
      <c r="D2849" s="22" t="s">
        <v>825</v>
      </c>
      <c r="J2849" s="23" t="n">
        <f aca="false">SUMPRODUCT((B2848:B2848="Material")*F2848:F2848*G2848:G2848)</f>
        <v>0</v>
      </c>
    </row>
    <row r="2850" customFormat="false" ht="15" hidden="false" customHeight="true" outlineLevel="0" collapsed="false">
      <c r="D2850" s="22" t="s">
        <v>826</v>
      </c>
      <c r="J2850" s="23" t="n">
        <f aca="false">SUMIF(B2848:B2848,"Material",J2848:J2848)-J2849</f>
        <v>0</v>
      </c>
    </row>
    <row r="2851" customFormat="false" ht="15" hidden="false" customHeight="true" outlineLevel="0" collapsed="false">
      <c r="D2851" s="24" t="s">
        <v>827</v>
      </c>
      <c r="J2851" s="14" t="n">
        <f aca="false">SUMIF(B2848:B2848,"Material",J2848:J2848)</f>
        <v>0</v>
      </c>
    </row>
    <row r="2852" customFormat="false" ht="15" hidden="false" customHeight="true" outlineLevel="0" collapsed="false">
      <c r="D2852" s="24" t="s">
        <v>828</v>
      </c>
      <c r="J2852" s="14" t="n">
        <f aca="false">SUMIF(B2848:B2848,"Labour",J2848:J2848)</f>
        <v>17.9345</v>
      </c>
    </row>
    <row r="2853" customFormat="false" ht="15" hidden="false" customHeight="true" outlineLevel="0" collapsed="false">
      <c r="D2853" s="24" t="s">
        <v>829</v>
      </c>
      <c r="J2853" s="14" t="n">
        <f aca="false">SUMIF(B2848:B2848,"Equipment",J2848:J2848)</f>
        <v>0</v>
      </c>
    </row>
    <row r="2854" customFormat="false" ht="15" hidden="false" customHeight="true" outlineLevel="0" collapsed="false">
      <c r="D2854" s="24" t="s">
        <v>830</v>
      </c>
      <c r="J2854" s="14" t="n">
        <f aca="false">SUMIF(B2848:B2848,"Transport",J2848:J2848)</f>
        <v>0</v>
      </c>
    </row>
    <row r="2855" customFormat="false" ht="15" hidden="false" customHeight="true" outlineLevel="0" collapsed="false">
      <c r="D2855" s="24" t="s">
        <v>831</v>
      </c>
      <c r="J2855" s="14" t="n">
        <f aca="false">J2851+J2852+J2853+J2854</f>
        <v>17.9345</v>
      </c>
    </row>
    <row r="2856" customFormat="false" ht="15" hidden="false" customHeight="true" outlineLevel="0" collapsed="false">
      <c r="D2856" s="22" t="s">
        <v>832</v>
      </c>
      <c r="J2856" s="23" t="n">
        <f aca="false">J2855*OH_Site</f>
        <v>0.538035</v>
      </c>
    </row>
    <row r="2857" customFormat="false" ht="15" hidden="false" customHeight="true" outlineLevel="0" collapsed="false">
      <c r="D2857" s="22" t="s">
        <v>833</v>
      </c>
      <c r="J2857" s="23" t="n">
        <f aca="false">J2855*OH_HO</f>
        <v>0.896725</v>
      </c>
    </row>
    <row r="2858" customFormat="false" ht="15" hidden="false" customHeight="true" outlineLevel="0" collapsed="false">
      <c r="D2858" s="22" t="s">
        <v>834</v>
      </c>
      <c r="J2858" s="23" t="n">
        <f aca="false">J2855*Profit</f>
        <v>1.79345</v>
      </c>
    </row>
    <row r="2859" customFormat="false" ht="15" hidden="false" customHeight="true" outlineLevel="0" collapsed="false">
      <c r="D2859" s="24" t="s">
        <v>835</v>
      </c>
      <c r="J2859" s="14" t="n">
        <f aca="false">J2855+J2856+J2857+J2858</f>
        <v>21.16271</v>
      </c>
    </row>
    <row r="2860" customFormat="false" ht="15" hidden="false" customHeight="true" outlineLevel="0" collapsed="false">
      <c r="D2860" s="22" t="s">
        <v>836</v>
      </c>
      <c r="J2860" s="23" t="n">
        <f aca="false">IF(Tax_On="Yes",J2859*N(Tax_Rate),0)</f>
        <v>0</v>
      </c>
    </row>
    <row r="2861" customFormat="false" ht="15" hidden="false" customHeight="true" outlineLevel="0" collapsed="false">
      <c r="D2861" s="24" t="s">
        <v>837</v>
      </c>
      <c r="J2861" s="14" t="n">
        <f aca="false">ROUND(J2859+J2860,0)</f>
        <v>21</v>
      </c>
    </row>
    <row r="2862" customFormat="false" ht="15" hidden="false" customHeight="true" outlineLevel="0" collapsed="false">
      <c r="D2862" s="25" t="s">
        <v>838</v>
      </c>
      <c r="J2862" s="26" t="n">
        <f aca="false">COUNTIF(K2848:K2848,"NO RATE")+COUNTIF(K2848:K2848,"OLD RATE")</f>
        <v>0</v>
      </c>
    </row>
    <row r="2864" customFormat="false" ht="63.75" hidden="false" customHeight="true" outlineLevel="0" collapsed="false">
      <c r="A2864" s="4" t="s">
        <v>669</v>
      </c>
      <c r="B2864" s="16" t="s">
        <v>670</v>
      </c>
      <c r="C2864" s="27"/>
      <c r="D2864" s="27"/>
      <c r="E2864" s="27"/>
      <c r="F2864" s="27"/>
      <c r="G2864" s="27"/>
      <c r="H2864" s="27"/>
      <c r="I2864" s="28"/>
      <c r="J2864" s="4" t="s">
        <v>788</v>
      </c>
      <c r="K2864" s="17"/>
    </row>
    <row r="2865" customFormat="false" ht="15" hidden="false" customHeight="true" outlineLevel="0" collapsed="false">
      <c r="A2865" s="12" t="s">
        <v>75</v>
      </c>
      <c r="B2865" s="12" t="s">
        <v>789</v>
      </c>
      <c r="C2865" s="12" t="s">
        <v>790</v>
      </c>
      <c r="D2865" s="12" t="s">
        <v>791</v>
      </c>
      <c r="E2865" s="12" t="s">
        <v>81</v>
      </c>
      <c r="F2865" s="12" t="s">
        <v>792</v>
      </c>
      <c r="G2865" s="12" t="s">
        <v>793</v>
      </c>
      <c r="H2865" s="12" t="s">
        <v>794</v>
      </c>
      <c r="I2865" s="12" t="s">
        <v>795</v>
      </c>
      <c r="J2865" s="12" t="s">
        <v>796</v>
      </c>
      <c r="K2865" s="12" t="s">
        <v>797</v>
      </c>
    </row>
    <row r="2866" customFormat="false" ht="15" hidden="false" customHeight="true" outlineLevel="0" collapsed="false">
      <c r="A2866" s="9" t="s">
        <v>669</v>
      </c>
      <c r="B2866" s="9" t="s">
        <v>812</v>
      </c>
      <c r="C2866" s="9" t="s">
        <v>1407</v>
      </c>
      <c r="D2866" s="5" t="s">
        <v>1405</v>
      </c>
      <c r="E2866" s="9" t="s">
        <v>109</v>
      </c>
      <c r="F2866" s="18" t="n">
        <v>1</v>
      </c>
      <c r="G2866" s="13" t="n">
        <f aca="false">N(INDEX('06 LABOUR RATE LIBRARY'!$D$5:$D$100,MATCH("MRS-C7-6-2",'06 LABOUR RATE LIBRARY'!$A$5:$A$100,0)))</f>
        <v>40.269</v>
      </c>
      <c r="H2866" s="19" t="n">
        <v>0</v>
      </c>
      <c r="I2866" s="18" t="n">
        <f aca="false">F2866*(1+H2866)</f>
        <v>1</v>
      </c>
      <c r="J2866" s="13" t="n">
        <f aca="false">I2866*G2866</f>
        <v>40.269</v>
      </c>
      <c r="K2866" s="20" t="str">
        <f aca="false">IF(INDEX('06 LABOUR RATE LIBRARY'!$L$5:$L$100,MATCH("MRS-C7-6-2",'06 LABOUR RATE LIBRARY'!$A$5:$A$100,0))=1,"",IF(INDEX('06 LABOUR RATE LIBRARY'!$L$5:$L$100,MATCH("MRS-C7-6-2",'06 LABOUR RATE LIBRARY'!$A$5:$A$100,0))=2,"OLD RATE","NO RATE"))</f>
        <v/>
      </c>
    </row>
    <row r="2867" customFormat="false" ht="15" hidden="false" customHeight="true" outlineLevel="0" collapsed="false">
      <c r="D2867" s="22" t="s">
        <v>825</v>
      </c>
      <c r="J2867" s="23" t="n">
        <f aca="false">SUMPRODUCT((B2866:B2866="Material")*F2866:F2866*G2866:G2866)</f>
        <v>0</v>
      </c>
    </row>
    <row r="2868" customFormat="false" ht="15" hidden="false" customHeight="true" outlineLevel="0" collapsed="false">
      <c r="D2868" s="22" t="s">
        <v>826</v>
      </c>
      <c r="J2868" s="23" t="n">
        <f aca="false">SUMIF(B2866:B2866,"Material",J2866:J2866)-J2867</f>
        <v>0</v>
      </c>
    </row>
    <row r="2869" customFormat="false" ht="15" hidden="false" customHeight="true" outlineLevel="0" collapsed="false">
      <c r="D2869" s="24" t="s">
        <v>827</v>
      </c>
      <c r="J2869" s="14" t="n">
        <f aca="false">SUMIF(B2866:B2866,"Material",J2866:J2866)</f>
        <v>0</v>
      </c>
    </row>
    <row r="2870" customFormat="false" ht="15" hidden="false" customHeight="true" outlineLevel="0" collapsed="false">
      <c r="D2870" s="24" t="s">
        <v>828</v>
      </c>
      <c r="J2870" s="14" t="n">
        <f aca="false">SUMIF(B2866:B2866,"Labour",J2866:J2866)</f>
        <v>40.269</v>
      </c>
    </row>
    <row r="2871" customFormat="false" ht="15" hidden="false" customHeight="true" outlineLevel="0" collapsed="false">
      <c r="D2871" s="24" t="s">
        <v>829</v>
      </c>
      <c r="J2871" s="14" t="n">
        <f aca="false">SUMIF(B2866:B2866,"Equipment",J2866:J2866)</f>
        <v>0</v>
      </c>
    </row>
    <row r="2872" customFormat="false" ht="15" hidden="false" customHeight="true" outlineLevel="0" collapsed="false">
      <c r="D2872" s="24" t="s">
        <v>830</v>
      </c>
      <c r="J2872" s="14" t="n">
        <f aca="false">SUMIF(B2866:B2866,"Transport",J2866:J2866)</f>
        <v>0</v>
      </c>
    </row>
    <row r="2873" customFormat="false" ht="15" hidden="false" customHeight="true" outlineLevel="0" collapsed="false">
      <c r="D2873" s="24" t="s">
        <v>831</v>
      </c>
      <c r="J2873" s="14" t="n">
        <f aca="false">J2869+J2870+J2871+J2872</f>
        <v>40.269</v>
      </c>
    </row>
    <row r="2874" customFormat="false" ht="15" hidden="false" customHeight="true" outlineLevel="0" collapsed="false">
      <c r="D2874" s="22" t="s">
        <v>832</v>
      </c>
      <c r="J2874" s="23" t="n">
        <f aca="false">J2873*OH_Site</f>
        <v>1.20807</v>
      </c>
    </row>
    <row r="2875" customFormat="false" ht="15" hidden="false" customHeight="true" outlineLevel="0" collapsed="false">
      <c r="D2875" s="22" t="s">
        <v>833</v>
      </c>
      <c r="J2875" s="23" t="n">
        <f aca="false">J2873*OH_HO</f>
        <v>2.01345</v>
      </c>
    </row>
    <row r="2876" customFormat="false" ht="15" hidden="false" customHeight="true" outlineLevel="0" collapsed="false">
      <c r="D2876" s="22" t="s">
        <v>834</v>
      </c>
      <c r="J2876" s="23" t="n">
        <f aca="false">J2873*Profit</f>
        <v>4.0269</v>
      </c>
    </row>
    <row r="2877" customFormat="false" ht="15" hidden="false" customHeight="true" outlineLevel="0" collapsed="false">
      <c r="D2877" s="24" t="s">
        <v>835</v>
      </c>
      <c r="J2877" s="14" t="n">
        <f aca="false">J2873+J2874+J2875+J2876</f>
        <v>47.51742</v>
      </c>
    </row>
    <row r="2878" customFormat="false" ht="15" hidden="false" customHeight="true" outlineLevel="0" collapsed="false">
      <c r="D2878" s="22" t="s">
        <v>836</v>
      </c>
      <c r="J2878" s="23" t="n">
        <f aca="false">IF(Tax_On="Yes",J2877*N(Tax_Rate),0)</f>
        <v>0</v>
      </c>
    </row>
    <row r="2879" customFormat="false" ht="15" hidden="false" customHeight="true" outlineLevel="0" collapsed="false">
      <c r="D2879" s="24" t="s">
        <v>837</v>
      </c>
      <c r="J2879" s="14" t="n">
        <f aca="false">ROUND(J2877+J2878,0)</f>
        <v>48</v>
      </c>
    </row>
    <row r="2880" customFormat="false" ht="15" hidden="false" customHeight="true" outlineLevel="0" collapsed="false">
      <c r="D2880" s="25" t="s">
        <v>838</v>
      </c>
      <c r="J2880" s="26" t="n">
        <f aca="false">COUNTIF(K2866:K2866,"NO RATE")+COUNTIF(K2866:K2866,"OLD RATE")</f>
        <v>0</v>
      </c>
    </row>
    <row r="2882" customFormat="false" ht="63.75" hidden="false" customHeight="true" outlineLevel="0" collapsed="false">
      <c r="A2882" s="4" t="s">
        <v>672</v>
      </c>
      <c r="B2882" s="16" t="s">
        <v>673</v>
      </c>
      <c r="C2882" s="27"/>
      <c r="D2882" s="27"/>
      <c r="E2882" s="27"/>
      <c r="F2882" s="27"/>
      <c r="G2882" s="27"/>
      <c r="H2882" s="27"/>
      <c r="I2882" s="28"/>
      <c r="J2882" s="4" t="s">
        <v>788</v>
      </c>
      <c r="K2882" s="17"/>
    </row>
    <row r="2883" customFormat="false" ht="15" hidden="false" customHeight="true" outlineLevel="0" collapsed="false">
      <c r="A2883" s="12" t="s">
        <v>75</v>
      </c>
      <c r="B2883" s="12" t="s">
        <v>789</v>
      </c>
      <c r="C2883" s="12" t="s">
        <v>790</v>
      </c>
      <c r="D2883" s="12" t="s">
        <v>791</v>
      </c>
      <c r="E2883" s="12" t="s">
        <v>81</v>
      </c>
      <c r="F2883" s="12" t="s">
        <v>792</v>
      </c>
      <c r="G2883" s="12" t="s">
        <v>793</v>
      </c>
      <c r="H2883" s="12" t="s">
        <v>794</v>
      </c>
      <c r="I2883" s="12" t="s">
        <v>795</v>
      </c>
      <c r="J2883" s="12" t="s">
        <v>796</v>
      </c>
      <c r="K2883" s="12" t="s">
        <v>797</v>
      </c>
    </row>
    <row r="2884" customFormat="false" ht="15" hidden="false" customHeight="true" outlineLevel="0" collapsed="false">
      <c r="A2884" s="9" t="s">
        <v>672</v>
      </c>
      <c r="B2884" s="9" t="s">
        <v>812</v>
      </c>
      <c r="C2884" s="9" t="s">
        <v>1408</v>
      </c>
      <c r="D2884" s="5" t="s">
        <v>1405</v>
      </c>
      <c r="E2884" s="9" t="s">
        <v>109</v>
      </c>
      <c r="F2884" s="18" t="n">
        <v>1</v>
      </c>
      <c r="G2884" s="13" t="n">
        <f aca="false">N(INDEX('06 LABOUR RATE LIBRARY'!$D$5:$D$100,MATCH("MRS-C7-6-3",'06 LABOUR RATE LIBRARY'!$A$5:$A$100,0)))</f>
        <v>62.603</v>
      </c>
      <c r="H2884" s="19" t="n">
        <v>0</v>
      </c>
      <c r="I2884" s="18" t="n">
        <f aca="false">F2884*(1+H2884)</f>
        <v>1</v>
      </c>
      <c r="J2884" s="13" t="n">
        <f aca="false">I2884*G2884</f>
        <v>62.603</v>
      </c>
      <c r="K2884" s="20" t="str">
        <f aca="false">IF(INDEX('06 LABOUR RATE LIBRARY'!$L$5:$L$100,MATCH("MRS-C7-6-3",'06 LABOUR RATE LIBRARY'!$A$5:$A$100,0))=1,"",IF(INDEX('06 LABOUR RATE LIBRARY'!$L$5:$L$100,MATCH("MRS-C7-6-3",'06 LABOUR RATE LIBRARY'!$A$5:$A$100,0))=2,"OLD RATE","NO RATE"))</f>
        <v/>
      </c>
    </row>
    <row r="2885" customFormat="false" ht="15" hidden="false" customHeight="true" outlineLevel="0" collapsed="false">
      <c r="D2885" s="22" t="s">
        <v>825</v>
      </c>
      <c r="J2885" s="23" t="n">
        <f aca="false">SUMPRODUCT((B2884:B2884="Material")*F2884:F2884*G2884:G2884)</f>
        <v>0</v>
      </c>
    </row>
    <row r="2886" customFormat="false" ht="15" hidden="false" customHeight="true" outlineLevel="0" collapsed="false">
      <c r="D2886" s="22" t="s">
        <v>826</v>
      </c>
      <c r="J2886" s="23" t="n">
        <f aca="false">SUMIF(B2884:B2884,"Material",J2884:J2884)-J2885</f>
        <v>0</v>
      </c>
    </row>
    <row r="2887" customFormat="false" ht="15" hidden="false" customHeight="true" outlineLevel="0" collapsed="false">
      <c r="D2887" s="24" t="s">
        <v>827</v>
      </c>
      <c r="J2887" s="14" t="n">
        <f aca="false">SUMIF(B2884:B2884,"Material",J2884:J2884)</f>
        <v>0</v>
      </c>
    </row>
    <row r="2888" customFormat="false" ht="15" hidden="false" customHeight="true" outlineLevel="0" collapsed="false">
      <c r="D2888" s="24" t="s">
        <v>828</v>
      </c>
      <c r="J2888" s="14" t="n">
        <f aca="false">SUMIF(B2884:B2884,"Labour",J2884:J2884)</f>
        <v>62.603</v>
      </c>
    </row>
    <row r="2889" customFormat="false" ht="15" hidden="false" customHeight="true" outlineLevel="0" collapsed="false">
      <c r="D2889" s="24" t="s">
        <v>829</v>
      </c>
      <c r="J2889" s="14" t="n">
        <f aca="false">SUMIF(B2884:B2884,"Equipment",J2884:J2884)</f>
        <v>0</v>
      </c>
    </row>
    <row r="2890" customFormat="false" ht="15" hidden="false" customHeight="true" outlineLevel="0" collapsed="false">
      <c r="D2890" s="24" t="s">
        <v>830</v>
      </c>
      <c r="J2890" s="14" t="n">
        <f aca="false">SUMIF(B2884:B2884,"Transport",J2884:J2884)</f>
        <v>0</v>
      </c>
    </row>
    <row r="2891" customFormat="false" ht="15" hidden="false" customHeight="true" outlineLevel="0" collapsed="false">
      <c r="D2891" s="24" t="s">
        <v>831</v>
      </c>
      <c r="J2891" s="14" t="n">
        <f aca="false">J2887+J2888+J2889+J2890</f>
        <v>62.603</v>
      </c>
    </row>
    <row r="2892" customFormat="false" ht="15" hidden="false" customHeight="true" outlineLevel="0" collapsed="false">
      <c r="D2892" s="22" t="s">
        <v>832</v>
      </c>
      <c r="J2892" s="23" t="n">
        <f aca="false">J2891*OH_Site</f>
        <v>1.87809</v>
      </c>
    </row>
    <row r="2893" customFormat="false" ht="15" hidden="false" customHeight="true" outlineLevel="0" collapsed="false">
      <c r="D2893" s="22" t="s">
        <v>833</v>
      </c>
      <c r="J2893" s="23" t="n">
        <f aca="false">J2891*OH_HO</f>
        <v>3.13015</v>
      </c>
    </row>
    <row r="2894" customFormat="false" ht="15" hidden="false" customHeight="true" outlineLevel="0" collapsed="false">
      <c r="D2894" s="22" t="s">
        <v>834</v>
      </c>
      <c r="J2894" s="23" t="n">
        <f aca="false">J2891*Profit</f>
        <v>6.2603</v>
      </c>
    </row>
    <row r="2895" customFormat="false" ht="15" hidden="false" customHeight="true" outlineLevel="0" collapsed="false">
      <c r="D2895" s="24" t="s">
        <v>835</v>
      </c>
      <c r="J2895" s="14" t="n">
        <f aca="false">J2891+J2892+J2893+J2894</f>
        <v>73.87154</v>
      </c>
    </row>
    <row r="2896" customFormat="false" ht="15" hidden="false" customHeight="true" outlineLevel="0" collapsed="false">
      <c r="D2896" s="22" t="s">
        <v>836</v>
      </c>
      <c r="J2896" s="23" t="n">
        <f aca="false">IF(Tax_On="Yes",J2895*N(Tax_Rate),0)</f>
        <v>0</v>
      </c>
    </row>
    <row r="2897" customFormat="false" ht="15" hidden="false" customHeight="true" outlineLevel="0" collapsed="false">
      <c r="D2897" s="24" t="s">
        <v>837</v>
      </c>
      <c r="J2897" s="14" t="n">
        <f aca="false">ROUND(J2895+J2896,0)</f>
        <v>74</v>
      </c>
    </row>
    <row r="2898" customFormat="false" ht="15" hidden="false" customHeight="true" outlineLevel="0" collapsed="false">
      <c r="D2898" s="25" t="s">
        <v>838</v>
      </c>
      <c r="J2898" s="26" t="n">
        <f aca="false">COUNTIF(K2884:K2884,"NO RATE")+COUNTIF(K2884:K2884,"OLD RATE")</f>
        <v>0</v>
      </c>
    </row>
    <row r="2900" customFormat="false" ht="63.75" hidden="false" customHeight="true" outlineLevel="0" collapsed="false">
      <c r="A2900" s="4" t="s">
        <v>675</v>
      </c>
      <c r="B2900" s="16" t="s">
        <v>676</v>
      </c>
      <c r="C2900" s="27"/>
      <c r="D2900" s="27"/>
      <c r="E2900" s="27"/>
      <c r="F2900" s="27"/>
      <c r="G2900" s="27"/>
      <c r="H2900" s="27"/>
      <c r="I2900" s="28"/>
      <c r="J2900" s="4" t="s">
        <v>788</v>
      </c>
      <c r="K2900" s="17"/>
    </row>
    <row r="2901" customFormat="false" ht="15" hidden="false" customHeight="true" outlineLevel="0" collapsed="false">
      <c r="A2901" s="12" t="s">
        <v>75</v>
      </c>
      <c r="B2901" s="12" t="s">
        <v>789</v>
      </c>
      <c r="C2901" s="12" t="s">
        <v>790</v>
      </c>
      <c r="D2901" s="12" t="s">
        <v>791</v>
      </c>
      <c r="E2901" s="12" t="s">
        <v>81</v>
      </c>
      <c r="F2901" s="12" t="s">
        <v>792</v>
      </c>
      <c r="G2901" s="12" t="s">
        <v>793</v>
      </c>
      <c r="H2901" s="12" t="s">
        <v>794</v>
      </c>
      <c r="I2901" s="12" t="s">
        <v>795</v>
      </c>
      <c r="J2901" s="12" t="s">
        <v>796</v>
      </c>
      <c r="K2901" s="12" t="s">
        <v>797</v>
      </c>
    </row>
    <row r="2902" customFormat="false" ht="15" hidden="false" customHeight="true" outlineLevel="0" collapsed="false">
      <c r="A2902" s="9" t="s">
        <v>675</v>
      </c>
      <c r="B2902" s="9" t="s">
        <v>812</v>
      </c>
      <c r="C2902" s="9" t="s">
        <v>1409</v>
      </c>
      <c r="D2902" s="5" t="s">
        <v>1405</v>
      </c>
      <c r="E2902" s="9" t="s">
        <v>109</v>
      </c>
      <c r="F2902" s="18" t="n">
        <v>1</v>
      </c>
      <c r="G2902" s="13" t="n">
        <f aca="false">N(INDEX('06 LABOUR RATE LIBRARY'!$D$5:$D$100,MATCH("MRS-C7-6-4",'06 LABOUR RATE LIBRARY'!$A$5:$A$100,0)))</f>
        <v>100.505</v>
      </c>
      <c r="H2902" s="19" t="n">
        <v>0</v>
      </c>
      <c r="I2902" s="18" t="n">
        <f aca="false">F2902*(1+H2902)</f>
        <v>1</v>
      </c>
      <c r="J2902" s="13" t="n">
        <f aca="false">I2902*G2902</f>
        <v>100.505</v>
      </c>
      <c r="K2902" s="20" t="str">
        <f aca="false">IF(INDEX('06 LABOUR RATE LIBRARY'!$L$5:$L$100,MATCH("MRS-C7-6-4",'06 LABOUR RATE LIBRARY'!$A$5:$A$100,0))=1,"",IF(INDEX('06 LABOUR RATE LIBRARY'!$L$5:$L$100,MATCH("MRS-C7-6-4",'06 LABOUR RATE LIBRARY'!$A$5:$A$100,0))=2,"OLD RATE","NO RATE"))</f>
        <v/>
      </c>
    </row>
    <row r="2903" customFormat="false" ht="15" hidden="false" customHeight="true" outlineLevel="0" collapsed="false">
      <c r="D2903" s="22" t="s">
        <v>825</v>
      </c>
      <c r="J2903" s="23" t="n">
        <f aca="false">SUMPRODUCT((B2902:B2902="Material")*F2902:F2902*G2902:G2902)</f>
        <v>0</v>
      </c>
    </row>
    <row r="2904" customFormat="false" ht="15" hidden="false" customHeight="true" outlineLevel="0" collapsed="false">
      <c r="D2904" s="22" t="s">
        <v>826</v>
      </c>
      <c r="J2904" s="23" t="n">
        <f aca="false">SUMIF(B2902:B2902,"Material",J2902:J2902)-J2903</f>
        <v>0</v>
      </c>
    </row>
    <row r="2905" customFormat="false" ht="15" hidden="false" customHeight="true" outlineLevel="0" collapsed="false">
      <c r="D2905" s="24" t="s">
        <v>827</v>
      </c>
      <c r="J2905" s="14" t="n">
        <f aca="false">SUMIF(B2902:B2902,"Material",J2902:J2902)</f>
        <v>0</v>
      </c>
    </row>
    <row r="2906" customFormat="false" ht="15" hidden="false" customHeight="true" outlineLevel="0" collapsed="false">
      <c r="D2906" s="24" t="s">
        <v>828</v>
      </c>
      <c r="J2906" s="14" t="n">
        <f aca="false">SUMIF(B2902:B2902,"Labour",J2902:J2902)</f>
        <v>100.505</v>
      </c>
    </row>
    <row r="2907" customFormat="false" ht="15" hidden="false" customHeight="true" outlineLevel="0" collapsed="false">
      <c r="D2907" s="24" t="s">
        <v>829</v>
      </c>
      <c r="J2907" s="14" t="n">
        <f aca="false">SUMIF(B2902:B2902,"Equipment",J2902:J2902)</f>
        <v>0</v>
      </c>
    </row>
    <row r="2908" customFormat="false" ht="15" hidden="false" customHeight="true" outlineLevel="0" collapsed="false">
      <c r="D2908" s="24" t="s">
        <v>830</v>
      </c>
      <c r="J2908" s="14" t="n">
        <f aca="false">SUMIF(B2902:B2902,"Transport",J2902:J2902)</f>
        <v>0</v>
      </c>
    </row>
    <row r="2909" customFormat="false" ht="15" hidden="false" customHeight="true" outlineLevel="0" collapsed="false">
      <c r="D2909" s="24" t="s">
        <v>831</v>
      </c>
      <c r="J2909" s="14" t="n">
        <f aca="false">J2905+J2906+J2907+J2908</f>
        <v>100.505</v>
      </c>
    </row>
    <row r="2910" customFormat="false" ht="15" hidden="false" customHeight="true" outlineLevel="0" collapsed="false">
      <c r="D2910" s="22" t="s">
        <v>832</v>
      </c>
      <c r="J2910" s="23" t="n">
        <f aca="false">J2909*OH_Site</f>
        <v>3.01515</v>
      </c>
    </row>
    <row r="2911" customFormat="false" ht="15" hidden="false" customHeight="true" outlineLevel="0" collapsed="false">
      <c r="D2911" s="22" t="s">
        <v>833</v>
      </c>
      <c r="J2911" s="23" t="n">
        <f aca="false">J2909*OH_HO</f>
        <v>5.02525</v>
      </c>
    </row>
    <row r="2912" customFormat="false" ht="15" hidden="false" customHeight="true" outlineLevel="0" collapsed="false">
      <c r="D2912" s="22" t="s">
        <v>834</v>
      </c>
      <c r="J2912" s="23" t="n">
        <f aca="false">J2909*Profit</f>
        <v>10.0505</v>
      </c>
    </row>
    <row r="2913" customFormat="false" ht="15" hidden="false" customHeight="true" outlineLevel="0" collapsed="false">
      <c r="D2913" s="24" t="s">
        <v>835</v>
      </c>
      <c r="J2913" s="14" t="n">
        <f aca="false">J2909+J2910+J2911+J2912</f>
        <v>118.5959</v>
      </c>
    </row>
    <row r="2914" customFormat="false" ht="15" hidden="false" customHeight="true" outlineLevel="0" collapsed="false">
      <c r="D2914" s="22" t="s">
        <v>836</v>
      </c>
      <c r="J2914" s="23" t="n">
        <f aca="false">IF(Tax_On="Yes",J2913*N(Tax_Rate),0)</f>
        <v>0</v>
      </c>
    </row>
    <row r="2915" customFormat="false" ht="15" hidden="false" customHeight="true" outlineLevel="0" collapsed="false">
      <c r="D2915" s="24" t="s">
        <v>837</v>
      </c>
      <c r="J2915" s="14" t="n">
        <f aca="false">ROUND(J2913+J2914,0)</f>
        <v>119</v>
      </c>
    </row>
    <row r="2916" customFormat="false" ht="15" hidden="false" customHeight="true" outlineLevel="0" collapsed="false">
      <c r="D2916" s="25" t="s">
        <v>838</v>
      </c>
      <c r="J2916" s="26" t="n">
        <f aca="false">COUNTIF(K2902:K2902,"NO RATE")+COUNTIF(K2902:K2902,"OLD RATE")</f>
        <v>0</v>
      </c>
    </row>
    <row r="2918" customFormat="false" ht="84.75" hidden="false" customHeight="true" outlineLevel="0" collapsed="false">
      <c r="A2918" s="4" t="s">
        <v>678</v>
      </c>
      <c r="B2918" s="16" t="s">
        <v>679</v>
      </c>
      <c r="C2918" s="27"/>
      <c r="D2918" s="27"/>
      <c r="E2918" s="27"/>
      <c r="F2918" s="27"/>
      <c r="G2918" s="27"/>
      <c r="H2918" s="27"/>
      <c r="I2918" s="28"/>
      <c r="J2918" s="4" t="s">
        <v>788</v>
      </c>
      <c r="K2918" s="17"/>
    </row>
    <row r="2919" customFormat="false" ht="15" hidden="false" customHeight="true" outlineLevel="0" collapsed="false">
      <c r="A2919" s="12" t="s">
        <v>75</v>
      </c>
      <c r="B2919" s="12" t="s">
        <v>789</v>
      </c>
      <c r="C2919" s="12" t="s">
        <v>790</v>
      </c>
      <c r="D2919" s="12" t="s">
        <v>791</v>
      </c>
      <c r="E2919" s="12" t="s">
        <v>81</v>
      </c>
      <c r="F2919" s="12" t="s">
        <v>792</v>
      </c>
      <c r="G2919" s="12" t="s">
        <v>793</v>
      </c>
      <c r="H2919" s="12" t="s">
        <v>794</v>
      </c>
      <c r="I2919" s="12" t="s">
        <v>795</v>
      </c>
      <c r="J2919" s="12" t="s">
        <v>796</v>
      </c>
      <c r="K2919" s="12" t="s">
        <v>797</v>
      </c>
    </row>
    <row r="2920" customFormat="false" ht="15" hidden="false" customHeight="true" outlineLevel="0" collapsed="false">
      <c r="A2920" s="9" t="s">
        <v>678</v>
      </c>
      <c r="B2920" s="9" t="s">
        <v>812</v>
      </c>
      <c r="C2920" s="9" t="s">
        <v>1410</v>
      </c>
      <c r="D2920" s="5" t="s">
        <v>1405</v>
      </c>
      <c r="E2920" s="9" t="s">
        <v>109</v>
      </c>
      <c r="F2920" s="18" t="n">
        <v>1</v>
      </c>
      <c r="G2920" s="13" t="n">
        <f aca="false">N(INDEX('06 LABOUR RATE LIBRARY'!$D$5:$D$100,MATCH("MRS-C7-6-5",'06 LABOUR RATE LIBRARY'!$A$5:$A$100,0)))</f>
        <v>10.7605</v>
      </c>
      <c r="H2920" s="19" t="n">
        <v>0</v>
      </c>
      <c r="I2920" s="18" t="n">
        <f aca="false">F2920*(1+H2920)</f>
        <v>1</v>
      </c>
      <c r="J2920" s="13" t="n">
        <f aca="false">I2920*G2920</f>
        <v>10.7605</v>
      </c>
      <c r="K2920" s="20" t="str">
        <f aca="false">IF(INDEX('06 LABOUR RATE LIBRARY'!$L$5:$L$100,MATCH("MRS-C7-6-5",'06 LABOUR RATE LIBRARY'!$A$5:$A$100,0))=1,"",IF(INDEX('06 LABOUR RATE LIBRARY'!$L$5:$L$100,MATCH("MRS-C7-6-5",'06 LABOUR RATE LIBRARY'!$A$5:$A$100,0))=2,"OLD RATE","NO RATE"))</f>
        <v/>
      </c>
    </row>
    <row r="2921" customFormat="false" ht="15" hidden="false" customHeight="true" outlineLevel="0" collapsed="false">
      <c r="D2921" s="22" t="s">
        <v>825</v>
      </c>
      <c r="J2921" s="23" t="n">
        <f aca="false">SUMPRODUCT((B2920:B2920="Material")*F2920:F2920*G2920:G2920)</f>
        <v>0</v>
      </c>
    </row>
    <row r="2922" customFormat="false" ht="15" hidden="false" customHeight="true" outlineLevel="0" collapsed="false">
      <c r="D2922" s="22" t="s">
        <v>826</v>
      </c>
      <c r="J2922" s="23" t="n">
        <f aca="false">SUMIF(B2920:B2920,"Material",J2920:J2920)-J2921</f>
        <v>0</v>
      </c>
    </row>
    <row r="2923" customFormat="false" ht="15" hidden="false" customHeight="true" outlineLevel="0" collapsed="false">
      <c r="D2923" s="24" t="s">
        <v>827</v>
      </c>
      <c r="J2923" s="14" t="n">
        <f aca="false">SUMIF(B2920:B2920,"Material",J2920:J2920)</f>
        <v>0</v>
      </c>
    </row>
    <row r="2924" customFormat="false" ht="15" hidden="false" customHeight="true" outlineLevel="0" collapsed="false">
      <c r="D2924" s="24" t="s">
        <v>828</v>
      </c>
      <c r="J2924" s="14" t="n">
        <f aca="false">SUMIF(B2920:B2920,"Labour",J2920:J2920)</f>
        <v>10.7605</v>
      </c>
    </row>
    <row r="2925" customFormat="false" ht="15" hidden="false" customHeight="true" outlineLevel="0" collapsed="false">
      <c r="D2925" s="24" t="s">
        <v>829</v>
      </c>
      <c r="J2925" s="14" t="n">
        <f aca="false">SUMIF(B2920:B2920,"Equipment",J2920:J2920)</f>
        <v>0</v>
      </c>
    </row>
    <row r="2926" customFormat="false" ht="15" hidden="false" customHeight="true" outlineLevel="0" collapsed="false">
      <c r="D2926" s="24" t="s">
        <v>830</v>
      </c>
      <c r="J2926" s="14" t="n">
        <f aca="false">SUMIF(B2920:B2920,"Transport",J2920:J2920)</f>
        <v>0</v>
      </c>
    </row>
    <row r="2927" customFormat="false" ht="15" hidden="false" customHeight="true" outlineLevel="0" collapsed="false">
      <c r="D2927" s="24" t="s">
        <v>831</v>
      </c>
      <c r="J2927" s="14" t="n">
        <f aca="false">J2923+J2924+J2925+J2926</f>
        <v>10.7605</v>
      </c>
    </row>
    <row r="2928" customFormat="false" ht="15" hidden="false" customHeight="true" outlineLevel="0" collapsed="false">
      <c r="D2928" s="22" t="s">
        <v>832</v>
      </c>
      <c r="J2928" s="23" t="n">
        <f aca="false">J2927*OH_Site</f>
        <v>0.322815</v>
      </c>
    </row>
    <row r="2929" customFormat="false" ht="15" hidden="false" customHeight="true" outlineLevel="0" collapsed="false">
      <c r="D2929" s="22" t="s">
        <v>833</v>
      </c>
      <c r="J2929" s="23" t="n">
        <f aca="false">J2927*OH_HO</f>
        <v>0.538025</v>
      </c>
    </row>
    <row r="2930" customFormat="false" ht="15" hidden="false" customHeight="true" outlineLevel="0" collapsed="false">
      <c r="D2930" s="22" t="s">
        <v>834</v>
      </c>
      <c r="J2930" s="23" t="n">
        <f aca="false">J2927*Profit</f>
        <v>1.07605</v>
      </c>
    </row>
    <row r="2931" customFormat="false" ht="15" hidden="false" customHeight="true" outlineLevel="0" collapsed="false">
      <c r="D2931" s="24" t="s">
        <v>835</v>
      </c>
      <c r="J2931" s="14" t="n">
        <f aca="false">J2927+J2928+J2929+J2930</f>
        <v>12.69739</v>
      </c>
    </row>
    <row r="2932" customFormat="false" ht="15" hidden="false" customHeight="true" outlineLevel="0" collapsed="false">
      <c r="D2932" s="22" t="s">
        <v>836</v>
      </c>
      <c r="J2932" s="23" t="n">
        <f aca="false">IF(Tax_On="Yes",J2931*N(Tax_Rate),0)</f>
        <v>0</v>
      </c>
    </row>
    <row r="2933" customFormat="false" ht="15" hidden="false" customHeight="true" outlineLevel="0" collapsed="false">
      <c r="D2933" s="24" t="s">
        <v>837</v>
      </c>
      <c r="J2933" s="14" t="n">
        <f aca="false">ROUND(J2931+J2932,0)</f>
        <v>13</v>
      </c>
    </row>
    <row r="2934" customFormat="false" ht="15" hidden="false" customHeight="true" outlineLevel="0" collapsed="false">
      <c r="D2934" s="25" t="s">
        <v>838</v>
      </c>
      <c r="J2934" s="26" t="n">
        <f aca="false">COUNTIF(K2920:K2920,"NO RATE")+COUNTIF(K2920:K2920,"OLD RATE")</f>
        <v>0</v>
      </c>
    </row>
    <row r="2936" customFormat="false" ht="95.25" hidden="false" customHeight="true" outlineLevel="0" collapsed="false">
      <c r="A2936" s="4" t="s">
        <v>681</v>
      </c>
      <c r="B2936" s="16" t="s">
        <v>682</v>
      </c>
      <c r="C2936" s="27"/>
      <c r="D2936" s="27"/>
      <c r="E2936" s="27"/>
      <c r="F2936" s="27"/>
      <c r="G2936" s="27"/>
      <c r="H2936" s="27"/>
      <c r="I2936" s="28"/>
      <c r="J2936" s="4" t="s">
        <v>890</v>
      </c>
      <c r="K2936" s="17"/>
    </row>
    <row r="2937" customFormat="false" ht="15" hidden="false" customHeight="true" outlineLevel="0" collapsed="false">
      <c r="A2937" s="12" t="s">
        <v>75</v>
      </c>
      <c r="B2937" s="12" t="s">
        <v>789</v>
      </c>
      <c r="C2937" s="12" t="s">
        <v>790</v>
      </c>
      <c r="D2937" s="12" t="s">
        <v>791</v>
      </c>
      <c r="E2937" s="12" t="s">
        <v>81</v>
      </c>
      <c r="F2937" s="12" t="s">
        <v>792</v>
      </c>
      <c r="G2937" s="12" t="s">
        <v>793</v>
      </c>
      <c r="H2937" s="12" t="s">
        <v>794</v>
      </c>
      <c r="I2937" s="12" t="s">
        <v>795</v>
      </c>
      <c r="J2937" s="12" t="s">
        <v>796</v>
      </c>
      <c r="K2937" s="12" t="s">
        <v>797</v>
      </c>
    </row>
    <row r="2938" customFormat="false" ht="15" hidden="false" customHeight="true" outlineLevel="0" collapsed="false">
      <c r="A2938" s="9" t="s">
        <v>681</v>
      </c>
      <c r="B2938" s="9" t="s">
        <v>812</v>
      </c>
      <c r="C2938" s="9" t="s">
        <v>1411</v>
      </c>
      <c r="D2938" s="5" t="s">
        <v>1405</v>
      </c>
      <c r="E2938" s="9" t="s">
        <v>212</v>
      </c>
      <c r="F2938" s="18" t="n">
        <v>1</v>
      </c>
      <c r="G2938" s="13" t="n">
        <f aca="false">N(INDEX('06 LABOUR RATE LIBRARY'!$D$5:$D$100,MATCH("MRS-C11-29-1",'06 LABOUR RATE LIBRARY'!$A$5:$A$100,0)))</f>
        <v>6.5945</v>
      </c>
      <c r="H2938" s="19" t="n">
        <v>0</v>
      </c>
      <c r="I2938" s="18" t="n">
        <f aca="false">F2938*(1+H2938)</f>
        <v>1</v>
      </c>
      <c r="J2938" s="13" t="n">
        <f aca="false">I2938*G2938</f>
        <v>6.5945</v>
      </c>
      <c r="K2938" s="20" t="str">
        <f aca="false">IF(INDEX('06 LABOUR RATE LIBRARY'!$L$5:$L$100,MATCH("MRS-C11-29-1",'06 LABOUR RATE LIBRARY'!$A$5:$A$100,0))=1,"",IF(INDEX('06 LABOUR RATE LIBRARY'!$L$5:$L$100,MATCH("MRS-C11-29-1",'06 LABOUR RATE LIBRARY'!$A$5:$A$100,0))=2,"OLD RATE","NO RATE"))</f>
        <v/>
      </c>
    </row>
    <row r="2939" customFormat="false" ht="15" hidden="false" customHeight="true" outlineLevel="0" collapsed="false">
      <c r="D2939" s="22" t="s">
        <v>825</v>
      </c>
      <c r="J2939" s="23" t="n">
        <f aca="false">SUMPRODUCT((B2938:B2938="Material")*F2938:F2938*G2938:G2938)</f>
        <v>0</v>
      </c>
    </row>
    <row r="2940" customFormat="false" ht="15" hidden="false" customHeight="true" outlineLevel="0" collapsed="false">
      <c r="D2940" s="22" t="s">
        <v>826</v>
      </c>
      <c r="J2940" s="23" t="n">
        <f aca="false">SUMIF(B2938:B2938,"Material",J2938:J2938)-J2939</f>
        <v>0</v>
      </c>
    </row>
    <row r="2941" customFormat="false" ht="15" hidden="false" customHeight="true" outlineLevel="0" collapsed="false">
      <c r="D2941" s="24" t="s">
        <v>827</v>
      </c>
      <c r="J2941" s="14" t="n">
        <f aca="false">SUMIF(B2938:B2938,"Material",J2938:J2938)</f>
        <v>0</v>
      </c>
    </row>
    <row r="2942" customFormat="false" ht="15" hidden="false" customHeight="true" outlineLevel="0" collapsed="false">
      <c r="D2942" s="24" t="s">
        <v>828</v>
      </c>
      <c r="J2942" s="14" t="n">
        <f aca="false">SUMIF(B2938:B2938,"Labour",J2938:J2938)</f>
        <v>6.5945</v>
      </c>
    </row>
    <row r="2943" customFormat="false" ht="15" hidden="false" customHeight="true" outlineLevel="0" collapsed="false">
      <c r="D2943" s="24" t="s">
        <v>829</v>
      </c>
      <c r="J2943" s="14" t="n">
        <f aca="false">SUMIF(B2938:B2938,"Equipment",J2938:J2938)</f>
        <v>0</v>
      </c>
    </row>
    <row r="2944" customFormat="false" ht="15" hidden="false" customHeight="true" outlineLevel="0" collapsed="false">
      <c r="D2944" s="24" t="s">
        <v>830</v>
      </c>
      <c r="J2944" s="14" t="n">
        <f aca="false">SUMIF(B2938:B2938,"Transport",J2938:J2938)</f>
        <v>0</v>
      </c>
    </row>
    <row r="2945" customFormat="false" ht="15" hidden="false" customHeight="true" outlineLevel="0" collapsed="false">
      <c r="D2945" s="24" t="s">
        <v>831</v>
      </c>
      <c r="J2945" s="14" t="n">
        <f aca="false">J2941+J2942+J2943+J2944</f>
        <v>6.5945</v>
      </c>
    </row>
    <row r="2946" customFormat="false" ht="15" hidden="false" customHeight="true" outlineLevel="0" collapsed="false">
      <c r="D2946" s="22" t="s">
        <v>832</v>
      </c>
      <c r="J2946" s="23" t="n">
        <f aca="false">J2945*OH_Site</f>
        <v>0.197835</v>
      </c>
    </row>
    <row r="2947" customFormat="false" ht="15" hidden="false" customHeight="true" outlineLevel="0" collapsed="false">
      <c r="D2947" s="22" t="s">
        <v>833</v>
      </c>
      <c r="J2947" s="23" t="n">
        <f aca="false">J2945*OH_HO</f>
        <v>0.329725</v>
      </c>
    </row>
    <row r="2948" customFormat="false" ht="15" hidden="false" customHeight="true" outlineLevel="0" collapsed="false">
      <c r="D2948" s="22" t="s">
        <v>834</v>
      </c>
      <c r="J2948" s="23" t="n">
        <f aca="false">J2945*Profit</f>
        <v>0.65945</v>
      </c>
    </row>
    <row r="2949" customFormat="false" ht="15" hidden="false" customHeight="true" outlineLevel="0" collapsed="false">
      <c r="D2949" s="24" t="s">
        <v>835</v>
      </c>
      <c r="J2949" s="14" t="n">
        <f aca="false">J2945+J2946+J2947+J2948</f>
        <v>7.78151</v>
      </c>
    </row>
    <row r="2950" customFormat="false" ht="15" hidden="false" customHeight="true" outlineLevel="0" collapsed="false">
      <c r="D2950" s="22" t="s">
        <v>836</v>
      </c>
      <c r="J2950" s="23" t="n">
        <f aca="false">IF(Tax_On="Yes",J2949*N(Tax_Rate),0)</f>
        <v>0</v>
      </c>
    </row>
    <row r="2951" customFormat="false" ht="15" hidden="false" customHeight="true" outlineLevel="0" collapsed="false">
      <c r="D2951" s="24" t="s">
        <v>895</v>
      </c>
      <c r="J2951" s="14" t="n">
        <f aca="false">ROUND(J2949+J2950,0)</f>
        <v>8</v>
      </c>
    </row>
    <row r="2952" customFormat="false" ht="15" hidden="false" customHeight="true" outlineLevel="0" collapsed="false">
      <c r="D2952" s="25" t="s">
        <v>838</v>
      </c>
      <c r="J2952" s="26" t="n">
        <f aca="false">COUNTIF(K2938:K2938,"NO RATE")+COUNTIF(K2938:K2938,"OLD RATE")</f>
        <v>0</v>
      </c>
    </row>
    <row r="2954" customFormat="false" ht="74.25" hidden="false" customHeight="true" outlineLevel="0" collapsed="false">
      <c r="A2954" s="4" t="s">
        <v>684</v>
      </c>
      <c r="B2954" s="16" t="s">
        <v>685</v>
      </c>
      <c r="C2954" s="27"/>
      <c r="D2954" s="27"/>
      <c r="E2954" s="27"/>
      <c r="F2954" s="27"/>
      <c r="G2954" s="27"/>
      <c r="H2954" s="27"/>
      <c r="I2954" s="28"/>
      <c r="J2954" s="4" t="s">
        <v>890</v>
      </c>
      <c r="K2954" s="17"/>
    </row>
    <row r="2955" customFormat="false" ht="15" hidden="false" customHeight="true" outlineLevel="0" collapsed="false">
      <c r="A2955" s="12" t="s">
        <v>75</v>
      </c>
      <c r="B2955" s="12" t="s">
        <v>789</v>
      </c>
      <c r="C2955" s="12" t="s">
        <v>790</v>
      </c>
      <c r="D2955" s="12" t="s">
        <v>791</v>
      </c>
      <c r="E2955" s="12" t="s">
        <v>81</v>
      </c>
      <c r="F2955" s="12" t="s">
        <v>792</v>
      </c>
      <c r="G2955" s="12" t="s">
        <v>793</v>
      </c>
      <c r="H2955" s="12" t="s">
        <v>794</v>
      </c>
      <c r="I2955" s="12" t="s">
        <v>795</v>
      </c>
      <c r="J2955" s="12" t="s">
        <v>796</v>
      </c>
      <c r="K2955" s="12" t="s">
        <v>797</v>
      </c>
    </row>
    <row r="2956" customFormat="false" ht="15" hidden="false" customHeight="true" outlineLevel="0" collapsed="false">
      <c r="A2956" s="9" t="s">
        <v>684</v>
      </c>
      <c r="B2956" s="9" t="s">
        <v>812</v>
      </c>
      <c r="C2956" s="9" t="s">
        <v>1412</v>
      </c>
      <c r="D2956" s="5" t="s">
        <v>1405</v>
      </c>
      <c r="E2956" s="9" t="s">
        <v>212</v>
      </c>
      <c r="F2956" s="18" t="n">
        <v>1</v>
      </c>
      <c r="G2956" s="13" t="n">
        <f aca="false">N(INDEX('06 LABOUR RATE LIBRARY'!$D$5:$D$100,MATCH("MRS-C10-19-1",'06 LABOUR RATE LIBRARY'!$A$5:$A$100,0)))</f>
        <v>12.181</v>
      </c>
      <c r="H2956" s="19" t="n">
        <v>0</v>
      </c>
      <c r="I2956" s="18" t="n">
        <f aca="false">F2956*(1+H2956)</f>
        <v>1</v>
      </c>
      <c r="J2956" s="13" t="n">
        <f aca="false">I2956*G2956</f>
        <v>12.181</v>
      </c>
      <c r="K2956" s="20" t="str">
        <f aca="false">IF(INDEX('06 LABOUR RATE LIBRARY'!$L$5:$L$100,MATCH("MRS-C10-19-1",'06 LABOUR RATE LIBRARY'!$A$5:$A$100,0))=1,"",IF(INDEX('06 LABOUR RATE LIBRARY'!$L$5:$L$100,MATCH("MRS-C10-19-1",'06 LABOUR RATE LIBRARY'!$A$5:$A$100,0))=2,"OLD RATE","NO RATE"))</f>
        <v/>
      </c>
    </row>
    <row r="2957" customFormat="false" ht="15" hidden="false" customHeight="true" outlineLevel="0" collapsed="false">
      <c r="D2957" s="22" t="s">
        <v>825</v>
      </c>
      <c r="J2957" s="23" t="n">
        <f aca="false">SUMPRODUCT((B2956:B2956="Material")*F2956:F2956*G2956:G2956)</f>
        <v>0</v>
      </c>
    </row>
    <row r="2958" customFormat="false" ht="15" hidden="false" customHeight="true" outlineLevel="0" collapsed="false">
      <c r="D2958" s="22" t="s">
        <v>826</v>
      </c>
      <c r="J2958" s="23" t="n">
        <f aca="false">SUMIF(B2956:B2956,"Material",J2956:J2956)-J2957</f>
        <v>0</v>
      </c>
    </row>
    <row r="2959" customFormat="false" ht="15" hidden="false" customHeight="true" outlineLevel="0" collapsed="false">
      <c r="D2959" s="24" t="s">
        <v>827</v>
      </c>
      <c r="J2959" s="14" t="n">
        <f aca="false">SUMIF(B2956:B2956,"Material",J2956:J2956)</f>
        <v>0</v>
      </c>
    </row>
    <row r="2960" customFormat="false" ht="15" hidden="false" customHeight="true" outlineLevel="0" collapsed="false">
      <c r="D2960" s="24" t="s">
        <v>828</v>
      </c>
      <c r="J2960" s="14" t="n">
        <f aca="false">SUMIF(B2956:B2956,"Labour",J2956:J2956)</f>
        <v>12.181</v>
      </c>
    </row>
    <row r="2961" customFormat="false" ht="15" hidden="false" customHeight="true" outlineLevel="0" collapsed="false">
      <c r="D2961" s="24" t="s">
        <v>829</v>
      </c>
      <c r="J2961" s="14" t="n">
        <f aca="false">SUMIF(B2956:B2956,"Equipment",J2956:J2956)</f>
        <v>0</v>
      </c>
    </row>
    <row r="2962" customFormat="false" ht="15" hidden="false" customHeight="true" outlineLevel="0" collapsed="false">
      <c r="D2962" s="24" t="s">
        <v>830</v>
      </c>
      <c r="J2962" s="14" t="n">
        <f aca="false">SUMIF(B2956:B2956,"Transport",J2956:J2956)</f>
        <v>0</v>
      </c>
    </row>
    <row r="2963" customFormat="false" ht="15" hidden="false" customHeight="true" outlineLevel="0" collapsed="false">
      <c r="D2963" s="24" t="s">
        <v>831</v>
      </c>
      <c r="J2963" s="14" t="n">
        <f aca="false">J2959+J2960+J2961+J2962</f>
        <v>12.181</v>
      </c>
    </row>
    <row r="2964" customFormat="false" ht="15" hidden="false" customHeight="true" outlineLevel="0" collapsed="false">
      <c r="D2964" s="22" t="s">
        <v>832</v>
      </c>
      <c r="J2964" s="23" t="n">
        <f aca="false">J2963*OH_Site</f>
        <v>0.36543</v>
      </c>
    </row>
    <row r="2965" customFormat="false" ht="15" hidden="false" customHeight="true" outlineLevel="0" collapsed="false">
      <c r="D2965" s="22" t="s">
        <v>833</v>
      </c>
      <c r="J2965" s="23" t="n">
        <f aca="false">J2963*OH_HO</f>
        <v>0.60905</v>
      </c>
    </row>
    <row r="2966" customFormat="false" ht="15" hidden="false" customHeight="true" outlineLevel="0" collapsed="false">
      <c r="D2966" s="22" t="s">
        <v>834</v>
      </c>
      <c r="J2966" s="23" t="n">
        <f aca="false">J2963*Profit</f>
        <v>1.2181</v>
      </c>
    </row>
    <row r="2967" customFormat="false" ht="15" hidden="false" customHeight="true" outlineLevel="0" collapsed="false">
      <c r="D2967" s="24" t="s">
        <v>835</v>
      </c>
      <c r="J2967" s="14" t="n">
        <f aca="false">J2963+J2964+J2965+J2966</f>
        <v>14.37358</v>
      </c>
    </row>
    <row r="2968" customFormat="false" ht="15" hidden="false" customHeight="true" outlineLevel="0" collapsed="false">
      <c r="D2968" s="22" t="s">
        <v>836</v>
      </c>
      <c r="J2968" s="23" t="n">
        <f aca="false">IF(Tax_On="Yes",J2967*N(Tax_Rate),0)</f>
        <v>0</v>
      </c>
    </row>
    <row r="2969" customFormat="false" ht="15" hidden="false" customHeight="true" outlineLevel="0" collapsed="false">
      <c r="D2969" s="24" t="s">
        <v>895</v>
      </c>
      <c r="J2969" s="14" t="n">
        <f aca="false">ROUND(J2967+J2968,0)</f>
        <v>14</v>
      </c>
    </row>
    <row r="2970" customFormat="false" ht="15" hidden="false" customHeight="true" outlineLevel="0" collapsed="false">
      <c r="D2970" s="25" t="s">
        <v>838</v>
      </c>
      <c r="J2970" s="26" t="n">
        <f aca="false">COUNTIF(K2956:K2956,"NO RATE")+COUNTIF(K2956:K2956,"OLD RATE")</f>
        <v>0</v>
      </c>
    </row>
    <row r="2972" customFormat="false" ht="84.75" hidden="false" customHeight="true" outlineLevel="0" collapsed="false">
      <c r="A2972" s="4" t="s">
        <v>687</v>
      </c>
      <c r="B2972" s="16" t="s">
        <v>690</v>
      </c>
      <c r="C2972" s="27"/>
      <c r="D2972" s="27"/>
      <c r="E2972" s="27"/>
      <c r="F2972" s="27"/>
      <c r="G2972" s="27"/>
      <c r="H2972" s="27"/>
      <c r="I2972" s="28"/>
      <c r="J2972" s="4" t="s">
        <v>1061</v>
      </c>
      <c r="K2972" s="17"/>
    </row>
    <row r="2973" customFormat="false" ht="15" hidden="false" customHeight="true" outlineLevel="0" collapsed="false">
      <c r="A2973" s="12" t="s">
        <v>75</v>
      </c>
      <c r="B2973" s="12" t="s">
        <v>789</v>
      </c>
      <c r="C2973" s="12" t="s">
        <v>790</v>
      </c>
      <c r="D2973" s="12" t="s">
        <v>791</v>
      </c>
      <c r="E2973" s="12" t="s">
        <v>81</v>
      </c>
      <c r="F2973" s="12" t="s">
        <v>792</v>
      </c>
      <c r="G2973" s="12" t="s">
        <v>793</v>
      </c>
      <c r="H2973" s="12" t="s">
        <v>794</v>
      </c>
      <c r="I2973" s="12" t="s">
        <v>795</v>
      </c>
      <c r="J2973" s="12" t="s">
        <v>796</v>
      </c>
      <c r="K2973" s="12" t="s">
        <v>797</v>
      </c>
    </row>
    <row r="2974" customFormat="false" ht="15" hidden="false" customHeight="true" outlineLevel="0" collapsed="false">
      <c r="A2974" s="9" t="s">
        <v>687</v>
      </c>
      <c r="B2974" s="9" t="s">
        <v>798</v>
      </c>
      <c r="C2974" s="9" t="s">
        <v>1413</v>
      </c>
      <c r="D2974" s="5" t="s">
        <v>1414</v>
      </c>
      <c r="E2974" s="9" t="s">
        <v>386</v>
      </c>
      <c r="F2974" s="18" t="n">
        <v>1</v>
      </c>
      <c r="G2974" s="13" t="n">
        <f aca="false">N(INDEX('05 MATERIAL RATE LIBRARY'!$E$5:$E$400,MATCH("GRN-QUA-HDW-000614",'05 MATERIAL RATE LIBRARY'!$A$5:$A$400,0)))</f>
        <v>364</v>
      </c>
      <c r="H2974" s="19" t="n">
        <v>0.05</v>
      </c>
      <c r="I2974" s="18" t="n">
        <f aca="false">F2974*(1+H2974)</f>
        <v>1.05</v>
      </c>
      <c r="J2974" s="13" t="n">
        <f aca="false">I2974*G2974</f>
        <v>382.2</v>
      </c>
      <c r="K2974" s="20" t="str">
        <f aca="false">IF(INDEX('05 MATERIAL RATE LIBRARY'!$M$5:$M$400,MATCH("GRN-QUA-HDW-000614",'05 MATERIAL RATE LIBRARY'!$A$5:$A$400,0))=1,"",IF(INDEX('05 MATERIAL RATE LIBRARY'!$M$5:$M$400,MATCH("GRN-QUA-HDW-000614",'05 MATERIAL RATE LIBRARY'!$A$5:$A$400,0))=2,"OLD RATE","NO RATE"))</f>
        <v>OLD RATE</v>
      </c>
    </row>
    <row r="2975" customFormat="false" ht="15" hidden="false" customHeight="true" outlineLevel="0" collapsed="false">
      <c r="A2975" s="9" t="s">
        <v>687</v>
      </c>
      <c r="B2975" s="9" t="s">
        <v>798</v>
      </c>
      <c r="C2975" s="9" t="s">
        <v>1415</v>
      </c>
      <c r="D2975" s="5" t="s">
        <v>1416</v>
      </c>
      <c r="E2975" s="9" t="s">
        <v>368</v>
      </c>
      <c r="F2975" s="18" t="n">
        <v>0.05</v>
      </c>
      <c r="G2975" s="13" t="n">
        <f aca="false">N(INDEX('05 MATERIAL RATE LIBRARY'!$E$5:$E$400,MATCH("GRN-QUA-MEP-001380",'05 MATERIAL RATE LIBRARY'!$A$5:$A$400,0)))</f>
        <v>1763</v>
      </c>
      <c r="H2975" s="19" t="n">
        <v>0</v>
      </c>
      <c r="I2975" s="18" t="n">
        <f aca="false">F2975*(1+H2975)</f>
        <v>0.05</v>
      </c>
      <c r="J2975" s="13" t="n">
        <f aca="false">I2975*G2975</f>
        <v>88.15</v>
      </c>
      <c r="K2975" s="20" t="str">
        <f aca="false">IF(INDEX('05 MATERIAL RATE LIBRARY'!$M$5:$M$400,MATCH("GRN-QUA-MEP-001380",'05 MATERIAL RATE LIBRARY'!$A$5:$A$400,0))=1,"",IF(INDEX('05 MATERIAL RATE LIBRARY'!$M$5:$M$400,MATCH("GRN-QUA-MEP-001380",'05 MATERIAL RATE LIBRARY'!$A$5:$A$400,0))=2,"OLD RATE","NO RATE"))</f>
        <v>OLD RATE</v>
      </c>
    </row>
    <row r="2976" customFormat="false" ht="15" hidden="false" customHeight="true" outlineLevel="0" collapsed="false">
      <c r="A2976" s="9" t="s">
        <v>687</v>
      </c>
      <c r="B2976" s="9" t="s">
        <v>798</v>
      </c>
      <c r="C2976" s="9" t="s">
        <v>1417</v>
      </c>
      <c r="D2976" s="5" t="s">
        <v>1418</v>
      </c>
      <c r="E2976" s="9" t="s">
        <v>368</v>
      </c>
      <c r="F2976" s="18" t="n">
        <v>0.03</v>
      </c>
      <c r="G2976" s="13" t="n">
        <f aca="false">N(INDEX('05 MATERIAL RATE LIBRARY'!$E$5:$E$400,MATCH("GRN-QUA-MEP-001381",'05 MATERIAL RATE LIBRARY'!$A$5:$A$400,0)))</f>
        <v>2435</v>
      </c>
      <c r="H2976" s="19" t="n">
        <v>0</v>
      </c>
      <c r="I2976" s="18" t="n">
        <f aca="false">F2976*(1+H2976)</f>
        <v>0.03</v>
      </c>
      <c r="J2976" s="13" t="n">
        <f aca="false">I2976*G2976</f>
        <v>73.05</v>
      </c>
      <c r="K2976" s="20" t="str">
        <f aca="false">IF(INDEX('05 MATERIAL RATE LIBRARY'!$M$5:$M$400,MATCH("GRN-QUA-MEP-001381",'05 MATERIAL RATE LIBRARY'!$A$5:$A$400,0))=1,"",IF(INDEX('05 MATERIAL RATE LIBRARY'!$M$5:$M$400,MATCH("GRN-QUA-MEP-001381",'05 MATERIAL RATE LIBRARY'!$A$5:$A$400,0))=2,"OLD RATE","NO RATE"))</f>
        <v>OLD RATE</v>
      </c>
    </row>
    <row r="2977" customFormat="false" ht="15" hidden="false" customHeight="true" outlineLevel="0" collapsed="false">
      <c r="A2977" s="9" t="s">
        <v>687</v>
      </c>
      <c r="B2977" s="9" t="s">
        <v>798</v>
      </c>
      <c r="C2977" s="9" t="s">
        <v>1132</v>
      </c>
      <c r="D2977" s="5" t="s">
        <v>1192</v>
      </c>
      <c r="E2977" s="9" t="s">
        <v>368</v>
      </c>
      <c r="F2977" s="18" t="n">
        <v>0.25</v>
      </c>
      <c r="G2977" s="13" t="n">
        <f aca="false">N(INDEX('05 MATERIAL RATE LIBRARY'!$E$5:$E$400,MATCH("MAT-CLMP",'05 MATERIAL RATE LIBRARY'!$A$5:$A$400,0)))</f>
        <v>123.1</v>
      </c>
      <c r="H2977" s="19" t="n">
        <v>0</v>
      </c>
      <c r="I2977" s="18" t="n">
        <f aca="false">F2977*(1+H2977)</f>
        <v>0.25</v>
      </c>
      <c r="J2977" s="13" t="n">
        <f aca="false">I2977*G2977</f>
        <v>30.775</v>
      </c>
      <c r="K2977" s="20" t="str">
        <f aca="false">IF(INDEX('05 MATERIAL RATE LIBRARY'!$M$5:$M$400,MATCH("MAT-CLMP",'05 MATERIAL RATE LIBRARY'!$A$5:$A$400,0))=1,"",IF(INDEX('05 MATERIAL RATE LIBRARY'!$M$5:$M$400,MATCH("MAT-CLMP",'05 MATERIAL RATE LIBRARY'!$A$5:$A$400,0))=2,"OLD RATE","NO RATE"))</f>
        <v>OLD RATE</v>
      </c>
    </row>
    <row r="2978" customFormat="false" ht="15" hidden="false" customHeight="true" outlineLevel="0" collapsed="false">
      <c r="A2978" s="9" t="s">
        <v>687</v>
      </c>
      <c r="B2978" s="9" t="s">
        <v>812</v>
      </c>
      <c r="C2978" s="9" t="s">
        <v>1134</v>
      </c>
      <c r="D2978" s="5" t="s">
        <v>1419</v>
      </c>
      <c r="E2978" s="9" t="s">
        <v>815</v>
      </c>
      <c r="F2978" s="18" t="n">
        <f aca="false">'13 PRODUCTIVITY LIBRARY'!E41/'13 PRODUCTIVITY LIBRARY'!D41</f>
        <v>0.0588235294117647</v>
      </c>
      <c r="G2978" s="13" t="n">
        <f aca="false">N(INDEX('06 LABOUR RATE LIBRARY'!$D$5:$D$100,MATCH("LAB-PLB",'06 LABOUR RATE LIBRARY'!$A$5:$A$100,0)))</f>
        <v>2600</v>
      </c>
      <c r="H2978" s="19" t="n">
        <v>0</v>
      </c>
      <c r="I2978" s="18" t="n">
        <f aca="false">F2978*(1+H2978)</f>
        <v>0.0588235294117647</v>
      </c>
      <c r="J2978" s="13" t="n">
        <f aca="false">I2978*G2978</f>
        <v>152.941176470588</v>
      </c>
      <c r="K2978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2979" customFormat="false" ht="15" hidden="false" customHeight="true" outlineLevel="0" collapsed="false">
      <c r="A2979" s="9" t="s">
        <v>687</v>
      </c>
      <c r="B2979" s="9" t="s">
        <v>812</v>
      </c>
      <c r="C2979" s="9" t="s">
        <v>816</v>
      </c>
      <c r="D2979" s="5" t="s">
        <v>1420</v>
      </c>
      <c r="E2979" s="9" t="s">
        <v>815</v>
      </c>
      <c r="F2979" s="18" t="n">
        <f aca="false">'13 PRODUCTIVITY LIBRARY'!F41/'13 PRODUCTIVITY LIBRARY'!D41</f>
        <v>0.0588235294117647</v>
      </c>
      <c r="G2979" s="13" t="n">
        <f aca="false">N(INDEX('06 LABOUR RATE LIBRARY'!$D$5:$D$100,MATCH("LAB-HLP",'06 LABOUR RATE LIBRARY'!$A$5:$A$100,0)))</f>
        <v>1538</v>
      </c>
      <c r="H2979" s="19" t="n">
        <v>0</v>
      </c>
      <c r="I2979" s="18" t="n">
        <f aca="false">F2979*(1+H2979)</f>
        <v>0.0588235294117647</v>
      </c>
      <c r="J2979" s="13" t="n">
        <f aca="false">I2979*G2979</f>
        <v>90.4705882352941</v>
      </c>
      <c r="K297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2980" customFormat="false" ht="15" hidden="false" customHeight="true" outlineLevel="0" collapsed="false">
      <c r="D2980" s="22" t="s">
        <v>825</v>
      </c>
      <c r="J2980" s="23" t="n">
        <f aca="false">SUMPRODUCT((B2974:B2979="Material")*F2974:F2979*G2974:G2979)</f>
        <v>555.975</v>
      </c>
    </row>
    <row r="2981" customFormat="false" ht="15" hidden="false" customHeight="true" outlineLevel="0" collapsed="false">
      <c r="D2981" s="22" t="s">
        <v>826</v>
      </c>
      <c r="J2981" s="23" t="n">
        <f aca="false">SUMIF(B2974:B2979,"Material",J2974:J2979)-J2980</f>
        <v>18.1999999999999</v>
      </c>
    </row>
    <row r="2982" customFormat="false" ht="15" hidden="false" customHeight="true" outlineLevel="0" collapsed="false">
      <c r="D2982" s="24" t="s">
        <v>827</v>
      </c>
      <c r="J2982" s="14" t="n">
        <f aca="false">SUMIF(B2974:B2979,"Material",J2974:J2979)</f>
        <v>574.175</v>
      </c>
    </row>
    <row r="2983" customFormat="false" ht="15" hidden="false" customHeight="true" outlineLevel="0" collapsed="false">
      <c r="D2983" s="24" t="s">
        <v>828</v>
      </c>
      <c r="J2983" s="14" t="n">
        <f aca="false">SUMIF(B2974:B2979,"Labour",J2974:J2979)</f>
        <v>243.411764705882</v>
      </c>
    </row>
    <row r="2984" customFormat="false" ht="15" hidden="false" customHeight="true" outlineLevel="0" collapsed="false">
      <c r="D2984" s="24" t="s">
        <v>829</v>
      </c>
      <c r="J2984" s="14" t="n">
        <f aca="false">SUMIF(B2974:B2979,"Equipment",J2974:J2979)</f>
        <v>0</v>
      </c>
    </row>
    <row r="2985" customFormat="false" ht="15" hidden="false" customHeight="true" outlineLevel="0" collapsed="false">
      <c r="D2985" s="24" t="s">
        <v>830</v>
      </c>
      <c r="J2985" s="14" t="n">
        <f aca="false">SUMIF(B2974:B2979,"Transport",J2974:J2979)</f>
        <v>0</v>
      </c>
    </row>
    <row r="2986" customFormat="false" ht="15" hidden="false" customHeight="true" outlineLevel="0" collapsed="false">
      <c r="D2986" s="24" t="s">
        <v>831</v>
      </c>
      <c r="J2986" s="14" t="n">
        <f aca="false">J2982+J2983+J2984+J2985</f>
        <v>817.586764705882</v>
      </c>
    </row>
    <row r="2987" customFormat="false" ht="15" hidden="false" customHeight="true" outlineLevel="0" collapsed="false">
      <c r="D2987" s="22" t="s">
        <v>832</v>
      </c>
      <c r="J2987" s="23" t="n">
        <f aca="false">J2986*OH_Site</f>
        <v>24.5276029411765</v>
      </c>
    </row>
    <row r="2988" customFormat="false" ht="15" hidden="false" customHeight="true" outlineLevel="0" collapsed="false">
      <c r="D2988" s="22" t="s">
        <v>833</v>
      </c>
      <c r="J2988" s="23" t="n">
        <f aca="false">J2986*OH_HO</f>
        <v>40.8793382352941</v>
      </c>
    </row>
    <row r="2989" customFormat="false" ht="15" hidden="false" customHeight="true" outlineLevel="0" collapsed="false">
      <c r="D2989" s="22" t="s">
        <v>834</v>
      </c>
      <c r="J2989" s="23" t="n">
        <f aca="false">J2986*Profit</f>
        <v>81.7586764705882</v>
      </c>
    </row>
    <row r="2990" customFormat="false" ht="15" hidden="false" customHeight="true" outlineLevel="0" collapsed="false">
      <c r="D2990" s="24" t="s">
        <v>835</v>
      </c>
      <c r="J2990" s="14" t="n">
        <f aca="false">J2986+J2987+J2988+J2989</f>
        <v>964.752382352941</v>
      </c>
    </row>
    <row r="2991" customFormat="false" ht="15" hidden="false" customHeight="true" outlineLevel="0" collapsed="false">
      <c r="D2991" s="22" t="s">
        <v>836</v>
      </c>
      <c r="J2991" s="23" t="n">
        <f aca="false">IF(Tax_On="Yes",J2990*N(Tax_Rate),0)</f>
        <v>0</v>
      </c>
    </row>
    <row r="2992" customFormat="false" ht="15" hidden="false" customHeight="true" outlineLevel="0" collapsed="false">
      <c r="D2992" s="24" t="s">
        <v>1069</v>
      </c>
      <c r="J2992" s="14" t="n">
        <f aca="false">ROUND(J2990+J2991,0)</f>
        <v>965</v>
      </c>
    </row>
    <row r="2993" customFormat="false" ht="15" hidden="false" customHeight="true" outlineLevel="0" collapsed="false">
      <c r="D2993" s="25" t="s">
        <v>838</v>
      </c>
      <c r="J2993" s="26" t="n">
        <f aca="false">COUNTIF(K2974:K2979,"NO RATE")+COUNTIF(K2974:K2979,"OLD RATE")</f>
        <v>4</v>
      </c>
    </row>
    <row r="2995" customFormat="false" ht="84.75" hidden="false" customHeight="true" outlineLevel="0" collapsed="false">
      <c r="A2995" s="4" t="s">
        <v>693</v>
      </c>
      <c r="B2995" s="16" t="s">
        <v>695</v>
      </c>
      <c r="C2995" s="27"/>
      <c r="D2995" s="27"/>
      <c r="E2995" s="27"/>
      <c r="F2995" s="27"/>
      <c r="G2995" s="27"/>
      <c r="H2995" s="27"/>
      <c r="I2995" s="28"/>
      <c r="J2995" s="4" t="s">
        <v>1032</v>
      </c>
      <c r="K2995" s="17"/>
    </row>
    <row r="2996" customFormat="false" ht="15" hidden="false" customHeight="true" outlineLevel="0" collapsed="false">
      <c r="A2996" s="12" t="s">
        <v>75</v>
      </c>
      <c r="B2996" s="12" t="s">
        <v>789</v>
      </c>
      <c r="C2996" s="12" t="s">
        <v>790</v>
      </c>
      <c r="D2996" s="12" t="s">
        <v>791</v>
      </c>
      <c r="E2996" s="12" t="s">
        <v>81</v>
      </c>
      <c r="F2996" s="12" t="s">
        <v>792</v>
      </c>
      <c r="G2996" s="12" t="s">
        <v>793</v>
      </c>
      <c r="H2996" s="12" t="s">
        <v>794</v>
      </c>
      <c r="I2996" s="12" t="s">
        <v>795</v>
      </c>
      <c r="J2996" s="12" t="s">
        <v>796</v>
      </c>
      <c r="K2996" s="12" t="s">
        <v>797</v>
      </c>
    </row>
    <row r="2997" customFormat="false" ht="15" hidden="false" customHeight="true" outlineLevel="0" collapsed="false">
      <c r="A2997" s="9" t="s">
        <v>693</v>
      </c>
      <c r="B2997" s="9" t="s">
        <v>798</v>
      </c>
      <c r="C2997" s="9" t="s">
        <v>1421</v>
      </c>
      <c r="D2997" s="5" t="s">
        <v>1422</v>
      </c>
      <c r="E2997" s="9" t="s">
        <v>368</v>
      </c>
      <c r="F2997" s="18" t="n">
        <v>1</v>
      </c>
      <c r="G2997" s="13" t="n">
        <f aca="false">N(INDEX('05 MATERIAL RATE LIBRARY'!$E$5:$E$400,MATCH("GRN-QUA-MEP-000939",'05 MATERIAL RATE LIBRARY'!$A$5:$A$400,0)))</f>
        <v>44179</v>
      </c>
      <c r="H2997" s="19" t="n">
        <v>0</v>
      </c>
      <c r="I2997" s="18" t="n">
        <f aca="false">F2997*(1+H2997)</f>
        <v>1</v>
      </c>
      <c r="J2997" s="13" t="n">
        <f aca="false">I2997*G2997</f>
        <v>44179</v>
      </c>
      <c r="K2997" s="20" t="str">
        <f aca="false">IF(INDEX('05 MATERIAL RATE LIBRARY'!$M$5:$M$400,MATCH("GRN-QUA-MEP-000939",'05 MATERIAL RATE LIBRARY'!$A$5:$A$400,0))=1,"",IF(INDEX('05 MATERIAL RATE LIBRARY'!$M$5:$M$400,MATCH("GRN-QUA-MEP-000939",'05 MATERIAL RATE LIBRARY'!$A$5:$A$400,0))=2,"OLD RATE","NO RATE"))</f>
        <v>OLD RATE</v>
      </c>
    </row>
    <row r="2998" customFormat="false" ht="15" hidden="false" customHeight="true" outlineLevel="0" collapsed="false">
      <c r="A2998" s="9" t="s">
        <v>693</v>
      </c>
      <c r="B2998" s="9" t="s">
        <v>812</v>
      </c>
      <c r="C2998" s="9" t="s">
        <v>1222</v>
      </c>
      <c r="D2998" s="5" t="s">
        <v>1423</v>
      </c>
      <c r="E2998" s="9" t="s">
        <v>815</v>
      </c>
      <c r="F2998" s="18" t="n">
        <v>0.5</v>
      </c>
      <c r="G2998" s="13" t="n">
        <f aca="false">N(INDEX('06 LABOUR RATE LIBRARY'!$D$5:$D$100,MATCH("LAB-PFT",'06 LABOUR RATE LIBRARY'!$A$5:$A$100,0)))</f>
        <v>2600</v>
      </c>
      <c r="H2998" s="19" t="n">
        <v>0</v>
      </c>
      <c r="I2998" s="18" t="n">
        <f aca="false">F2998*(1+H2998)</f>
        <v>0.5</v>
      </c>
      <c r="J2998" s="13" t="n">
        <f aca="false">I2998*G2998</f>
        <v>1300</v>
      </c>
      <c r="K2998" s="20" t="str">
        <f aca="false">IF(INDEX('06 LABOUR RATE LIBRARY'!$L$5:$L$100,MATCH("LAB-PFT",'06 LABOUR RATE LIBRARY'!$A$5:$A$100,0))=1,"",IF(INDEX('06 LABOUR RATE LIBRARY'!$L$5:$L$100,MATCH("LAB-PFT",'06 LABOUR RATE LIBRARY'!$A$5:$A$100,0))=2,"OLD RATE","NO RATE"))</f>
        <v/>
      </c>
    </row>
    <row r="2999" customFormat="false" ht="15" hidden="false" customHeight="true" outlineLevel="0" collapsed="false">
      <c r="A2999" s="9" t="s">
        <v>693</v>
      </c>
      <c r="B2999" s="9" t="s">
        <v>812</v>
      </c>
      <c r="C2999" s="9" t="s">
        <v>816</v>
      </c>
      <c r="D2999" s="5" t="s">
        <v>1046</v>
      </c>
      <c r="E2999" s="9" t="s">
        <v>815</v>
      </c>
      <c r="F2999" s="18" t="n">
        <v>0.5</v>
      </c>
      <c r="G2999" s="13" t="n">
        <f aca="false">N(INDEX('06 LABOUR RATE LIBRARY'!$D$5:$D$100,MATCH("LAB-HLP",'06 LABOUR RATE LIBRARY'!$A$5:$A$100,0)))</f>
        <v>1538</v>
      </c>
      <c r="H2999" s="19" t="n">
        <v>0</v>
      </c>
      <c r="I2999" s="18" t="n">
        <f aca="false">F2999*(1+H2999)</f>
        <v>0.5</v>
      </c>
      <c r="J2999" s="13" t="n">
        <f aca="false">I2999*G2999</f>
        <v>769</v>
      </c>
      <c r="K2999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000" customFormat="false" ht="15" hidden="false" customHeight="true" outlineLevel="0" collapsed="false">
      <c r="D3000" s="22" t="s">
        <v>825</v>
      </c>
      <c r="J3000" s="23" t="n">
        <f aca="false">SUMPRODUCT((B2997:B2999="Material")*F2997:F2999*G2997:G2999)</f>
        <v>44179</v>
      </c>
    </row>
    <row r="3001" customFormat="false" ht="15" hidden="false" customHeight="true" outlineLevel="0" collapsed="false">
      <c r="D3001" s="22" t="s">
        <v>826</v>
      </c>
      <c r="J3001" s="23" t="n">
        <f aca="false">SUMIF(B2997:B2999,"Material",J2997:J2999)-J3000</f>
        <v>0</v>
      </c>
    </row>
    <row r="3002" customFormat="false" ht="15" hidden="false" customHeight="true" outlineLevel="0" collapsed="false">
      <c r="D3002" s="24" t="s">
        <v>827</v>
      </c>
      <c r="J3002" s="14" t="n">
        <f aca="false">SUMIF(B2997:B2999,"Material",J2997:J2999)</f>
        <v>44179</v>
      </c>
    </row>
    <row r="3003" customFormat="false" ht="15" hidden="false" customHeight="true" outlineLevel="0" collapsed="false">
      <c r="D3003" s="24" t="s">
        <v>828</v>
      </c>
      <c r="J3003" s="14" t="n">
        <f aca="false">SUMIF(B2997:B2999,"Labour",J2997:J2999)</f>
        <v>2069</v>
      </c>
    </row>
    <row r="3004" customFormat="false" ht="15" hidden="false" customHeight="true" outlineLevel="0" collapsed="false">
      <c r="D3004" s="24" t="s">
        <v>829</v>
      </c>
      <c r="J3004" s="14" t="n">
        <f aca="false">SUMIF(B2997:B2999,"Equipment",J2997:J2999)</f>
        <v>0</v>
      </c>
    </row>
    <row r="3005" customFormat="false" ht="15" hidden="false" customHeight="true" outlineLevel="0" collapsed="false">
      <c r="D3005" s="24" t="s">
        <v>830</v>
      </c>
      <c r="J3005" s="14" t="n">
        <f aca="false">SUMIF(B2997:B2999,"Transport",J2997:J2999)</f>
        <v>0</v>
      </c>
    </row>
    <row r="3006" customFormat="false" ht="15" hidden="false" customHeight="true" outlineLevel="0" collapsed="false">
      <c r="D3006" s="24" t="s">
        <v>831</v>
      </c>
      <c r="J3006" s="14" t="n">
        <f aca="false">J3002+J3003+J3004+J3005</f>
        <v>46248</v>
      </c>
    </row>
    <row r="3007" customFormat="false" ht="15" hidden="false" customHeight="true" outlineLevel="0" collapsed="false">
      <c r="D3007" s="22" t="s">
        <v>832</v>
      </c>
      <c r="J3007" s="23" t="n">
        <f aca="false">J3006*OH_Site</f>
        <v>1387.44</v>
      </c>
    </row>
    <row r="3008" customFormat="false" ht="15" hidden="false" customHeight="true" outlineLevel="0" collapsed="false">
      <c r="D3008" s="22" t="s">
        <v>833</v>
      </c>
      <c r="J3008" s="23" t="n">
        <f aca="false">J3006*OH_HO</f>
        <v>2312.4</v>
      </c>
    </row>
    <row r="3009" customFormat="false" ht="15" hidden="false" customHeight="true" outlineLevel="0" collapsed="false">
      <c r="D3009" s="22" t="s">
        <v>834</v>
      </c>
      <c r="J3009" s="23" t="n">
        <f aca="false">J3006*Profit</f>
        <v>4624.8</v>
      </c>
    </row>
    <row r="3010" customFormat="false" ht="15" hidden="false" customHeight="true" outlineLevel="0" collapsed="false">
      <c r="D3010" s="24" t="s">
        <v>835</v>
      </c>
      <c r="J3010" s="14" t="n">
        <f aca="false">J3006+J3007+J3008+J3009</f>
        <v>54572.64</v>
      </c>
    </row>
    <row r="3011" customFormat="false" ht="15" hidden="false" customHeight="true" outlineLevel="0" collapsed="false">
      <c r="D3011" s="22" t="s">
        <v>836</v>
      </c>
      <c r="J3011" s="23" t="n">
        <f aca="false">IF(Tax_On="Yes",J3010*N(Tax_Rate),0)</f>
        <v>0</v>
      </c>
    </row>
    <row r="3012" customFormat="false" ht="15" hidden="false" customHeight="true" outlineLevel="0" collapsed="false">
      <c r="D3012" s="24" t="s">
        <v>1048</v>
      </c>
      <c r="J3012" s="14" t="n">
        <f aca="false">ROUND(J3010+J3011,0)</f>
        <v>54573</v>
      </c>
    </row>
    <row r="3013" customFormat="false" ht="15" hidden="false" customHeight="true" outlineLevel="0" collapsed="false">
      <c r="D3013" s="25" t="s">
        <v>838</v>
      </c>
      <c r="J3013" s="26" t="n">
        <f aca="false">COUNTIF(K2997:K2999,"NO RATE")+COUNTIF(K2997:K2999,"OLD RATE")</f>
        <v>1</v>
      </c>
    </row>
    <row r="3015" customFormat="false" ht="84.75" hidden="false" customHeight="true" outlineLevel="0" collapsed="false">
      <c r="A3015" s="4" t="s">
        <v>698</v>
      </c>
      <c r="B3015" s="16" t="s">
        <v>701</v>
      </c>
      <c r="C3015" s="27"/>
      <c r="D3015" s="27"/>
      <c r="E3015" s="27"/>
      <c r="F3015" s="27"/>
      <c r="G3015" s="27"/>
      <c r="H3015" s="27"/>
      <c r="I3015" s="28"/>
      <c r="J3015" s="4" t="s">
        <v>890</v>
      </c>
      <c r="K3015" s="17"/>
    </row>
    <row r="3016" customFormat="false" ht="15" hidden="false" customHeight="true" outlineLevel="0" collapsed="false">
      <c r="A3016" s="12" t="s">
        <v>75</v>
      </c>
      <c r="B3016" s="12" t="s">
        <v>789</v>
      </c>
      <c r="C3016" s="12" t="s">
        <v>790</v>
      </c>
      <c r="D3016" s="12" t="s">
        <v>791</v>
      </c>
      <c r="E3016" s="12" t="s">
        <v>81</v>
      </c>
      <c r="F3016" s="12" t="s">
        <v>792</v>
      </c>
      <c r="G3016" s="12" t="s">
        <v>793</v>
      </c>
      <c r="H3016" s="12" t="s">
        <v>794</v>
      </c>
      <c r="I3016" s="12" t="s">
        <v>795</v>
      </c>
      <c r="J3016" s="12" t="s">
        <v>796</v>
      </c>
      <c r="K3016" s="12" t="s">
        <v>797</v>
      </c>
    </row>
    <row r="3017" customFormat="false" ht="15" hidden="false" customHeight="true" outlineLevel="0" collapsed="false">
      <c r="A3017" s="9" t="s">
        <v>698</v>
      </c>
      <c r="B3017" s="9" t="s">
        <v>798</v>
      </c>
      <c r="C3017" s="9" t="s">
        <v>1424</v>
      </c>
      <c r="D3017" s="5" t="s">
        <v>1425</v>
      </c>
      <c r="E3017" s="9" t="s">
        <v>368</v>
      </c>
      <c r="F3017" s="18" t="n">
        <f aca="false">1/67.5</f>
        <v>0.0148148148148148</v>
      </c>
      <c r="G3017" s="13" t="n">
        <f aca="false">N(INDEX('05 MATERIAL RATE LIBRARY'!$E$5:$E$400,MATCH("GRN-QUA-ARC-000002",'05 MATERIAL RATE LIBRARY'!$A$5:$A$400,0)))</f>
        <v>140063</v>
      </c>
      <c r="H3017" s="19" t="n">
        <v>0</v>
      </c>
      <c r="I3017" s="18" t="n">
        <f aca="false">F3017*(1+H3017)</f>
        <v>0.0148148148148148</v>
      </c>
      <c r="J3017" s="13" t="n">
        <f aca="false">I3017*G3017</f>
        <v>2075.00740740741</v>
      </c>
      <c r="K3017" s="20" t="str">
        <f aca="false">IF(INDEX('05 MATERIAL RATE LIBRARY'!$M$5:$M$400,MATCH("GRN-QUA-ARC-000002",'05 MATERIAL RATE LIBRARY'!$A$5:$A$400,0))=1,"",IF(INDEX('05 MATERIAL RATE LIBRARY'!$M$5:$M$400,MATCH("GRN-QUA-ARC-000002",'05 MATERIAL RATE LIBRARY'!$A$5:$A$400,0))=2,"OLD RATE","NO RATE"))</f>
        <v>OLD RATE</v>
      </c>
    </row>
    <row r="3018" customFormat="false" ht="15" hidden="false" customHeight="true" outlineLevel="0" collapsed="false">
      <c r="D3018" s="22" t="s">
        <v>825</v>
      </c>
      <c r="J3018" s="23" t="n">
        <f aca="false">SUMPRODUCT((B3017:B3017="Material")*F3017:F3017*G3017:G3017)</f>
        <v>2075.00740740741</v>
      </c>
    </row>
    <row r="3019" customFormat="false" ht="15" hidden="false" customHeight="true" outlineLevel="0" collapsed="false">
      <c r="D3019" s="22" t="s">
        <v>826</v>
      </c>
      <c r="J3019" s="23" t="n">
        <f aca="false">SUMIF(B3017:B3017,"Material",J3017:J3017)-J3018</f>
        <v>0</v>
      </c>
    </row>
    <row r="3020" customFormat="false" ht="15" hidden="false" customHeight="true" outlineLevel="0" collapsed="false">
      <c r="D3020" s="24" t="s">
        <v>827</v>
      </c>
      <c r="J3020" s="14" t="n">
        <f aca="false">SUMIF(B3017:B3017,"Material",J3017:J3017)</f>
        <v>2075.00740740741</v>
      </c>
    </row>
    <row r="3021" customFormat="false" ht="15" hidden="false" customHeight="true" outlineLevel="0" collapsed="false">
      <c r="D3021" s="24" t="s">
        <v>828</v>
      </c>
      <c r="J3021" s="14" t="n">
        <f aca="false">SUMIF(B3017:B3017,"Labour",J3017:J3017)</f>
        <v>0</v>
      </c>
    </row>
    <row r="3022" customFormat="false" ht="15" hidden="false" customHeight="true" outlineLevel="0" collapsed="false">
      <c r="D3022" s="24" t="s">
        <v>829</v>
      </c>
      <c r="J3022" s="14" t="n">
        <f aca="false">SUMIF(B3017:B3017,"Equipment",J3017:J3017)</f>
        <v>0</v>
      </c>
    </row>
    <row r="3023" customFormat="false" ht="15" hidden="false" customHeight="true" outlineLevel="0" collapsed="false">
      <c r="D3023" s="24" t="s">
        <v>830</v>
      </c>
      <c r="J3023" s="14" t="n">
        <f aca="false">SUMIF(B3017:B3017,"Transport",J3017:J3017)</f>
        <v>0</v>
      </c>
    </row>
    <row r="3024" customFormat="false" ht="15" hidden="false" customHeight="true" outlineLevel="0" collapsed="false">
      <c r="D3024" s="24" t="s">
        <v>831</v>
      </c>
      <c r="J3024" s="14" t="n">
        <f aca="false">J3020+J3021+J3022+J3023</f>
        <v>2075.00740740741</v>
      </c>
    </row>
    <row r="3025" customFormat="false" ht="15" hidden="false" customHeight="true" outlineLevel="0" collapsed="false">
      <c r="D3025" s="22" t="s">
        <v>832</v>
      </c>
      <c r="J3025" s="23" t="n">
        <f aca="false">J3024*OH_Site</f>
        <v>62.2502222222222</v>
      </c>
    </row>
    <row r="3026" customFormat="false" ht="15" hidden="false" customHeight="true" outlineLevel="0" collapsed="false">
      <c r="D3026" s="22" t="s">
        <v>833</v>
      </c>
      <c r="J3026" s="23" t="n">
        <f aca="false">J3024*OH_HO</f>
        <v>103.75037037037</v>
      </c>
    </row>
    <row r="3027" customFormat="false" ht="15" hidden="false" customHeight="true" outlineLevel="0" collapsed="false">
      <c r="D3027" s="22" t="s">
        <v>834</v>
      </c>
      <c r="J3027" s="23" t="n">
        <f aca="false">J3024*Profit</f>
        <v>207.500740740741</v>
      </c>
    </row>
    <row r="3028" customFormat="false" ht="15" hidden="false" customHeight="true" outlineLevel="0" collapsed="false">
      <c r="D3028" s="24" t="s">
        <v>835</v>
      </c>
      <c r="J3028" s="14" t="n">
        <f aca="false">J3024+J3025+J3026+J3027</f>
        <v>2448.50874074074</v>
      </c>
    </row>
    <row r="3029" customFormat="false" ht="15" hidden="false" customHeight="true" outlineLevel="0" collapsed="false">
      <c r="D3029" s="22" t="s">
        <v>836</v>
      </c>
      <c r="J3029" s="23" t="n">
        <f aca="false">IF(Tax_On="Yes",J3028*N(Tax_Rate),0)</f>
        <v>0</v>
      </c>
    </row>
    <row r="3030" customFormat="false" ht="15" hidden="false" customHeight="true" outlineLevel="0" collapsed="false">
      <c r="D3030" s="24" t="s">
        <v>895</v>
      </c>
      <c r="J3030" s="14" t="n">
        <f aca="false">ROUND(J3028+J3029,0)</f>
        <v>2449</v>
      </c>
    </row>
    <row r="3031" customFormat="false" ht="15" hidden="false" customHeight="true" outlineLevel="0" collapsed="false">
      <c r="D3031" s="25" t="s">
        <v>838</v>
      </c>
      <c r="J3031" s="26" t="n">
        <f aca="false">COUNTIF(K3017:K3017,"NO RATE")+COUNTIF(K3017:K3017,"OLD RATE")</f>
        <v>1</v>
      </c>
    </row>
    <row r="3033" customFormat="false" ht="84.75" hidden="false" customHeight="true" outlineLevel="0" collapsed="false">
      <c r="A3033" s="4" t="s">
        <v>704</v>
      </c>
      <c r="B3033" s="16" t="s">
        <v>707</v>
      </c>
      <c r="C3033" s="27"/>
      <c r="D3033" s="27"/>
      <c r="E3033" s="27"/>
      <c r="F3033" s="27"/>
      <c r="G3033" s="27"/>
      <c r="H3033" s="27"/>
      <c r="I3033" s="28"/>
      <c r="J3033" s="4" t="s">
        <v>1426</v>
      </c>
      <c r="K3033" s="17"/>
    </row>
    <row r="3034" customFormat="false" ht="15" hidden="false" customHeight="true" outlineLevel="0" collapsed="false">
      <c r="A3034" s="12" t="s">
        <v>75</v>
      </c>
      <c r="B3034" s="12" t="s">
        <v>789</v>
      </c>
      <c r="C3034" s="12" t="s">
        <v>790</v>
      </c>
      <c r="D3034" s="12" t="s">
        <v>791</v>
      </c>
      <c r="E3034" s="12" t="s">
        <v>81</v>
      </c>
      <c r="F3034" s="12" t="s">
        <v>792</v>
      </c>
      <c r="G3034" s="12" t="s">
        <v>793</v>
      </c>
      <c r="H3034" s="12" t="s">
        <v>794</v>
      </c>
      <c r="I3034" s="12" t="s">
        <v>795</v>
      </c>
      <c r="J3034" s="12" t="s">
        <v>796</v>
      </c>
      <c r="K3034" s="12" t="s">
        <v>797</v>
      </c>
    </row>
    <row r="3035" customFormat="false" ht="15" hidden="false" customHeight="true" outlineLevel="0" collapsed="false">
      <c r="A3035" s="9" t="s">
        <v>704</v>
      </c>
      <c r="B3035" s="9" t="s">
        <v>798</v>
      </c>
      <c r="C3035" s="9" t="s">
        <v>1427</v>
      </c>
      <c r="D3035" s="5" t="s">
        <v>1428</v>
      </c>
      <c r="E3035" s="9" t="s">
        <v>709</v>
      </c>
      <c r="F3035" s="18" t="n">
        <v>1</v>
      </c>
      <c r="G3035" s="13" t="n">
        <f aca="false">N(INDEX('05 MATERIAL RATE LIBRARY'!$E$5:$E$400,MATCH("MAT-MOB",'05 MATERIAL RATE LIBRARY'!$A$5:$A$400,0)))</f>
        <v>500000</v>
      </c>
      <c r="H3035" s="19" t="n">
        <v>0</v>
      </c>
      <c r="I3035" s="18" t="n">
        <f aca="false">F3035*(1+H3035)</f>
        <v>1</v>
      </c>
      <c r="J3035" s="13" t="n">
        <f aca="false">I3035*G3035</f>
        <v>500000</v>
      </c>
      <c r="K3035" s="20" t="str">
        <f aca="false">IF(INDEX('05 MATERIAL RATE LIBRARY'!$M$5:$M$400,MATCH("MAT-MOB",'05 MATERIAL RATE LIBRARY'!$A$5:$A$400,0))=1,"",IF(INDEX('05 MATERIAL RATE LIBRARY'!$M$5:$M$400,MATCH("MAT-MOB",'05 MATERIAL RATE LIBRARY'!$A$5:$A$400,0))=2,"OLD RATE","NO RATE"))</f>
        <v/>
      </c>
    </row>
    <row r="3036" customFormat="false" ht="15" hidden="false" customHeight="true" outlineLevel="0" collapsed="false">
      <c r="D3036" s="22" t="s">
        <v>825</v>
      </c>
      <c r="J3036" s="23" t="n">
        <f aca="false">SUMPRODUCT((B3035:B3035="Material")*F3035:F3035*G3035:G3035)</f>
        <v>500000</v>
      </c>
    </row>
    <row r="3037" customFormat="false" ht="15" hidden="false" customHeight="true" outlineLevel="0" collapsed="false">
      <c r="D3037" s="22" t="s">
        <v>826</v>
      </c>
      <c r="J3037" s="23" t="n">
        <f aca="false">SUMIF(B3035:B3035,"Material",J3035:J3035)-J3036</f>
        <v>0</v>
      </c>
    </row>
    <row r="3038" customFormat="false" ht="15" hidden="false" customHeight="true" outlineLevel="0" collapsed="false">
      <c r="D3038" s="24" t="s">
        <v>827</v>
      </c>
      <c r="J3038" s="14" t="n">
        <f aca="false">SUMIF(B3035:B3035,"Material",J3035:J3035)</f>
        <v>500000</v>
      </c>
    </row>
    <row r="3039" customFormat="false" ht="15" hidden="false" customHeight="true" outlineLevel="0" collapsed="false">
      <c r="D3039" s="24" t="s">
        <v>828</v>
      </c>
      <c r="J3039" s="14" t="n">
        <f aca="false">SUMIF(B3035:B3035,"Labour",J3035:J3035)</f>
        <v>0</v>
      </c>
    </row>
    <row r="3040" customFormat="false" ht="15" hidden="false" customHeight="true" outlineLevel="0" collapsed="false">
      <c r="D3040" s="24" t="s">
        <v>829</v>
      </c>
      <c r="J3040" s="14" t="n">
        <f aca="false">SUMIF(B3035:B3035,"Equipment",J3035:J3035)</f>
        <v>0</v>
      </c>
    </row>
    <row r="3041" customFormat="false" ht="15" hidden="false" customHeight="true" outlineLevel="0" collapsed="false">
      <c r="D3041" s="24" t="s">
        <v>830</v>
      </c>
      <c r="J3041" s="14" t="n">
        <f aca="false">SUMIF(B3035:B3035,"Transport",J3035:J3035)</f>
        <v>0</v>
      </c>
    </row>
    <row r="3042" customFormat="false" ht="15" hidden="false" customHeight="true" outlineLevel="0" collapsed="false">
      <c r="D3042" s="24" t="s">
        <v>831</v>
      </c>
      <c r="J3042" s="14" t="n">
        <f aca="false">J3038+J3039+J3040+J3041</f>
        <v>500000</v>
      </c>
    </row>
    <row r="3043" customFormat="false" ht="15" hidden="false" customHeight="true" outlineLevel="0" collapsed="false">
      <c r="D3043" s="22" t="s">
        <v>832</v>
      </c>
      <c r="J3043" s="23" t="n">
        <f aca="false">J3042*OH_Site</f>
        <v>15000</v>
      </c>
    </row>
    <row r="3044" customFormat="false" ht="15" hidden="false" customHeight="true" outlineLevel="0" collapsed="false">
      <c r="D3044" s="22" t="s">
        <v>833</v>
      </c>
      <c r="J3044" s="23" t="n">
        <f aca="false">J3042*OH_HO</f>
        <v>25000</v>
      </c>
    </row>
    <row r="3045" customFormat="false" ht="15" hidden="false" customHeight="true" outlineLevel="0" collapsed="false">
      <c r="D3045" s="22" t="s">
        <v>834</v>
      </c>
      <c r="J3045" s="23" t="n">
        <f aca="false">J3042*Profit</f>
        <v>50000</v>
      </c>
    </row>
    <row r="3046" customFormat="false" ht="15" hidden="false" customHeight="true" outlineLevel="0" collapsed="false">
      <c r="D3046" s="24" t="s">
        <v>835</v>
      </c>
      <c r="J3046" s="14" t="n">
        <f aca="false">J3042+J3043+J3044+J3045</f>
        <v>590000</v>
      </c>
    </row>
    <row r="3047" customFormat="false" ht="15" hidden="false" customHeight="true" outlineLevel="0" collapsed="false">
      <c r="D3047" s="22" t="s">
        <v>836</v>
      </c>
      <c r="J3047" s="23" t="n">
        <f aca="false">IF(Tax_On="Yes",J3046*N(Tax_Rate),0)</f>
        <v>0</v>
      </c>
    </row>
    <row r="3048" customFormat="false" ht="15" hidden="false" customHeight="true" outlineLevel="0" collapsed="false">
      <c r="D3048" s="24" t="s">
        <v>1429</v>
      </c>
      <c r="J3048" s="14" t="n">
        <f aca="false">ROUND(J3046+J3047,0)</f>
        <v>590000</v>
      </c>
    </row>
    <row r="3049" customFormat="false" ht="15" hidden="false" customHeight="true" outlineLevel="0" collapsed="false">
      <c r="D3049" s="25" t="s">
        <v>838</v>
      </c>
      <c r="J3049" s="26" t="n">
        <f aca="false">COUNTIF(K3035:K3035,"NO RATE")+COUNTIF(K3035:K3035,"OLD RATE")</f>
        <v>0</v>
      </c>
    </row>
    <row r="3051" customFormat="false" ht="84.75" hidden="false" customHeight="true" outlineLevel="0" collapsed="false">
      <c r="A3051" s="4" t="s">
        <v>711</v>
      </c>
      <c r="B3051" s="16" t="s">
        <v>713</v>
      </c>
      <c r="C3051" s="27"/>
      <c r="D3051" s="27"/>
      <c r="E3051" s="27"/>
      <c r="F3051" s="27"/>
      <c r="G3051" s="27"/>
      <c r="H3051" s="27"/>
      <c r="I3051" s="28"/>
      <c r="J3051" s="4" t="s">
        <v>1426</v>
      </c>
      <c r="K3051" s="17"/>
    </row>
    <row r="3052" customFormat="false" ht="15" hidden="false" customHeight="true" outlineLevel="0" collapsed="false">
      <c r="A3052" s="12" t="s">
        <v>75</v>
      </c>
      <c r="B3052" s="12" t="s">
        <v>789</v>
      </c>
      <c r="C3052" s="12" t="s">
        <v>790</v>
      </c>
      <c r="D3052" s="12" t="s">
        <v>791</v>
      </c>
      <c r="E3052" s="12" t="s">
        <v>81</v>
      </c>
      <c r="F3052" s="12" t="s">
        <v>792</v>
      </c>
      <c r="G3052" s="12" t="s">
        <v>793</v>
      </c>
      <c r="H3052" s="12" t="s">
        <v>794</v>
      </c>
      <c r="I3052" s="12" t="s">
        <v>795</v>
      </c>
      <c r="J3052" s="12" t="s">
        <v>796</v>
      </c>
      <c r="K3052" s="12" t="s">
        <v>797</v>
      </c>
    </row>
    <row r="3053" customFormat="false" ht="15" hidden="false" customHeight="true" outlineLevel="0" collapsed="false">
      <c r="A3053" s="9" t="s">
        <v>711</v>
      </c>
      <c r="B3053" s="9" t="s">
        <v>798</v>
      </c>
      <c r="C3053" s="9" t="s">
        <v>1430</v>
      </c>
      <c r="D3053" s="5" t="s">
        <v>1428</v>
      </c>
      <c r="E3053" s="9" t="s">
        <v>709</v>
      </c>
      <c r="F3053" s="18" t="n">
        <v>1</v>
      </c>
      <c r="G3053" s="13" t="n">
        <f aca="false">N(INDEX('05 MATERIAL RATE LIBRARY'!$E$5:$E$400,MATCH("MAT-SITEOFF",'05 MATERIAL RATE LIBRARY'!$A$5:$A$400,0)))</f>
        <v>1500000</v>
      </c>
      <c r="H3053" s="19" t="n">
        <v>0</v>
      </c>
      <c r="I3053" s="18" t="n">
        <f aca="false">F3053*(1+H3053)</f>
        <v>1</v>
      </c>
      <c r="J3053" s="13" t="n">
        <f aca="false">I3053*G3053</f>
        <v>1500000</v>
      </c>
      <c r="K3053" s="20" t="str">
        <f aca="false">IF(INDEX('05 MATERIAL RATE LIBRARY'!$M$5:$M$400,MATCH("MAT-SITEOFF",'05 MATERIAL RATE LIBRARY'!$A$5:$A$400,0))=1,"",IF(INDEX('05 MATERIAL RATE LIBRARY'!$M$5:$M$400,MATCH("MAT-SITEOFF",'05 MATERIAL RATE LIBRARY'!$A$5:$A$400,0))=2,"OLD RATE","NO RATE"))</f>
        <v/>
      </c>
    </row>
    <row r="3054" customFormat="false" ht="15" hidden="false" customHeight="true" outlineLevel="0" collapsed="false">
      <c r="D3054" s="22" t="s">
        <v>825</v>
      </c>
      <c r="J3054" s="23" t="n">
        <f aca="false">SUMPRODUCT((B3053:B3053="Material")*F3053:F3053*G3053:G3053)</f>
        <v>1500000</v>
      </c>
    </row>
    <row r="3055" customFormat="false" ht="15" hidden="false" customHeight="true" outlineLevel="0" collapsed="false">
      <c r="D3055" s="22" t="s">
        <v>826</v>
      </c>
      <c r="J3055" s="23" t="n">
        <f aca="false">SUMIF(B3053:B3053,"Material",J3053:J3053)-J3054</f>
        <v>0</v>
      </c>
    </row>
    <row r="3056" customFormat="false" ht="15" hidden="false" customHeight="true" outlineLevel="0" collapsed="false">
      <c r="D3056" s="24" t="s">
        <v>827</v>
      </c>
      <c r="J3056" s="14" t="n">
        <f aca="false">SUMIF(B3053:B3053,"Material",J3053:J3053)</f>
        <v>1500000</v>
      </c>
    </row>
    <row r="3057" customFormat="false" ht="15" hidden="false" customHeight="true" outlineLevel="0" collapsed="false">
      <c r="D3057" s="24" t="s">
        <v>828</v>
      </c>
      <c r="J3057" s="14" t="n">
        <f aca="false">SUMIF(B3053:B3053,"Labour",J3053:J3053)</f>
        <v>0</v>
      </c>
    </row>
    <row r="3058" customFormat="false" ht="15" hidden="false" customHeight="true" outlineLevel="0" collapsed="false">
      <c r="D3058" s="24" t="s">
        <v>829</v>
      </c>
      <c r="J3058" s="14" t="n">
        <f aca="false">SUMIF(B3053:B3053,"Equipment",J3053:J3053)</f>
        <v>0</v>
      </c>
    </row>
    <row r="3059" customFormat="false" ht="15" hidden="false" customHeight="true" outlineLevel="0" collapsed="false">
      <c r="D3059" s="24" t="s">
        <v>830</v>
      </c>
      <c r="J3059" s="14" t="n">
        <f aca="false">SUMIF(B3053:B3053,"Transport",J3053:J3053)</f>
        <v>0</v>
      </c>
    </row>
    <row r="3060" customFormat="false" ht="15" hidden="false" customHeight="true" outlineLevel="0" collapsed="false">
      <c r="D3060" s="24" t="s">
        <v>831</v>
      </c>
      <c r="J3060" s="14" t="n">
        <f aca="false">J3056+J3057+J3058+J3059</f>
        <v>1500000</v>
      </c>
    </row>
    <row r="3061" customFormat="false" ht="15" hidden="false" customHeight="true" outlineLevel="0" collapsed="false">
      <c r="D3061" s="22" t="s">
        <v>832</v>
      </c>
      <c r="J3061" s="23" t="n">
        <f aca="false">J3060*OH_Site</f>
        <v>45000</v>
      </c>
    </row>
    <row r="3062" customFormat="false" ht="15" hidden="false" customHeight="true" outlineLevel="0" collapsed="false">
      <c r="D3062" s="22" t="s">
        <v>833</v>
      </c>
      <c r="J3062" s="23" t="n">
        <f aca="false">J3060*OH_HO</f>
        <v>75000</v>
      </c>
    </row>
    <row r="3063" customFormat="false" ht="15" hidden="false" customHeight="true" outlineLevel="0" collapsed="false">
      <c r="D3063" s="22" t="s">
        <v>834</v>
      </c>
      <c r="J3063" s="23" t="n">
        <f aca="false">J3060*Profit</f>
        <v>150000</v>
      </c>
    </row>
    <row r="3064" customFormat="false" ht="15" hidden="false" customHeight="true" outlineLevel="0" collapsed="false">
      <c r="D3064" s="24" t="s">
        <v>835</v>
      </c>
      <c r="J3064" s="14" t="n">
        <f aca="false">J3060+J3061+J3062+J3063</f>
        <v>1770000</v>
      </c>
    </row>
    <row r="3065" customFormat="false" ht="15" hidden="false" customHeight="true" outlineLevel="0" collapsed="false">
      <c r="D3065" s="22" t="s">
        <v>836</v>
      </c>
      <c r="J3065" s="23" t="n">
        <f aca="false">IF(Tax_On="Yes",J3064*N(Tax_Rate),0)</f>
        <v>0</v>
      </c>
    </row>
    <row r="3066" customFormat="false" ht="15" hidden="false" customHeight="true" outlineLevel="0" collapsed="false">
      <c r="D3066" s="24" t="s">
        <v>1429</v>
      </c>
      <c r="J3066" s="14" t="n">
        <f aca="false">ROUND(J3064+J3065,0)</f>
        <v>1770000</v>
      </c>
    </row>
    <row r="3067" customFormat="false" ht="15" hidden="false" customHeight="true" outlineLevel="0" collapsed="false">
      <c r="D3067" s="25" t="s">
        <v>838</v>
      </c>
      <c r="J3067" s="26" t="n">
        <f aca="false">COUNTIF(K3053:K3053,"NO RATE")+COUNTIF(K3053:K3053,"OLD RATE")</f>
        <v>0</v>
      </c>
    </row>
    <row r="3069" customFormat="false" ht="95.25" hidden="false" customHeight="true" outlineLevel="0" collapsed="false">
      <c r="A3069" s="4" t="s">
        <v>714</v>
      </c>
      <c r="B3069" s="16" t="s">
        <v>716</v>
      </c>
      <c r="C3069" s="27"/>
      <c r="D3069" s="27"/>
      <c r="E3069" s="27"/>
      <c r="F3069" s="27"/>
      <c r="G3069" s="27"/>
      <c r="H3069" s="27"/>
      <c r="I3069" s="28"/>
      <c r="J3069" s="4" t="s">
        <v>1431</v>
      </c>
      <c r="K3069" s="17"/>
    </row>
    <row r="3070" customFormat="false" ht="15" hidden="false" customHeight="true" outlineLevel="0" collapsed="false">
      <c r="A3070" s="12" t="s">
        <v>75</v>
      </c>
      <c r="B3070" s="12" t="s">
        <v>789</v>
      </c>
      <c r="C3070" s="12" t="s">
        <v>790</v>
      </c>
      <c r="D3070" s="12" t="s">
        <v>791</v>
      </c>
      <c r="E3070" s="12" t="s">
        <v>81</v>
      </c>
      <c r="F3070" s="12" t="s">
        <v>792</v>
      </c>
      <c r="G3070" s="12" t="s">
        <v>793</v>
      </c>
      <c r="H3070" s="12" t="s">
        <v>794</v>
      </c>
      <c r="I3070" s="12" t="s">
        <v>795</v>
      </c>
      <c r="J3070" s="12" t="s">
        <v>796</v>
      </c>
      <c r="K3070" s="12" t="s">
        <v>797</v>
      </c>
    </row>
    <row r="3071" customFormat="false" ht="15" hidden="false" customHeight="true" outlineLevel="0" collapsed="false">
      <c r="A3071" s="9" t="s">
        <v>714</v>
      </c>
      <c r="B3071" s="9" t="s">
        <v>798</v>
      </c>
      <c r="C3071" s="9" t="s">
        <v>1432</v>
      </c>
      <c r="D3071" s="5" t="s">
        <v>1428</v>
      </c>
      <c r="E3071" s="9" t="s">
        <v>717</v>
      </c>
      <c r="F3071" s="18" t="n">
        <v>1</v>
      </c>
      <c r="G3071" s="13" t="n">
        <f aca="false">N(INDEX('05 MATERIAL RATE LIBRARY'!$E$5:$E$400,MATCH("MAT-TEMPSVC",'05 MATERIAL RATE LIBRARY'!$A$5:$A$400,0)))</f>
        <v>150000</v>
      </c>
      <c r="H3071" s="19" t="n">
        <v>0</v>
      </c>
      <c r="I3071" s="18" t="n">
        <f aca="false">F3071*(1+H3071)</f>
        <v>1</v>
      </c>
      <c r="J3071" s="13" t="n">
        <f aca="false">I3071*G3071</f>
        <v>150000</v>
      </c>
      <c r="K3071" s="20" t="str">
        <f aca="false">IF(INDEX('05 MATERIAL RATE LIBRARY'!$M$5:$M$400,MATCH("MAT-TEMPSVC",'05 MATERIAL RATE LIBRARY'!$A$5:$A$400,0))=1,"",IF(INDEX('05 MATERIAL RATE LIBRARY'!$M$5:$M$400,MATCH("MAT-TEMPSVC",'05 MATERIAL RATE LIBRARY'!$A$5:$A$400,0))=2,"OLD RATE","NO RATE"))</f>
        <v/>
      </c>
    </row>
    <row r="3072" customFormat="false" ht="15" hidden="false" customHeight="true" outlineLevel="0" collapsed="false">
      <c r="D3072" s="22" t="s">
        <v>825</v>
      </c>
      <c r="J3072" s="23" t="n">
        <f aca="false">SUMPRODUCT((B3071:B3071="Material")*F3071:F3071*G3071:G3071)</f>
        <v>150000</v>
      </c>
    </row>
    <row r="3073" customFormat="false" ht="15" hidden="false" customHeight="true" outlineLevel="0" collapsed="false">
      <c r="D3073" s="22" t="s">
        <v>826</v>
      </c>
      <c r="J3073" s="23" t="n">
        <f aca="false">SUMIF(B3071:B3071,"Material",J3071:J3071)-J3072</f>
        <v>0</v>
      </c>
    </row>
    <row r="3074" customFormat="false" ht="15" hidden="false" customHeight="true" outlineLevel="0" collapsed="false">
      <c r="D3074" s="24" t="s">
        <v>827</v>
      </c>
      <c r="J3074" s="14" t="n">
        <f aca="false">SUMIF(B3071:B3071,"Material",J3071:J3071)</f>
        <v>150000</v>
      </c>
    </row>
    <row r="3075" customFormat="false" ht="15" hidden="false" customHeight="true" outlineLevel="0" collapsed="false">
      <c r="D3075" s="24" t="s">
        <v>828</v>
      </c>
      <c r="J3075" s="14" t="n">
        <f aca="false">SUMIF(B3071:B3071,"Labour",J3071:J3071)</f>
        <v>0</v>
      </c>
    </row>
    <row r="3076" customFormat="false" ht="15" hidden="false" customHeight="true" outlineLevel="0" collapsed="false">
      <c r="D3076" s="24" t="s">
        <v>829</v>
      </c>
      <c r="J3076" s="14" t="n">
        <f aca="false">SUMIF(B3071:B3071,"Equipment",J3071:J3071)</f>
        <v>0</v>
      </c>
    </row>
    <row r="3077" customFormat="false" ht="15" hidden="false" customHeight="true" outlineLevel="0" collapsed="false">
      <c r="D3077" s="24" t="s">
        <v>830</v>
      </c>
      <c r="J3077" s="14" t="n">
        <f aca="false">SUMIF(B3071:B3071,"Transport",J3071:J3071)</f>
        <v>0</v>
      </c>
    </row>
    <row r="3078" customFormat="false" ht="15" hidden="false" customHeight="true" outlineLevel="0" collapsed="false">
      <c r="D3078" s="24" t="s">
        <v>831</v>
      </c>
      <c r="J3078" s="14" t="n">
        <f aca="false">J3074+J3075+J3076+J3077</f>
        <v>150000</v>
      </c>
    </row>
    <row r="3079" customFormat="false" ht="15" hidden="false" customHeight="true" outlineLevel="0" collapsed="false">
      <c r="D3079" s="22" t="s">
        <v>832</v>
      </c>
      <c r="J3079" s="23" t="n">
        <f aca="false">J3078*OH_Site</f>
        <v>4500</v>
      </c>
    </row>
    <row r="3080" customFormat="false" ht="15" hidden="false" customHeight="true" outlineLevel="0" collapsed="false">
      <c r="D3080" s="22" t="s">
        <v>833</v>
      </c>
      <c r="J3080" s="23" t="n">
        <f aca="false">J3078*OH_HO</f>
        <v>7500</v>
      </c>
    </row>
    <row r="3081" customFormat="false" ht="15" hidden="false" customHeight="true" outlineLevel="0" collapsed="false">
      <c r="D3081" s="22" t="s">
        <v>834</v>
      </c>
      <c r="J3081" s="23" t="n">
        <f aca="false">J3078*Profit</f>
        <v>15000</v>
      </c>
    </row>
    <row r="3082" customFormat="false" ht="15" hidden="false" customHeight="true" outlineLevel="0" collapsed="false">
      <c r="D3082" s="24" t="s">
        <v>835</v>
      </c>
      <c r="J3082" s="14" t="n">
        <f aca="false">J3078+J3079+J3080+J3081</f>
        <v>177000</v>
      </c>
    </row>
    <row r="3083" customFormat="false" ht="15" hidden="false" customHeight="true" outlineLevel="0" collapsed="false">
      <c r="D3083" s="22" t="s">
        <v>836</v>
      </c>
      <c r="J3083" s="23" t="n">
        <f aca="false">IF(Tax_On="Yes",J3082*N(Tax_Rate),0)</f>
        <v>0</v>
      </c>
    </row>
    <row r="3084" customFormat="false" ht="15" hidden="false" customHeight="true" outlineLevel="0" collapsed="false">
      <c r="D3084" s="24" t="s">
        <v>1433</v>
      </c>
      <c r="J3084" s="14" t="n">
        <f aca="false">ROUND(J3082+J3083,0)</f>
        <v>177000</v>
      </c>
    </row>
    <row r="3085" customFormat="false" ht="15" hidden="false" customHeight="true" outlineLevel="0" collapsed="false">
      <c r="D3085" s="25" t="s">
        <v>838</v>
      </c>
      <c r="J3085" s="26" t="n">
        <f aca="false">COUNTIF(K3071:K3071,"NO RATE")+COUNTIF(K3071:K3071,"OLD RATE")</f>
        <v>0</v>
      </c>
    </row>
    <row r="3087" customFormat="false" ht="95.25" hidden="false" customHeight="true" outlineLevel="0" collapsed="false">
      <c r="A3087" s="4" t="s">
        <v>719</v>
      </c>
      <c r="B3087" s="16" t="s">
        <v>721</v>
      </c>
      <c r="C3087" s="27"/>
      <c r="D3087" s="27"/>
      <c r="E3087" s="27"/>
      <c r="F3087" s="27"/>
      <c r="G3087" s="27"/>
      <c r="H3087" s="27"/>
      <c r="I3087" s="28"/>
      <c r="J3087" s="4" t="s">
        <v>1032</v>
      </c>
      <c r="K3087" s="17"/>
    </row>
    <row r="3088" customFormat="false" ht="15" hidden="false" customHeight="true" outlineLevel="0" collapsed="false">
      <c r="A3088" s="12" t="s">
        <v>75</v>
      </c>
      <c r="B3088" s="12" t="s">
        <v>789</v>
      </c>
      <c r="C3088" s="12" t="s">
        <v>790</v>
      </c>
      <c r="D3088" s="12" t="s">
        <v>791</v>
      </c>
      <c r="E3088" s="12" t="s">
        <v>81</v>
      </c>
      <c r="F3088" s="12" t="s">
        <v>792</v>
      </c>
      <c r="G3088" s="12" t="s">
        <v>793</v>
      </c>
      <c r="H3088" s="12" t="s">
        <v>794</v>
      </c>
      <c r="I3088" s="12" t="s">
        <v>795</v>
      </c>
      <c r="J3088" s="12" t="s">
        <v>796</v>
      </c>
      <c r="K3088" s="12" t="s">
        <v>797</v>
      </c>
    </row>
    <row r="3089" customFormat="false" ht="15" hidden="false" customHeight="true" outlineLevel="0" collapsed="false">
      <c r="A3089" s="9" t="s">
        <v>719</v>
      </c>
      <c r="B3089" s="9" t="s">
        <v>798</v>
      </c>
      <c r="C3089" s="9" t="s">
        <v>1434</v>
      </c>
      <c r="D3089" s="5" t="s">
        <v>1428</v>
      </c>
      <c r="E3089" s="9" t="s">
        <v>368</v>
      </c>
      <c r="F3089" s="18" t="n">
        <v>1</v>
      </c>
      <c r="G3089" s="13" t="n">
        <f aca="false">N(INDEX('05 MATERIAL RATE LIBRARY'!$E$5:$E$400,MATCH("MAT-CUBE",'05 MATERIAL RATE LIBRARY'!$A$5:$A$400,0)))</f>
        <v>4500</v>
      </c>
      <c r="H3089" s="19" t="n">
        <v>0</v>
      </c>
      <c r="I3089" s="18" t="n">
        <f aca="false">F3089*(1+H3089)</f>
        <v>1</v>
      </c>
      <c r="J3089" s="13" t="n">
        <f aca="false">I3089*G3089</f>
        <v>4500</v>
      </c>
      <c r="K3089" s="20" t="str">
        <f aca="false">IF(INDEX('05 MATERIAL RATE LIBRARY'!$M$5:$M$400,MATCH("MAT-CUBE",'05 MATERIAL RATE LIBRARY'!$A$5:$A$400,0))=1,"",IF(INDEX('05 MATERIAL RATE LIBRARY'!$M$5:$M$400,MATCH("MAT-CUBE",'05 MATERIAL RATE LIBRARY'!$A$5:$A$400,0))=2,"OLD RATE","NO RATE"))</f>
        <v/>
      </c>
    </row>
    <row r="3090" customFormat="false" ht="15" hidden="false" customHeight="true" outlineLevel="0" collapsed="false">
      <c r="D3090" s="22" t="s">
        <v>825</v>
      </c>
      <c r="J3090" s="23" t="n">
        <f aca="false">SUMPRODUCT((B3089:B3089="Material")*F3089:F3089*G3089:G3089)</f>
        <v>4500</v>
      </c>
    </row>
    <row r="3091" customFormat="false" ht="15" hidden="false" customHeight="true" outlineLevel="0" collapsed="false">
      <c r="D3091" s="22" t="s">
        <v>826</v>
      </c>
      <c r="J3091" s="23" t="n">
        <f aca="false">SUMIF(B3089:B3089,"Material",J3089:J3089)-J3090</f>
        <v>0</v>
      </c>
    </row>
    <row r="3092" customFormat="false" ht="15" hidden="false" customHeight="true" outlineLevel="0" collapsed="false">
      <c r="D3092" s="24" t="s">
        <v>827</v>
      </c>
      <c r="J3092" s="14" t="n">
        <f aca="false">SUMIF(B3089:B3089,"Material",J3089:J3089)</f>
        <v>4500</v>
      </c>
    </row>
    <row r="3093" customFormat="false" ht="15" hidden="false" customHeight="true" outlineLevel="0" collapsed="false">
      <c r="D3093" s="24" t="s">
        <v>828</v>
      </c>
      <c r="J3093" s="14" t="n">
        <f aca="false">SUMIF(B3089:B3089,"Labour",J3089:J3089)</f>
        <v>0</v>
      </c>
    </row>
    <row r="3094" customFormat="false" ht="15" hidden="false" customHeight="true" outlineLevel="0" collapsed="false">
      <c r="D3094" s="24" t="s">
        <v>829</v>
      </c>
      <c r="J3094" s="14" t="n">
        <f aca="false">SUMIF(B3089:B3089,"Equipment",J3089:J3089)</f>
        <v>0</v>
      </c>
    </row>
    <row r="3095" customFormat="false" ht="15" hidden="false" customHeight="true" outlineLevel="0" collapsed="false">
      <c r="D3095" s="24" t="s">
        <v>830</v>
      </c>
      <c r="J3095" s="14" t="n">
        <f aca="false">SUMIF(B3089:B3089,"Transport",J3089:J3089)</f>
        <v>0</v>
      </c>
    </row>
    <row r="3096" customFormat="false" ht="15" hidden="false" customHeight="true" outlineLevel="0" collapsed="false">
      <c r="D3096" s="24" t="s">
        <v>831</v>
      </c>
      <c r="J3096" s="14" t="n">
        <f aca="false">J3092+J3093+J3094+J3095</f>
        <v>4500</v>
      </c>
    </row>
    <row r="3097" customFormat="false" ht="15" hidden="false" customHeight="true" outlineLevel="0" collapsed="false">
      <c r="D3097" s="22" t="s">
        <v>832</v>
      </c>
      <c r="J3097" s="23" t="n">
        <f aca="false">J3096*OH_Site</f>
        <v>135</v>
      </c>
    </row>
    <row r="3098" customFormat="false" ht="15" hidden="false" customHeight="true" outlineLevel="0" collapsed="false">
      <c r="D3098" s="22" t="s">
        <v>833</v>
      </c>
      <c r="J3098" s="23" t="n">
        <f aca="false">J3096*OH_HO</f>
        <v>225</v>
      </c>
    </row>
    <row r="3099" customFormat="false" ht="15" hidden="false" customHeight="true" outlineLevel="0" collapsed="false">
      <c r="D3099" s="22" t="s">
        <v>834</v>
      </c>
      <c r="J3099" s="23" t="n">
        <f aca="false">J3096*Profit</f>
        <v>450</v>
      </c>
    </row>
    <row r="3100" customFormat="false" ht="15" hidden="false" customHeight="true" outlineLevel="0" collapsed="false">
      <c r="D3100" s="24" t="s">
        <v>835</v>
      </c>
      <c r="J3100" s="14" t="n">
        <f aca="false">J3096+J3097+J3098+J3099</f>
        <v>5310</v>
      </c>
    </row>
    <row r="3101" customFormat="false" ht="15" hidden="false" customHeight="true" outlineLevel="0" collapsed="false">
      <c r="D3101" s="22" t="s">
        <v>836</v>
      </c>
      <c r="J3101" s="23" t="n">
        <f aca="false">IF(Tax_On="Yes",J3100*N(Tax_Rate),0)</f>
        <v>0</v>
      </c>
    </row>
    <row r="3102" customFormat="false" ht="15" hidden="false" customHeight="true" outlineLevel="0" collapsed="false">
      <c r="D3102" s="24" t="s">
        <v>1048</v>
      </c>
      <c r="J3102" s="14" t="n">
        <f aca="false">ROUND(J3100+J3101,0)</f>
        <v>5310</v>
      </c>
    </row>
    <row r="3103" customFormat="false" ht="15" hidden="false" customHeight="true" outlineLevel="0" collapsed="false">
      <c r="D3103" s="25" t="s">
        <v>838</v>
      </c>
      <c r="J3103" s="26" t="n">
        <f aca="false">COUNTIF(K3089:K3089,"NO RATE")+COUNTIF(K3089:K3089,"OLD RATE")</f>
        <v>0</v>
      </c>
    </row>
    <row r="3105" customFormat="false" ht="84.75" hidden="false" customHeight="true" outlineLevel="0" collapsed="false">
      <c r="A3105" s="4" t="s">
        <v>722</v>
      </c>
      <c r="B3105" s="16" t="s">
        <v>724</v>
      </c>
      <c r="C3105" s="27"/>
      <c r="D3105" s="27"/>
      <c r="E3105" s="27"/>
      <c r="F3105" s="27"/>
      <c r="G3105" s="27"/>
      <c r="H3105" s="27"/>
      <c r="I3105" s="28"/>
      <c r="J3105" s="4" t="s">
        <v>890</v>
      </c>
      <c r="K3105" s="17"/>
    </row>
    <row r="3106" customFormat="false" ht="15" hidden="false" customHeight="true" outlineLevel="0" collapsed="false">
      <c r="A3106" s="12" t="s">
        <v>75</v>
      </c>
      <c r="B3106" s="12" t="s">
        <v>789</v>
      </c>
      <c r="C3106" s="12" t="s">
        <v>790</v>
      </c>
      <c r="D3106" s="12" t="s">
        <v>791</v>
      </c>
      <c r="E3106" s="12" t="s">
        <v>81</v>
      </c>
      <c r="F3106" s="12" t="s">
        <v>792</v>
      </c>
      <c r="G3106" s="12" t="s">
        <v>793</v>
      </c>
      <c r="H3106" s="12" t="s">
        <v>794</v>
      </c>
      <c r="I3106" s="12" t="s">
        <v>795</v>
      </c>
      <c r="J3106" s="12" t="s">
        <v>796</v>
      </c>
      <c r="K3106" s="12" t="s">
        <v>797</v>
      </c>
    </row>
    <row r="3107" customFormat="false" ht="15" hidden="false" customHeight="true" outlineLevel="0" collapsed="false">
      <c r="A3107" s="9" t="s">
        <v>722</v>
      </c>
      <c r="B3107" s="9" t="s">
        <v>798</v>
      </c>
      <c r="C3107" s="9" t="s">
        <v>1435</v>
      </c>
      <c r="D3107" s="5" t="s">
        <v>1428</v>
      </c>
      <c r="E3107" s="9" t="s">
        <v>212</v>
      </c>
      <c r="F3107" s="18" t="n">
        <v>1</v>
      </c>
      <c r="G3107" s="13" t="n">
        <f aca="false">N(INDEX('05 MATERIAL RATE LIBRARY'!$E$5:$E$400,MATCH("MAT-CLEAN",'05 MATERIAL RATE LIBRARY'!$A$5:$A$400,0)))</f>
        <v>6</v>
      </c>
      <c r="H3107" s="19" t="n">
        <v>0</v>
      </c>
      <c r="I3107" s="18" t="n">
        <f aca="false">F3107*(1+H3107)</f>
        <v>1</v>
      </c>
      <c r="J3107" s="13" t="n">
        <f aca="false">I3107*G3107</f>
        <v>6</v>
      </c>
      <c r="K3107" s="20" t="str">
        <f aca="false">IF(INDEX('05 MATERIAL RATE LIBRARY'!$M$5:$M$400,MATCH("MAT-CLEAN",'05 MATERIAL RATE LIBRARY'!$A$5:$A$400,0))=1,"",IF(INDEX('05 MATERIAL RATE LIBRARY'!$M$5:$M$400,MATCH("MAT-CLEAN",'05 MATERIAL RATE LIBRARY'!$A$5:$A$400,0))=2,"OLD RATE","NO RATE"))</f>
        <v/>
      </c>
    </row>
    <row r="3108" customFormat="false" ht="15" hidden="false" customHeight="true" outlineLevel="0" collapsed="false">
      <c r="D3108" s="22" t="s">
        <v>825</v>
      </c>
      <c r="J3108" s="23" t="n">
        <f aca="false">SUMPRODUCT((B3107:B3107="Material")*F3107:F3107*G3107:G3107)</f>
        <v>6</v>
      </c>
    </row>
    <row r="3109" customFormat="false" ht="15" hidden="false" customHeight="true" outlineLevel="0" collapsed="false">
      <c r="D3109" s="22" t="s">
        <v>826</v>
      </c>
      <c r="J3109" s="23" t="n">
        <f aca="false">SUMIF(B3107:B3107,"Material",J3107:J3107)-J3108</f>
        <v>0</v>
      </c>
    </row>
    <row r="3110" customFormat="false" ht="15" hidden="false" customHeight="true" outlineLevel="0" collapsed="false">
      <c r="D3110" s="24" t="s">
        <v>827</v>
      </c>
      <c r="J3110" s="14" t="n">
        <f aca="false">SUMIF(B3107:B3107,"Material",J3107:J3107)</f>
        <v>6</v>
      </c>
    </row>
    <row r="3111" customFormat="false" ht="15" hidden="false" customHeight="true" outlineLevel="0" collapsed="false">
      <c r="D3111" s="24" t="s">
        <v>828</v>
      </c>
      <c r="J3111" s="14" t="n">
        <f aca="false">SUMIF(B3107:B3107,"Labour",J3107:J3107)</f>
        <v>0</v>
      </c>
    </row>
    <row r="3112" customFormat="false" ht="15" hidden="false" customHeight="true" outlineLevel="0" collapsed="false">
      <c r="D3112" s="24" t="s">
        <v>829</v>
      </c>
      <c r="J3112" s="14" t="n">
        <f aca="false">SUMIF(B3107:B3107,"Equipment",J3107:J3107)</f>
        <v>0</v>
      </c>
    </row>
    <row r="3113" customFormat="false" ht="15" hidden="false" customHeight="true" outlineLevel="0" collapsed="false">
      <c r="D3113" s="24" t="s">
        <v>830</v>
      </c>
      <c r="J3113" s="14" t="n">
        <f aca="false">SUMIF(B3107:B3107,"Transport",J3107:J3107)</f>
        <v>0</v>
      </c>
    </row>
    <row r="3114" customFormat="false" ht="15" hidden="false" customHeight="true" outlineLevel="0" collapsed="false">
      <c r="D3114" s="24" t="s">
        <v>831</v>
      </c>
      <c r="J3114" s="14" t="n">
        <f aca="false">J3110+J3111+J3112+J3113</f>
        <v>6</v>
      </c>
    </row>
    <row r="3115" customFormat="false" ht="15" hidden="false" customHeight="true" outlineLevel="0" collapsed="false">
      <c r="D3115" s="22" t="s">
        <v>832</v>
      </c>
      <c r="J3115" s="23" t="n">
        <f aca="false">J3114*OH_Site</f>
        <v>0.18</v>
      </c>
    </row>
    <row r="3116" customFormat="false" ht="15" hidden="false" customHeight="true" outlineLevel="0" collapsed="false">
      <c r="D3116" s="22" t="s">
        <v>833</v>
      </c>
      <c r="J3116" s="23" t="n">
        <f aca="false">J3114*OH_HO</f>
        <v>0.3</v>
      </c>
    </row>
    <row r="3117" customFormat="false" ht="15" hidden="false" customHeight="true" outlineLevel="0" collapsed="false">
      <c r="D3117" s="22" t="s">
        <v>834</v>
      </c>
      <c r="J3117" s="23" t="n">
        <f aca="false">J3114*Profit</f>
        <v>0.6</v>
      </c>
    </row>
    <row r="3118" customFormat="false" ht="15" hidden="false" customHeight="true" outlineLevel="0" collapsed="false">
      <c r="D3118" s="24" t="s">
        <v>835</v>
      </c>
      <c r="J3118" s="14" t="n">
        <f aca="false">J3114+J3115+J3116+J3117</f>
        <v>7.08</v>
      </c>
    </row>
    <row r="3119" customFormat="false" ht="15" hidden="false" customHeight="true" outlineLevel="0" collapsed="false">
      <c r="D3119" s="22" t="s">
        <v>836</v>
      </c>
      <c r="J3119" s="23" t="n">
        <f aca="false">IF(Tax_On="Yes",J3118*N(Tax_Rate),0)</f>
        <v>0</v>
      </c>
    </row>
    <row r="3120" customFormat="false" ht="15" hidden="false" customHeight="true" outlineLevel="0" collapsed="false">
      <c r="D3120" s="24" t="s">
        <v>895</v>
      </c>
      <c r="J3120" s="14" t="n">
        <f aca="false">ROUND(J3118+J3119,0)</f>
        <v>7</v>
      </c>
    </row>
    <row r="3121" customFormat="false" ht="15" hidden="false" customHeight="true" outlineLevel="0" collapsed="false">
      <c r="D3121" s="25" t="s">
        <v>838</v>
      </c>
      <c r="J3121" s="26" t="n">
        <f aca="false">COUNTIF(K3107:K3107,"NO RATE")+COUNTIF(K3107:K3107,"OLD RATE")</f>
        <v>0</v>
      </c>
    </row>
    <row r="3123" customFormat="false" ht="126.75" hidden="false" customHeight="true" outlineLevel="0" collapsed="false">
      <c r="A3123" s="4" t="s">
        <v>725</v>
      </c>
      <c r="B3123" s="16" t="s">
        <v>727</v>
      </c>
      <c r="C3123" s="27"/>
      <c r="D3123" s="27"/>
      <c r="E3123" s="27"/>
      <c r="F3123" s="27"/>
      <c r="G3123" s="27"/>
      <c r="H3123" s="27"/>
      <c r="I3123" s="28"/>
      <c r="J3123" s="4" t="s">
        <v>890</v>
      </c>
      <c r="K3123" s="17"/>
    </row>
    <row r="3124" customFormat="false" ht="15" hidden="false" customHeight="true" outlineLevel="0" collapsed="false">
      <c r="A3124" s="12" t="s">
        <v>75</v>
      </c>
      <c r="B3124" s="12" t="s">
        <v>789</v>
      </c>
      <c r="C3124" s="12" t="s">
        <v>790</v>
      </c>
      <c r="D3124" s="12" t="s">
        <v>791</v>
      </c>
      <c r="E3124" s="12" t="s">
        <v>81</v>
      </c>
      <c r="F3124" s="12" t="s">
        <v>792</v>
      </c>
      <c r="G3124" s="12" t="s">
        <v>793</v>
      </c>
      <c r="H3124" s="12" t="s">
        <v>794</v>
      </c>
      <c r="I3124" s="12" t="s">
        <v>795</v>
      </c>
      <c r="J3124" s="12" t="s">
        <v>796</v>
      </c>
      <c r="K3124" s="12" t="s">
        <v>797</v>
      </c>
    </row>
    <row r="3125" customFormat="false" ht="15" hidden="false" customHeight="true" outlineLevel="0" collapsed="false">
      <c r="A3125" s="9" t="s">
        <v>725</v>
      </c>
      <c r="B3125" s="9" t="s">
        <v>798</v>
      </c>
      <c r="C3125" s="9" t="s">
        <v>1436</v>
      </c>
      <c r="D3125" s="5" t="s">
        <v>1428</v>
      </c>
      <c r="E3125" s="9" t="s">
        <v>212</v>
      </c>
      <c r="F3125" s="18" t="n">
        <v>1</v>
      </c>
      <c r="G3125" s="13" t="n">
        <f aca="false">N(INDEX('05 MATERIAL RATE LIBRARY'!$E$5:$E$400,MATCH("MAT-GYP-SYSFR",'05 MATERIAL RATE LIBRARY'!$A$5:$A$400,0)))</f>
        <v>224.91</v>
      </c>
      <c r="H3125" s="19" t="n">
        <v>0</v>
      </c>
      <c r="I3125" s="18" t="n">
        <f aca="false">F3125*(1+H3125)</f>
        <v>1</v>
      </c>
      <c r="J3125" s="13" t="n">
        <f aca="false">I3125*G3125</f>
        <v>224.91</v>
      </c>
      <c r="K3125" s="20" t="str">
        <f aca="false">IF(INDEX('05 MATERIAL RATE LIBRARY'!$M$5:$M$400,MATCH("MAT-GYP-SYSFR",'05 MATERIAL RATE LIBRARY'!$A$5:$A$400,0))=1,"",IF(INDEX('05 MATERIAL RATE LIBRARY'!$M$5:$M$400,MATCH("MAT-GYP-SYSFR",'05 MATERIAL RATE LIBRARY'!$A$5:$A$400,0))=2,"OLD RATE","NO RATE"))</f>
        <v/>
      </c>
    </row>
    <row r="3126" customFormat="false" ht="15" hidden="false" customHeight="true" outlineLevel="0" collapsed="false">
      <c r="A3126" s="9" t="s">
        <v>725</v>
      </c>
      <c r="B3126" s="9" t="s">
        <v>812</v>
      </c>
      <c r="C3126" s="9" t="s">
        <v>989</v>
      </c>
      <c r="D3126" s="5" t="s">
        <v>990</v>
      </c>
      <c r="E3126" s="9" t="s">
        <v>815</v>
      </c>
      <c r="F3126" s="18" t="n">
        <f aca="false">'13 PRODUCTIVITY LIBRARY'!E25/'13 PRODUCTIVITY LIBRARY'!D25</f>
        <v>0.0133333333333333</v>
      </c>
      <c r="G3126" s="13" t="n">
        <f aca="false">N(INDEX('06 LABOUR RATE LIBRARY'!$D$5:$D$100,MATCH("LAB-CLG",'06 LABOUR RATE LIBRARY'!$A$5:$A$100,0)))</f>
        <v>2200</v>
      </c>
      <c r="H3126" s="19" t="n">
        <v>0</v>
      </c>
      <c r="I3126" s="18" t="n">
        <f aca="false">F3126*(1+H3126)</f>
        <v>0.0133333333333333</v>
      </c>
      <c r="J3126" s="13" t="n">
        <f aca="false">I3126*G3126</f>
        <v>29.3333333333333</v>
      </c>
      <c r="K3126" s="20" t="str">
        <f aca="false">IF(INDEX('06 LABOUR RATE LIBRARY'!$L$5:$L$100,MATCH("LAB-CLG",'06 LABOUR RATE LIBRARY'!$A$5:$A$100,0))=1,"",IF(INDEX('06 LABOUR RATE LIBRARY'!$L$5:$L$100,MATCH("LAB-CLG",'06 LABOUR RATE LIBRARY'!$A$5:$A$100,0))=2,"OLD RATE","NO RATE"))</f>
        <v/>
      </c>
    </row>
    <row r="3127" customFormat="false" ht="15" hidden="false" customHeight="true" outlineLevel="0" collapsed="false">
      <c r="A3127" s="9" t="s">
        <v>725</v>
      </c>
      <c r="B3127" s="9" t="s">
        <v>812</v>
      </c>
      <c r="C3127" s="9" t="s">
        <v>816</v>
      </c>
      <c r="D3127" s="5" t="s">
        <v>1437</v>
      </c>
      <c r="E3127" s="9" t="s">
        <v>815</v>
      </c>
      <c r="F3127" s="18" t="n">
        <f aca="false">'13 PRODUCTIVITY LIBRARY'!F25/'13 PRODUCTIVITY LIBRARY'!D25</f>
        <v>0.00666666666666667</v>
      </c>
      <c r="G3127" s="13" t="n">
        <f aca="false">N(INDEX('06 LABOUR RATE LIBRARY'!$D$5:$D$100,MATCH("LAB-HLP",'06 LABOUR RATE LIBRARY'!$A$5:$A$100,0)))</f>
        <v>1538</v>
      </c>
      <c r="H3127" s="19" t="n">
        <v>0</v>
      </c>
      <c r="I3127" s="18" t="n">
        <f aca="false">F3127*(1+H3127)</f>
        <v>0.00666666666666667</v>
      </c>
      <c r="J3127" s="13" t="n">
        <f aca="false">I3127*G3127</f>
        <v>10.2533333333333</v>
      </c>
      <c r="K312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128" customFormat="false" ht="15" hidden="false" customHeight="true" outlineLevel="0" collapsed="false">
      <c r="D3128" s="22" t="s">
        <v>825</v>
      </c>
      <c r="J3128" s="23" t="n">
        <f aca="false">SUMPRODUCT((B3125:B3127="Material")*F3125:F3127*G3125:G3127)</f>
        <v>224.91</v>
      </c>
    </row>
    <row r="3129" customFormat="false" ht="15" hidden="false" customHeight="true" outlineLevel="0" collapsed="false">
      <c r="D3129" s="22" t="s">
        <v>826</v>
      </c>
      <c r="J3129" s="23" t="n">
        <f aca="false">SUMIF(B3125:B3127,"Material",J3125:J3127)-J3128</f>
        <v>0</v>
      </c>
    </row>
    <row r="3130" customFormat="false" ht="15" hidden="false" customHeight="true" outlineLevel="0" collapsed="false">
      <c r="D3130" s="24" t="s">
        <v>827</v>
      </c>
      <c r="J3130" s="14" t="n">
        <f aca="false">SUMIF(B3125:B3127,"Material",J3125:J3127)</f>
        <v>224.91</v>
      </c>
    </row>
    <row r="3131" customFormat="false" ht="15" hidden="false" customHeight="true" outlineLevel="0" collapsed="false">
      <c r="D3131" s="24" t="s">
        <v>828</v>
      </c>
      <c r="J3131" s="14" t="n">
        <f aca="false">SUMIF(B3125:B3127,"Labour",J3125:J3127)</f>
        <v>39.5866666666667</v>
      </c>
    </row>
    <row r="3132" customFormat="false" ht="15" hidden="false" customHeight="true" outlineLevel="0" collapsed="false">
      <c r="D3132" s="24" t="s">
        <v>829</v>
      </c>
      <c r="J3132" s="14" t="n">
        <f aca="false">SUMIF(B3125:B3127,"Equipment",J3125:J3127)</f>
        <v>0</v>
      </c>
    </row>
    <row r="3133" customFormat="false" ht="15" hidden="false" customHeight="true" outlineLevel="0" collapsed="false">
      <c r="D3133" s="24" t="s">
        <v>830</v>
      </c>
      <c r="J3133" s="14" t="n">
        <f aca="false">SUMIF(B3125:B3127,"Transport",J3125:J3127)</f>
        <v>0</v>
      </c>
    </row>
    <row r="3134" customFormat="false" ht="15" hidden="false" customHeight="true" outlineLevel="0" collapsed="false">
      <c r="D3134" s="24" t="s">
        <v>831</v>
      </c>
      <c r="J3134" s="14" t="n">
        <f aca="false">J3130+J3131+J3132+J3133</f>
        <v>264.496666666667</v>
      </c>
    </row>
    <row r="3135" customFormat="false" ht="15" hidden="false" customHeight="true" outlineLevel="0" collapsed="false">
      <c r="D3135" s="22" t="s">
        <v>832</v>
      </c>
      <c r="J3135" s="23" t="n">
        <f aca="false">J3134*OH_Site</f>
        <v>7.9349</v>
      </c>
    </row>
    <row r="3136" customFormat="false" ht="15" hidden="false" customHeight="true" outlineLevel="0" collapsed="false">
      <c r="D3136" s="22" t="s">
        <v>833</v>
      </c>
      <c r="J3136" s="23" t="n">
        <f aca="false">J3134*OH_HO</f>
        <v>13.2248333333333</v>
      </c>
    </row>
    <row r="3137" customFormat="false" ht="15" hidden="false" customHeight="true" outlineLevel="0" collapsed="false">
      <c r="D3137" s="22" t="s">
        <v>834</v>
      </c>
      <c r="J3137" s="23" t="n">
        <f aca="false">J3134*Profit</f>
        <v>26.4496666666667</v>
      </c>
    </row>
    <row r="3138" customFormat="false" ht="15" hidden="false" customHeight="true" outlineLevel="0" collapsed="false">
      <c r="D3138" s="24" t="s">
        <v>835</v>
      </c>
      <c r="J3138" s="14" t="n">
        <f aca="false">J3134+J3135+J3136+J3137</f>
        <v>312.106066666667</v>
      </c>
    </row>
    <row r="3139" customFormat="false" ht="15" hidden="false" customHeight="true" outlineLevel="0" collapsed="false">
      <c r="D3139" s="22" t="s">
        <v>836</v>
      </c>
      <c r="J3139" s="23" t="n">
        <f aca="false">IF(Tax_On="Yes",J3138*N(Tax_Rate),0)</f>
        <v>0</v>
      </c>
    </row>
    <row r="3140" customFormat="false" ht="15" hidden="false" customHeight="true" outlineLevel="0" collapsed="false">
      <c r="D3140" s="24" t="s">
        <v>895</v>
      </c>
      <c r="J3140" s="14" t="n">
        <f aca="false">ROUND(J3138+J3139,0)</f>
        <v>312</v>
      </c>
    </row>
    <row r="3141" customFormat="false" ht="15" hidden="false" customHeight="true" outlineLevel="0" collapsed="false">
      <c r="D3141" s="25" t="s">
        <v>838</v>
      </c>
      <c r="J3141" s="26" t="n">
        <f aca="false">COUNTIF(K3125:K3127,"NO RATE")+COUNTIF(K3125:K3127,"OLD RATE")</f>
        <v>0</v>
      </c>
    </row>
    <row r="3143" customFormat="false" ht="84.75" hidden="false" customHeight="true" outlineLevel="0" collapsed="false">
      <c r="A3143" s="4" t="s">
        <v>729</v>
      </c>
      <c r="B3143" s="16" t="s">
        <v>731</v>
      </c>
      <c r="C3143" s="27"/>
      <c r="D3143" s="27"/>
      <c r="E3143" s="27"/>
      <c r="F3143" s="27"/>
      <c r="G3143" s="27"/>
      <c r="H3143" s="27"/>
      <c r="I3143" s="28"/>
      <c r="J3143" s="4" t="s">
        <v>890</v>
      </c>
      <c r="K3143" s="17"/>
    </row>
    <row r="3144" customFormat="false" ht="15" hidden="false" customHeight="true" outlineLevel="0" collapsed="false">
      <c r="A3144" s="12" t="s">
        <v>75</v>
      </c>
      <c r="B3144" s="12" t="s">
        <v>789</v>
      </c>
      <c r="C3144" s="12" t="s">
        <v>790</v>
      </c>
      <c r="D3144" s="12" t="s">
        <v>791</v>
      </c>
      <c r="E3144" s="12" t="s">
        <v>81</v>
      </c>
      <c r="F3144" s="12" t="s">
        <v>792</v>
      </c>
      <c r="G3144" s="12" t="s">
        <v>793</v>
      </c>
      <c r="H3144" s="12" t="s">
        <v>794</v>
      </c>
      <c r="I3144" s="12" t="s">
        <v>795</v>
      </c>
      <c r="J3144" s="12" t="s">
        <v>796</v>
      </c>
      <c r="K3144" s="12" t="s">
        <v>797</v>
      </c>
    </row>
    <row r="3145" customFormat="false" ht="15" hidden="false" customHeight="true" outlineLevel="0" collapsed="false">
      <c r="A3145" s="9" t="s">
        <v>729</v>
      </c>
      <c r="B3145" s="9" t="s">
        <v>798</v>
      </c>
      <c r="C3145" s="9" t="s">
        <v>1438</v>
      </c>
      <c r="D3145" s="5" t="s">
        <v>1428</v>
      </c>
      <c r="E3145" s="9" t="s">
        <v>212</v>
      </c>
      <c r="F3145" s="18" t="n">
        <v>1</v>
      </c>
      <c r="G3145" s="13" t="n">
        <f aca="false">N(INDEX('05 MATERIAL RATE LIBRARY'!$E$5:$E$400,MATCH("MAT-MCLG",'05 MATERIAL RATE LIBRARY'!$A$5:$A$400,0)))</f>
        <v>450</v>
      </c>
      <c r="H3145" s="19" t="n">
        <v>0</v>
      </c>
      <c r="I3145" s="18" t="n">
        <f aca="false">F3145*(1+H3145)</f>
        <v>1</v>
      </c>
      <c r="J3145" s="13" t="n">
        <f aca="false">I3145*G3145</f>
        <v>450</v>
      </c>
      <c r="K3145" s="20" t="str">
        <f aca="false">IF(INDEX('05 MATERIAL RATE LIBRARY'!$M$5:$M$400,MATCH("MAT-MCLG",'05 MATERIAL RATE LIBRARY'!$A$5:$A$400,0))=1,"",IF(INDEX('05 MATERIAL RATE LIBRARY'!$M$5:$M$400,MATCH("MAT-MCLG",'05 MATERIAL RATE LIBRARY'!$A$5:$A$400,0))=2,"OLD RATE","NO RATE"))</f>
        <v/>
      </c>
    </row>
    <row r="3146" customFormat="false" ht="15" hidden="false" customHeight="true" outlineLevel="0" collapsed="false">
      <c r="D3146" s="22" t="s">
        <v>825</v>
      </c>
      <c r="J3146" s="23" t="n">
        <f aca="false">SUMPRODUCT((B3145:B3145="Material")*F3145:F3145*G3145:G3145)</f>
        <v>450</v>
      </c>
    </row>
    <row r="3147" customFormat="false" ht="15" hidden="false" customHeight="true" outlineLevel="0" collapsed="false">
      <c r="D3147" s="22" t="s">
        <v>826</v>
      </c>
      <c r="J3147" s="23" t="n">
        <f aca="false">SUMIF(B3145:B3145,"Material",J3145:J3145)-J3146</f>
        <v>0</v>
      </c>
    </row>
    <row r="3148" customFormat="false" ht="15" hidden="false" customHeight="true" outlineLevel="0" collapsed="false">
      <c r="D3148" s="24" t="s">
        <v>827</v>
      </c>
      <c r="J3148" s="14" t="n">
        <f aca="false">SUMIF(B3145:B3145,"Material",J3145:J3145)</f>
        <v>450</v>
      </c>
    </row>
    <row r="3149" customFormat="false" ht="15" hidden="false" customHeight="true" outlineLevel="0" collapsed="false">
      <c r="D3149" s="24" t="s">
        <v>828</v>
      </c>
      <c r="J3149" s="14" t="n">
        <f aca="false">SUMIF(B3145:B3145,"Labour",J3145:J3145)</f>
        <v>0</v>
      </c>
    </row>
    <row r="3150" customFormat="false" ht="15" hidden="false" customHeight="true" outlineLevel="0" collapsed="false">
      <c r="D3150" s="24" t="s">
        <v>829</v>
      </c>
      <c r="J3150" s="14" t="n">
        <f aca="false">SUMIF(B3145:B3145,"Equipment",J3145:J3145)</f>
        <v>0</v>
      </c>
    </row>
    <row r="3151" customFormat="false" ht="15" hidden="false" customHeight="true" outlineLevel="0" collapsed="false">
      <c r="D3151" s="24" t="s">
        <v>830</v>
      </c>
      <c r="J3151" s="14" t="n">
        <f aca="false">SUMIF(B3145:B3145,"Transport",J3145:J3145)</f>
        <v>0</v>
      </c>
    </row>
    <row r="3152" customFormat="false" ht="15" hidden="false" customHeight="true" outlineLevel="0" collapsed="false">
      <c r="D3152" s="24" t="s">
        <v>831</v>
      </c>
      <c r="J3152" s="14" t="n">
        <f aca="false">J3148+J3149+J3150+J3151</f>
        <v>450</v>
      </c>
    </row>
    <row r="3153" customFormat="false" ht="15" hidden="false" customHeight="true" outlineLevel="0" collapsed="false">
      <c r="D3153" s="22" t="s">
        <v>832</v>
      </c>
      <c r="J3153" s="23" t="n">
        <f aca="false">J3152*OH_Site</f>
        <v>13.5</v>
      </c>
    </row>
    <row r="3154" customFormat="false" ht="15" hidden="false" customHeight="true" outlineLevel="0" collapsed="false">
      <c r="D3154" s="22" t="s">
        <v>833</v>
      </c>
      <c r="J3154" s="23" t="n">
        <f aca="false">J3152*OH_HO</f>
        <v>22.5</v>
      </c>
    </row>
    <row r="3155" customFormat="false" ht="15" hidden="false" customHeight="true" outlineLevel="0" collapsed="false">
      <c r="D3155" s="22" t="s">
        <v>834</v>
      </c>
      <c r="J3155" s="23" t="n">
        <f aca="false">J3152*Profit</f>
        <v>45</v>
      </c>
    </row>
    <row r="3156" customFormat="false" ht="15" hidden="false" customHeight="true" outlineLevel="0" collapsed="false">
      <c r="D3156" s="24" t="s">
        <v>835</v>
      </c>
      <c r="J3156" s="14" t="n">
        <f aca="false">J3152+J3153+J3154+J3155</f>
        <v>531</v>
      </c>
    </row>
    <row r="3157" customFormat="false" ht="15" hidden="false" customHeight="true" outlineLevel="0" collapsed="false">
      <c r="D3157" s="22" t="s">
        <v>836</v>
      </c>
      <c r="J3157" s="23" t="n">
        <f aca="false">IF(Tax_On="Yes",J3156*N(Tax_Rate),0)</f>
        <v>0</v>
      </c>
    </row>
    <row r="3158" customFormat="false" ht="15" hidden="false" customHeight="true" outlineLevel="0" collapsed="false">
      <c r="D3158" s="24" t="s">
        <v>895</v>
      </c>
      <c r="J3158" s="14" t="n">
        <f aca="false">ROUND(J3156+J3157,0)</f>
        <v>531</v>
      </c>
    </row>
    <row r="3159" customFormat="false" ht="15" hidden="false" customHeight="true" outlineLevel="0" collapsed="false">
      <c r="D3159" s="25" t="s">
        <v>838</v>
      </c>
      <c r="J3159" s="26" t="n">
        <f aca="false">COUNTIF(K3145:K3145,"NO RATE")+COUNTIF(K3145:K3145,"OLD RATE")</f>
        <v>0</v>
      </c>
    </row>
    <row r="3161" customFormat="false" ht="84.75" hidden="false" customHeight="true" outlineLevel="0" collapsed="false">
      <c r="A3161" s="4" t="s">
        <v>732</v>
      </c>
      <c r="B3161" s="16" t="s">
        <v>734</v>
      </c>
      <c r="C3161" s="27"/>
      <c r="D3161" s="27"/>
      <c r="E3161" s="27"/>
      <c r="F3161" s="27"/>
      <c r="G3161" s="27"/>
      <c r="H3161" s="27"/>
      <c r="I3161" s="28"/>
      <c r="J3161" s="4" t="s">
        <v>1032</v>
      </c>
      <c r="K3161" s="17"/>
    </row>
    <row r="3162" customFormat="false" ht="15" hidden="false" customHeight="true" outlineLevel="0" collapsed="false">
      <c r="A3162" s="12" t="s">
        <v>75</v>
      </c>
      <c r="B3162" s="12" t="s">
        <v>789</v>
      </c>
      <c r="C3162" s="12" t="s">
        <v>790</v>
      </c>
      <c r="D3162" s="12" t="s">
        <v>791</v>
      </c>
      <c r="E3162" s="12" t="s">
        <v>81</v>
      </c>
      <c r="F3162" s="12" t="s">
        <v>792</v>
      </c>
      <c r="G3162" s="12" t="s">
        <v>793</v>
      </c>
      <c r="H3162" s="12" t="s">
        <v>794</v>
      </c>
      <c r="I3162" s="12" t="s">
        <v>795</v>
      </c>
      <c r="J3162" s="12" t="s">
        <v>796</v>
      </c>
      <c r="K3162" s="12" t="s">
        <v>797</v>
      </c>
    </row>
    <row r="3163" customFormat="false" ht="15" hidden="false" customHeight="true" outlineLevel="0" collapsed="false">
      <c r="A3163" s="9" t="s">
        <v>732</v>
      </c>
      <c r="B3163" s="9" t="s">
        <v>798</v>
      </c>
      <c r="C3163" s="9" t="s">
        <v>1439</v>
      </c>
      <c r="D3163" s="5" t="s">
        <v>1428</v>
      </c>
      <c r="E3163" s="9" t="s">
        <v>368</v>
      </c>
      <c r="F3163" s="18" t="n">
        <v>1</v>
      </c>
      <c r="G3163" s="13" t="n">
        <f aca="false">N(INDEX('05 MATERIAL RATE LIBRARY'!$E$5:$E$400,MATCH("MAT-ACCP",'05 MATERIAL RATE LIBRARY'!$A$5:$A$400,0)))</f>
        <v>6500</v>
      </c>
      <c r="H3163" s="19" t="n">
        <v>0</v>
      </c>
      <c r="I3163" s="18" t="n">
        <f aca="false">F3163*(1+H3163)</f>
        <v>1</v>
      </c>
      <c r="J3163" s="13" t="n">
        <f aca="false">I3163*G3163</f>
        <v>6500</v>
      </c>
      <c r="K3163" s="20" t="str">
        <f aca="false">IF(INDEX('05 MATERIAL RATE LIBRARY'!$M$5:$M$400,MATCH("MAT-ACCP",'05 MATERIAL RATE LIBRARY'!$A$5:$A$400,0))=1,"",IF(INDEX('05 MATERIAL RATE LIBRARY'!$M$5:$M$400,MATCH("MAT-ACCP",'05 MATERIAL RATE LIBRARY'!$A$5:$A$400,0))=2,"OLD RATE","NO RATE"))</f>
        <v/>
      </c>
    </row>
    <row r="3164" customFormat="false" ht="15" hidden="false" customHeight="true" outlineLevel="0" collapsed="false">
      <c r="D3164" s="22" t="s">
        <v>825</v>
      </c>
      <c r="J3164" s="23" t="n">
        <f aca="false">SUMPRODUCT((B3163:B3163="Material")*F3163:F3163*G3163:G3163)</f>
        <v>6500</v>
      </c>
    </row>
    <row r="3165" customFormat="false" ht="15" hidden="false" customHeight="true" outlineLevel="0" collapsed="false">
      <c r="D3165" s="22" t="s">
        <v>826</v>
      </c>
      <c r="J3165" s="23" t="n">
        <f aca="false">SUMIF(B3163:B3163,"Material",J3163:J3163)-J3164</f>
        <v>0</v>
      </c>
    </row>
    <row r="3166" customFormat="false" ht="15" hidden="false" customHeight="true" outlineLevel="0" collapsed="false">
      <c r="D3166" s="24" t="s">
        <v>827</v>
      </c>
      <c r="J3166" s="14" t="n">
        <f aca="false">SUMIF(B3163:B3163,"Material",J3163:J3163)</f>
        <v>6500</v>
      </c>
    </row>
    <row r="3167" customFormat="false" ht="15" hidden="false" customHeight="true" outlineLevel="0" collapsed="false">
      <c r="D3167" s="24" t="s">
        <v>828</v>
      </c>
      <c r="J3167" s="14" t="n">
        <f aca="false">SUMIF(B3163:B3163,"Labour",J3163:J3163)</f>
        <v>0</v>
      </c>
    </row>
    <row r="3168" customFormat="false" ht="15" hidden="false" customHeight="true" outlineLevel="0" collapsed="false">
      <c r="D3168" s="24" t="s">
        <v>829</v>
      </c>
      <c r="J3168" s="14" t="n">
        <f aca="false">SUMIF(B3163:B3163,"Equipment",J3163:J3163)</f>
        <v>0</v>
      </c>
    </row>
    <row r="3169" customFormat="false" ht="15" hidden="false" customHeight="true" outlineLevel="0" collapsed="false">
      <c r="D3169" s="24" t="s">
        <v>830</v>
      </c>
      <c r="J3169" s="14" t="n">
        <f aca="false">SUMIF(B3163:B3163,"Transport",J3163:J3163)</f>
        <v>0</v>
      </c>
    </row>
    <row r="3170" customFormat="false" ht="15" hidden="false" customHeight="true" outlineLevel="0" collapsed="false">
      <c r="D3170" s="24" t="s">
        <v>831</v>
      </c>
      <c r="J3170" s="14" t="n">
        <f aca="false">J3166+J3167+J3168+J3169</f>
        <v>6500</v>
      </c>
    </row>
    <row r="3171" customFormat="false" ht="15" hidden="false" customHeight="true" outlineLevel="0" collapsed="false">
      <c r="D3171" s="22" t="s">
        <v>832</v>
      </c>
      <c r="J3171" s="23" t="n">
        <f aca="false">J3170*OH_Site</f>
        <v>195</v>
      </c>
    </row>
    <row r="3172" customFormat="false" ht="15" hidden="false" customHeight="true" outlineLevel="0" collapsed="false">
      <c r="D3172" s="22" t="s">
        <v>833</v>
      </c>
      <c r="J3172" s="23" t="n">
        <f aca="false">J3170*OH_HO</f>
        <v>325</v>
      </c>
    </row>
    <row r="3173" customFormat="false" ht="15" hidden="false" customHeight="true" outlineLevel="0" collapsed="false">
      <c r="D3173" s="22" t="s">
        <v>834</v>
      </c>
      <c r="J3173" s="23" t="n">
        <f aca="false">J3170*Profit</f>
        <v>650</v>
      </c>
    </row>
    <row r="3174" customFormat="false" ht="15" hidden="false" customHeight="true" outlineLevel="0" collapsed="false">
      <c r="D3174" s="24" t="s">
        <v>835</v>
      </c>
      <c r="J3174" s="14" t="n">
        <f aca="false">J3170+J3171+J3172+J3173</f>
        <v>7670</v>
      </c>
    </row>
    <row r="3175" customFormat="false" ht="15" hidden="false" customHeight="true" outlineLevel="0" collapsed="false">
      <c r="D3175" s="22" t="s">
        <v>836</v>
      </c>
      <c r="J3175" s="23" t="n">
        <f aca="false">IF(Tax_On="Yes",J3174*N(Tax_Rate),0)</f>
        <v>0</v>
      </c>
    </row>
    <row r="3176" customFormat="false" ht="15" hidden="false" customHeight="true" outlineLevel="0" collapsed="false">
      <c r="D3176" s="24" t="s">
        <v>1048</v>
      </c>
      <c r="J3176" s="14" t="n">
        <f aca="false">ROUND(J3174+J3175,0)</f>
        <v>7670</v>
      </c>
    </row>
    <row r="3177" customFormat="false" ht="15" hidden="false" customHeight="true" outlineLevel="0" collapsed="false">
      <c r="D3177" s="25" t="s">
        <v>838</v>
      </c>
      <c r="J3177" s="26" t="n">
        <f aca="false">COUNTIF(K3163:K3163,"NO RATE")+COUNTIF(K3163:K3163,"OLD RATE")</f>
        <v>0</v>
      </c>
    </row>
    <row r="3179" customFormat="false" ht="74.25" hidden="false" customHeight="true" outlineLevel="0" collapsed="false">
      <c r="A3179" s="4" t="s">
        <v>735</v>
      </c>
      <c r="B3179" s="16" t="s">
        <v>737</v>
      </c>
      <c r="C3179" s="27"/>
      <c r="D3179" s="27"/>
      <c r="E3179" s="27"/>
      <c r="F3179" s="27"/>
      <c r="G3179" s="27"/>
      <c r="H3179" s="27"/>
      <c r="I3179" s="28"/>
      <c r="J3179" s="4" t="s">
        <v>890</v>
      </c>
      <c r="K3179" s="17"/>
    </row>
    <row r="3180" customFormat="false" ht="15" hidden="false" customHeight="true" outlineLevel="0" collapsed="false">
      <c r="A3180" s="12" t="s">
        <v>75</v>
      </c>
      <c r="B3180" s="12" t="s">
        <v>789</v>
      </c>
      <c r="C3180" s="12" t="s">
        <v>790</v>
      </c>
      <c r="D3180" s="12" t="s">
        <v>791</v>
      </c>
      <c r="E3180" s="12" t="s">
        <v>81</v>
      </c>
      <c r="F3180" s="12" t="s">
        <v>792</v>
      </c>
      <c r="G3180" s="12" t="s">
        <v>793</v>
      </c>
      <c r="H3180" s="12" t="s">
        <v>794</v>
      </c>
      <c r="I3180" s="12" t="s">
        <v>795</v>
      </c>
      <c r="J3180" s="12" t="s">
        <v>796</v>
      </c>
      <c r="K3180" s="12" t="s">
        <v>797</v>
      </c>
    </row>
    <row r="3181" customFormat="false" ht="15" hidden="false" customHeight="true" outlineLevel="0" collapsed="false">
      <c r="A3181" s="9" t="s">
        <v>735</v>
      </c>
      <c r="B3181" s="9" t="s">
        <v>798</v>
      </c>
      <c r="C3181" s="9" t="s">
        <v>1440</v>
      </c>
      <c r="D3181" s="5" t="s">
        <v>1428</v>
      </c>
      <c r="E3181" s="9" t="s">
        <v>212</v>
      </c>
      <c r="F3181" s="18" t="n">
        <v>1</v>
      </c>
      <c r="G3181" s="13" t="n">
        <f aca="false">N(INDEX('05 MATERIAL RATE LIBRARY'!$E$5:$E$400,MATCH("MAT-CPT",'05 MATERIAL RATE LIBRARY'!$A$5:$A$400,0)))</f>
        <v>350</v>
      </c>
      <c r="H3181" s="19" t="n">
        <v>0</v>
      </c>
      <c r="I3181" s="18" t="n">
        <f aca="false">F3181*(1+H3181)</f>
        <v>1</v>
      </c>
      <c r="J3181" s="13" t="n">
        <f aca="false">I3181*G3181</f>
        <v>350</v>
      </c>
      <c r="K3181" s="20" t="str">
        <f aca="false">IF(INDEX('05 MATERIAL RATE LIBRARY'!$M$5:$M$400,MATCH("MAT-CPT",'05 MATERIAL RATE LIBRARY'!$A$5:$A$400,0))=1,"",IF(INDEX('05 MATERIAL RATE LIBRARY'!$M$5:$M$400,MATCH("MAT-CPT",'05 MATERIAL RATE LIBRARY'!$A$5:$A$400,0))=2,"OLD RATE","NO RATE"))</f>
        <v/>
      </c>
    </row>
    <row r="3182" customFormat="false" ht="15" hidden="false" customHeight="true" outlineLevel="0" collapsed="false">
      <c r="D3182" s="22" t="s">
        <v>825</v>
      </c>
      <c r="J3182" s="23" t="n">
        <f aca="false">SUMPRODUCT((B3181:B3181="Material")*F3181:F3181*G3181:G3181)</f>
        <v>350</v>
      </c>
    </row>
    <row r="3183" customFormat="false" ht="15" hidden="false" customHeight="true" outlineLevel="0" collapsed="false">
      <c r="D3183" s="22" t="s">
        <v>826</v>
      </c>
      <c r="J3183" s="23" t="n">
        <f aca="false">SUMIF(B3181:B3181,"Material",J3181:J3181)-J3182</f>
        <v>0</v>
      </c>
    </row>
    <row r="3184" customFormat="false" ht="15" hidden="false" customHeight="true" outlineLevel="0" collapsed="false">
      <c r="D3184" s="24" t="s">
        <v>827</v>
      </c>
      <c r="J3184" s="14" t="n">
        <f aca="false">SUMIF(B3181:B3181,"Material",J3181:J3181)</f>
        <v>350</v>
      </c>
    </row>
    <row r="3185" customFormat="false" ht="15" hidden="false" customHeight="true" outlineLevel="0" collapsed="false">
      <c r="D3185" s="24" t="s">
        <v>828</v>
      </c>
      <c r="J3185" s="14" t="n">
        <f aca="false">SUMIF(B3181:B3181,"Labour",J3181:J3181)</f>
        <v>0</v>
      </c>
    </row>
    <row r="3186" customFormat="false" ht="15" hidden="false" customHeight="true" outlineLevel="0" collapsed="false">
      <c r="D3186" s="24" t="s">
        <v>829</v>
      </c>
      <c r="J3186" s="14" t="n">
        <f aca="false">SUMIF(B3181:B3181,"Equipment",J3181:J3181)</f>
        <v>0</v>
      </c>
    </row>
    <row r="3187" customFormat="false" ht="15" hidden="false" customHeight="true" outlineLevel="0" collapsed="false">
      <c r="D3187" s="24" t="s">
        <v>830</v>
      </c>
      <c r="J3187" s="14" t="n">
        <f aca="false">SUMIF(B3181:B3181,"Transport",J3181:J3181)</f>
        <v>0</v>
      </c>
    </row>
    <row r="3188" customFormat="false" ht="15" hidden="false" customHeight="true" outlineLevel="0" collapsed="false">
      <c r="D3188" s="24" t="s">
        <v>831</v>
      </c>
      <c r="J3188" s="14" t="n">
        <f aca="false">J3184+J3185+J3186+J3187</f>
        <v>350</v>
      </c>
    </row>
    <row r="3189" customFormat="false" ht="15" hidden="false" customHeight="true" outlineLevel="0" collapsed="false">
      <c r="D3189" s="22" t="s">
        <v>832</v>
      </c>
      <c r="J3189" s="23" t="n">
        <f aca="false">J3188*OH_Site</f>
        <v>10.5</v>
      </c>
    </row>
    <row r="3190" customFormat="false" ht="15" hidden="false" customHeight="true" outlineLevel="0" collapsed="false">
      <c r="D3190" s="22" t="s">
        <v>833</v>
      </c>
      <c r="J3190" s="23" t="n">
        <f aca="false">J3188*OH_HO</f>
        <v>17.5</v>
      </c>
    </row>
    <row r="3191" customFormat="false" ht="15" hidden="false" customHeight="true" outlineLevel="0" collapsed="false">
      <c r="D3191" s="22" t="s">
        <v>834</v>
      </c>
      <c r="J3191" s="23" t="n">
        <f aca="false">J3188*Profit</f>
        <v>35</v>
      </c>
    </row>
    <row r="3192" customFormat="false" ht="15" hidden="false" customHeight="true" outlineLevel="0" collapsed="false">
      <c r="D3192" s="24" t="s">
        <v>835</v>
      </c>
      <c r="J3192" s="14" t="n">
        <f aca="false">J3188+J3189+J3190+J3191</f>
        <v>413</v>
      </c>
    </row>
    <row r="3193" customFormat="false" ht="15" hidden="false" customHeight="true" outlineLevel="0" collapsed="false">
      <c r="D3193" s="22" t="s">
        <v>836</v>
      </c>
      <c r="J3193" s="23" t="n">
        <f aca="false">IF(Tax_On="Yes",J3192*N(Tax_Rate),0)</f>
        <v>0</v>
      </c>
    </row>
    <row r="3194" customFormat="false" ht="15" hidden="false" customHeight="true" outlineLevel="0" collapsed="false">
      <c r="D3194" s="24" t="s">
        <v>895</v>
      </c>
      <c r="J3194" s="14" t="n">
        <f aca="false">ROUND(J3192+J3193,0)</f>
        <v>413</v>
      </c>
    </row>
    <row r="3195" customFormat="false" ht="15" hidden="false" customHeight="true" outlineLevel="0" collapsed="false">
      <c r="D3195" s="25" t="s">
        <v>838</v>
      </c>
      <c r="J3195" s="26" t="n">
        <f aca="false">COUNTIF(K3181:K3181,"NO RATE")+COUNTIF(K3181:K3181,"OLD RATE")</f>
        <v>0</v>
      </c>
    </row>
    <row r="3197" customFormat="false" ht="74.25" hidden="false" customHeight="true" outlineLevel="0" collapsed="false">
      <c r="A3197" s="4" t="s">
        <v>738</v>
      </c>
      <c r="B3197" s="16" t="s">
        <v>740</v>
      </c>
      <c r="C3197" s="27"/>
      <c r="D3197" s="27"/>
      <c r="E3197" s="27"/>
      <c r="F3197" s="27"/>
      <c r="G3197" s="27"/>
      <c r="H3197" s="27"/>
      <c r="I3197" s="28"/>
      <c r="J3197" s="4" t="s">
        <v>890</v>
      </c>
      <c r="K3197" s="17"/>
    </row>
    <row r="3198" customFormat="false" ht="15" hidden="false" customHeight="true" outlineLevel="0" collapsed="false">
      <c r="A3198" s="12" t="s">
        <v>75</v>
      </c>
      <c r="B3198" s="12" t="s">
        <v>789</v>
      </c>
      <c r="C3198" s="12" t="s">
        <v>790</v>
      </c>
      <c r="D3198" s="12" t="s">
        <v>791</v>
      </c>
      <c r="E3198" s="12" t="s">
        <v>81</v>
      </c>
      <c r="F3198" s="12" t="s">
        <v>792</v>
      </c>
      <c r="G3198" s="12" t="s">
        <v>793</v>
      </c>
      <c r="H3198" s="12" t="s">
        <v>794</v>
      </c>
      <c r="I3198" s="12" t="s">
        <v>795</v>
      </c>
      <c r="J3198" s="12" t="s">
        <v>796</v>
      </c>
      <c r="K3198" s="12" t="s">
        <v>797</v>
      </c>
    </row>
    <row r="3199" customFormat="false" ht="15" hidden="false" customHeight="true" outlineLevel="0" collapsed="false">
      <c r="A3199" s="9" t="s">
        <v>738</v>
      </c>
      <c r="B3199" s="9" t="s">
        <v>798</v>
      </c>
      <c r="C3199" s="9" t="s">
        <v>1441</v>
      </c>
      <c r="D3199" s="5" t="s">
        <v>1428</v>
      </c>
      <c r="E3199" s="9" t="s">
        <v>212</v>
      </c>
      <c r="F3199" s="18" t="n">
        <v>1</v>
      </c>
      <c r="G3199" s="13" t="n">
        <f aca="false">N(INDEX('05 MATERIAL RATE LIBRARY'!$E$5:$E$400,MATCH("MAT-WPP",'05 MATERIAL RATE LIBRARY'!$A$5:$A$400,0)))</f>
        <v>180</v>
      </c>
      <c r="H3199" s="19" t="n">
        <v>0</v>
      </c>
      <c r="I3199" s="18" t="n">
        <f aca="false">F3199*(1+H3199)</f>
        <v>1</v>
      </c>
      <c r="J3199" s="13" t="n">
        <f aca="false">I3199*G3199</f>
        <v>180</v>
      </c>
      <c r="K3199" s="20" t="str">
        <f aca="false">IF(INDEX('05 MATERIAL RATE LIBRARY'!$M$5:$M$400,MATCH("MAT-WPP",'05 MATERIAL RATE LIBRARY'!$A$5:$A$400,0))=1,"",IF(INDEX('05 MATERIAL RATE LIBRARY'!$M$5:$M$400,MATCH("MAT-WPP",'05 MATERIAL RATE LIBRARY'!$A$5:$A$400,0))=2,"OLD RATE","NO RATE"))</f>
        <v/>
      </c>
    </row>
    <row r="3200" customFormat="false" ht="15" hidden="false" customHeight="true" outlineLevel="0" collapsed="false">
      <c r="D3200" s="22" t="s">
        <v>825</v>
      </c>
      <c r="J3200" s="23" t="n">
        <f aca="false">SUMPRODUCT((B3199:B3199="Material")*F3199:F3199*G3199:G3199)</f>
        <v>180</v>
      </c>
    </row>
    <row r="3201" customFormat="false" ht="15" hidden="false" customHeight="true" outlineLevel="0" collapsed="false">
      <c r="D3201" s="22" t="s">
        <v>826</v>
      </c>
      <c r="J3201" s="23" t="n">
        <f aca="false">SUMIF(B3199:B3199,"Material",J3199:J3199)-J3200</f>
        <v>0</v>
      </c>
    </row>
    <row r="3202" customFormat="false" ht="15" hidden="false" customHeight="true" outlineLevel="0" collapsed="false">
      <c r="D3202" s="24" t="s">
        <v>827</v>
      </c>
      <c r="J3202" s="14" t="n">
        <f aca="false">SUMIF(B3199:B3199,"Material",J3199:J3199)</f>
        <v>180</v>
      </c>
    </row>
    <row r="3203" customFormat="false" ht="15" hidden="false" customHeight="true" outlineLevel="0" collapsed="false">
      <c r="D3203" s="24" t="s">
        <v>828</v>
      </c>
      <c r="J3203" s="14" t="n">
        <f aca="false">SUMIF(B3199:B3199,"Labour",J3199:J3199)</f>
        <v>0</v>
      </c>
    </row>
    <row r="3204" customFormat="false" ht="15" hidden="false" customHeight="true" outlineLevel="0" collapsed="false">
      <c r="D3204" s="24" t="s">
        <v>829</v>
      </c>
      <c r="J3204" s="14" t="n">
        <f aca="false">SUMIF(B3199:B3199,"Equipment",J3199:J3199)</f>
        <v>0</v>
      </c>
    </row>
    <row r="3205" customFormat="false" ht="15" hidden="false" customHeight="true" outlineLevel="0" collapsed="false">
      <c r="D3205" s="24" t="s">
        <v>830</v>
      </c>
      <c r="J3205" s="14" t="n">
        <f aca="false">SUMIF(B3199:B3199,"Transport",J3199:J3199)</f>
        <v>0</v>
      </c>
    </row>
    <row r="3206" customFormat="false" ht="15" hidden="false" customHeight="true" outlineLevel="0" collapsed="false">
      <c r="D3206" s="24" t="s">
        <v>831</v>
      </c>
      <c r="J3206" s="14" t="n">
        <f aca="false">J3202+J3203+J3204+J3205</f>
        <v>180</v>
      </c>
    </row>
    <row r="3207" customFormat="false" ht="15" hidden="false" customHeight="true" outlineLevel="0" collapsed="false">
      <c r="D3207" s="22" t="s">
        <v>832</v>
      </c>
      <c r="J3207" s="23" t="n">
        <f aca="false">J3206*OH_Site</f>
        <v>5.4</v>
      </c>
    </row>
    <row r="3208" customFormat="false" ht="15" hidden="false" customHeight="true" outlineLevel="0" collapsed="false">
      <c r="D3208" s="22" t="s">
        <v>833</v>
      </c>
      <c r="J3208" s="23" t="n">
        <f aca="false">J3206*OH_HO</f>
        <v>9</v>
      </c>
    </row>
    <row r="3209" customFormat="false" ht="15" hidden="false" customHeight="true" outlineLevel="0" collapsed="false">
      <c r="D3209" s="22" t="s">
        <v>834</v>
      </c>
      <c r="J3209" s="23" t="n">
        <f aca="false">J3206*Profit</f>
        <v>18</v>
      </c>
    </row>
    <row r="3210" customFormat="false" ht="15" hidden="false" customHeight="true" outlineLevel="0" collapsed="false">
      <c r="D3210" s="24" t="s">
        <v>835</v>
      </c>
      <c r="J3210" s="14" t="n">
        <f aca="false">J3206+J3207+J3208+J3209</f>
        <v>212.4</v>
      </c>
    </row>
    <row r="3211" customFormat="false" ht="15" hidden="false" customHeight="true" outlineLevel="0" collapsed="false">
      <c r="D3211" s="22" t="s">
        <v>836</v>
      </c>
      <c r="J3211" s="23" t="n">
        <f aca="false">IF(Tax_On="Yes",J3210*N(Tax_Rate),0)</f>
        <v>0</v>
      </c>
    </row>
    <row r="3212" customFormat="false" ht="15" hidden="false" customHeight="true" outlineLevel="0" collapsed="false">
      <c r="D3212" s="24" t="s">
        <v>895</v>
      </c>
      <c r="J3212" s="14" t="n">
        <f aca="false">ROUND(J3210+J3211,0)</f>
        <v>212</v>
      </c>
    </row>
    <row r="3213" customFormat="false" ht="15" hidden="false" customHeight="true" outlineLevel="0" collapsed="false">
      <c r="D3213" s="25" t="s">
        <v>838</v>
      </c>
      <c r="J3213" s="26" t="n">
        <f aca="false">COUNTIF(K3199:K3199,"NO RATE")+COUNTIF(K3199:K3199,"OLD RATE")</f>
        <v>0</v>
      </c>
    </row>
    <row r="3215" customFormat="false" ht="63.75" hidden="false" customHeight="true" outlineLevel="0" collapsed="false">
      <c r="A3215" s="4" t="s">
        <v>741</v>
      </c>
      <c r="B3215" s="16" t="s">
        <v>743</v>
      </c>
      <c r="C3215" s="27"/>
      <c r="D3215" s="27"/>
      <c r="E3215" s="27"/>
      <c r="F3215" s="27"/>
      <c r="G3215" s="27"/>
      <c r="H3215" s="27"/>
      <c r="I3215" s="28"/>
      <c r="J3215" s="4" t="s">
        <v>890</v>
      </c>
      <c r="K3215" s="17"/>
    </row>
    <row r="3216" customFormat="false" ht="15" hidden="false" customHeight="true" outlineLevel="0" collapsed="false">
      <c r="A3216" s="12" t="s">
        <v>75</v>
      </c>
      <c r="B3216" s="12" t="s">
        <v>789</v>
      </c>
      <c r="C3216" s="12" t="s">
        <v>790</v>
      </c>
      <c r="D3216" s="12" t="s">
        <v>791</v>
      </c>
      <c r="E3216" s="12" t="s">
        <v>81</v>
      </c>
      <c r="F3216" s="12" t="s">
        <v>792</v>
      </c>
      <c r="G3216" s="12" t="s">
        <v>793</v>
      </c>
      <c r="H3216" s="12" t="s">
        <v>794</v>
      </c>
      <c r="I3216" s="12" t="s">
        <v>795</v>
      </c>
      <c r="J3216" s="12" t="s">
        <v>796</v>
      </c>
      <c r="K3216" s="12" t="s">
        <v>797</v>
      </c>
    </row>
    <row r="3217" customFormat="false" ht="15" hidden="false" customHeight="true" outlineLevel="0" collapsed="false">
      <c r="A3217" s="9" t="s">
        <v>741</v>
      </c>
      <c r="B3217" s="9" t="s">
        <v>798</v>
      </c>
      <c r="C3217" s="9" t="s">
        <v>1442</v>
      </c>
      <c r="D3217" s="5" t="s">
        <v>1428</v>
      </c>
      <c r="E3217" s="9" t="s">
        <v>212</v>
      </c>
      <c r="F3217" s="18" t="n">
        <v>1</v>
      </c>
      <c r="G3217" s="13" t="n">
        <f aca="false">N(INDEX('05 MATERIAL RATE LIBRARY'!$E$5:$E$400,MATCH("MAT-ACPNL",'05 MATERIAL RATE LIBRARY'!$A$5:$A$400,0)))</f>
        <v>900</v>
      </c>
      <c r="H3217" s="19" t="n">
        <v>0</v>
      </c>
      <c r="I3217" s="18" t="n">
        <f aca="false">F3217*(1+H3217)</f>
        <v>1</v>
      </c>
      <c r="J3217" s="13" t="n">
        <f aca="false">I3217*G3217</f>
        <v>900</v>
      </c>
      <c r="K3217" s="20" t="str">
        <f aca="false">IF(INDEX('05 MATERIAL RATE LIBRARY'!$M$5:$M$400,MATCH("MAT-ACPNL",'05 MATERIAL RATE LIBRARY'!$A$5:$A$400,0))=1,"",IF(INDEX('05 MATERIAL RATE LIBRARY'!$M$5:$M$400,MATCH("MAT-ACPNL",'05 MATERIAL RATE LIBRARY'!$A$5:$A$400,0))=2,"OLD RATE","NO RATE"))</f>
        <v/>
      </c>
    </row>
    <row r="3218" customFormat="false" ht="15" hidden="false" customHeight="true" outlineLevel="0" collapsed="false">
      <c r="D3218" s="22" t="s">
        <v>825</v>
      </c>
      <c r="J3218" s="23" t="n">
        <f aca="false">SUMPRODUCT((B3217:B3217="Material")*F3217:F3217*G3217:G3217)</f>
        <v>900</v>
      </c>
    </row>
    <row r="3219" customFormat="false" ht="15" hidden="false" customHeight="true" outlineLevel="0" collapsed="false">
      <c r="D3219" s="22" t="s">
        <v>826</v>
      </c>
      <c r="J3219" s="23" t="n">
        <f aca="false">SUMIF(B3217:B3217,"Material",J3217:J3217)-J3218</f>
        <v>0</v>
      </c>
    </row>
    <row r="3220" customFormat="false" ht="15" hidden="false" customHeight="true" outlineLevel="0" collapsed="false">
      <c r="D3220" s="24" t="s">
        <v>827</v>
      </c>
      <c r="J3220" s="14" t="n">
        <f aca="false">SUMIF(B3217:B3217,"Material",J3217:J3217)</f>
        <v>900</v>
      </c>
    </row>
    <row r="3221" customFormat="false" ht="15" hidden="false" customHeight="true" outlineLevel="0" collapsed="false">
      <c r="D3221" s="24" t="s">
        <v>828</v>
      </c>
      <c r="J3221" s="14" t="n">
        <f aca="false">SUMIF(B3217:B3217,"Labour",J3217:J3217)</f>
        <v>0</v>
      </c>
    </row>
    <row r="3222" customFormat="false" ht="15" hidden="false" customHeight="true" outlineLevel="0" collapsed="false">
      <c r="D3222" s="24" t="s">
        <v>829</v>
      </c>
      <c r="J3222" s="14" t="n">
        <f aca="false">SUMIF(B3217:B3217,"Equipment",J3217:J3217)</f>
        <v>0</v>
      </c>
    </row>
    <row r="3223" customFormat="false" ht="15" hidden="false" customHeight="true" outlineLevel="0" collapsed="false">
      <c r="D3223" s="24" t="s">
        <v>830</v>
      </c>
      <c r="J3223" s="14" t="n">
        <f aca="false">SUMIF(B3217:B3217,"Transport",J3217:J3217)</f>
        <v>0</v>
      </c>
    </row>
    <row r="3224" customFormat="false" ht="15" hidden="false" customHeight="true" outlineLevel="0" collapsed="false">
      <c r="D3224" s="24" t="s">
        <v>831</v>
      </c>
      <c r="J3224" s="14" t="n">
        <f aca="false">J3220+J3221+J3222+J3223</f>
        <v>900</v>
      </c>
    </row>
    <row r="3225" customFormat="false" ht="15" hidden="false" customHeight="true" outlineLevel="0" collapsed="false">
      <c r="D3225" s="22" t="s">
        <v>832</v>
      </c>
      <c r="J3225" s="23" t="n">
        <f aca="false">J3224*OH_Site</f>
        <v>27</v>
      </c>
    </row>
    <row r="3226" customFormat="false" ht="15" hidden="false" customHeight="true" outlineLevel="0" collapsed="false">
      <c r="D3226" s="22" t="s">
        <v>833</v>
      </c>
      <c r="J3226" s="23" t="n">
        <f aca="false">J3224*OH_HO</f>
        <v>45</v>
      </c>
    </row>
    <row r="3227" customFormat="false" ht="15" hidden="false" customHeight="true" outlineLevel="0" collapsed="false">
      <c r="D3227" s="22" t="s">
        <v>834</v>
      </c>
      <c r="J3227" s="23" t="n">
        <f aca="false">J3224*Profit</f>
        <v>90</v>
      </c>
    </row>
    <row r="3228" customFormat="false" ht="15" hidden="false" customHeight="true" outlineLevel="0" collapsed="false">
      <c r="D3228" s="24" t="s">
        <v>835</v>
      </c>
      <c r="J3228" s="14" t="n">
        <f aca="false">J3224+J3225+J3226+J3227</f>
        <v>1062</v>
      </c>
    </row>
    <row r="3229" customFormat="false" ht="15" hidden="false" customHeight="true" outlineLevel="0" collapsed="false">
      <c r="D3229" s="22" t="s">
        <v>836</v>
      </c>
      <c r="J3229" s="23" t="n">
        <f aca="false">IF(Tax_On="Yes",J3228*N(Tax_Rate),0)</f>
        <v>0</v>
      </c>
    </row>
    <row r="3230" customFormat="false" ht="15" hidden="false" customHeight="true" outlineLevel="0" collapsed="false">
      <c r="D3230" s="24" t="s">
        <v>895</v>
      </c>
      <c r="J3230" s="14" t="n">
        <f aca="false">ROUND(J3228+J3229,0)</f>
        <v>1062</v>
      </c>
    </row>
    <row r="3231" customFormat="false" ht="15" hidden="false" customHeight="true" outlineLevel="0" collapsed="false">
      <c r="D3231" s="25" t="s">
        <v>838</v>
      </c>
      <c r="J3231" s="26" t="n">
        <f aca="false">COUNTIF(K3217:K3217,"NO RATE")+COUNTIF(K3217:K3217,"OLD RATE")</f>
        <v>0</v>
      </c>
    </row>
    <row r="3233" customFormat="false" ht="95.25" hidden="false" customHeight="true" outlineLevel="0" collapsed="false">
      <c r="A3233" s="4" t="s">
        <v>744</v>
      </c>
      <c r="B3233" s="16" t="s">
        <v>746</v>
      </c>
      <c r="C3233" s="27"/>
      <c r="D3233" s="27"/>
      <c r="E3233" s="27"/>
      <c r="F3233" s="27"/>
      <c r="G3233" s="27"/>
      <c r="H3233" s="27"/>
      <c r="I3233" s="28"/>
      <c r="J3233" s="4" t="s">
        <v>1032</v>
      </c>
      <c r="K3233" s="17"/>
    </row>
    <row r="3234" customFormat="false" ht="15" hidden="false" customHeight="true" outlineLevel="0" collapsed="false">
      <c r="A3234" s="12" t="s">
        <v>75</v>
      </c>
      <c r="B3234" s="12" t="s">
        <v>789</v>
      </c>
      <c r="C3234" s="12" t="s">
        <v>790</v>
      </c>
      <c r="D3234" s="12" t="s">
        <v>791</v>
      </c>
      <c r="E3234" s="12" t="s">
        <v>81</v>
      </c>
      <c r="F3234" s="12" t="s">
        <v>792</v>
      </c>
      <c r="G3234" s="12" t="s">
        <v>793</v>
      </c>
      <c r="H3234" s="12" t="s">
        <v>794</v>
      </c>
      <c r="I3234" s="12" t="s">
        <v>795</v>
      </c>
      <c r="J3234" s="12" t="s">
        <v>796</v>
      </c>
      <c r="K3234" s="12" t="s">
        <v>797</v>
      </c>
    </row>
    <row r="3235" customFormat="false" ht="15" hidden="false" customHeight="true" outlineLevel="0" collapsed="false">
      <c r="A3235" s="9" t="s">
        <v>744</v>
      </c>
      <c r="B3235" s="9" t="s">
        <v>798</v>
      </c>
      <c r="C3235" s="9" t="s">
        <v>1443</v>
      </c>
      <c r="D3235" s="5" t="s">
        <v>1428</v>
      </c>
      <c r="E3235" s="9" t="s">
        <v>368</v>
      </c>
      <c r="F3235" s="18" t="n">
        <v>1</v>
      </c>
      <c r="G3235" s="13" t="n">
        <f aca="false">N(INDEX('05 MATERIAL RATE LIBRARY'!$E$5:$E$400,MATCH("MAT-GLDR",'05 MATERIAL RATE LIBRARY'!$A$5:$A$400,0)))</f>
        <v>120000</v>
      </c>
      <c r="H3235" s="19" t="n">
        <v>0</v>
      </c>
      <c r="I3235" s="18" t="n">
        <f aca="false">F3235*(1+H3235)</f>
        <v>1</v>
      </c>
      <c r="J3235" s="13" t="n">
        <f aca="false">I3235*G3235</f>
        <v>120000</v>
      </c>
      <c r="K3235" s="20" t="str">
        <f aca="false">IF(INDEX('05 MATERIAL RATE LIBRARY'!$M$5:$M$400,MATCH("MAT-GLDR",'05 MATERIAL RATE LIBRARY'!$A$5:$A$400,0))=1,"",IF(INDEX('05 MATERIAL RATE LIBRARY'!$M$5:$M$400,MATCH("MAT-GLDR",'05 MATERIAL RATE LIBRARY'!$A$5:$A$400,0))=2,"OLD RATE","NO RATE"))</f>
        <v/>
      </c>
    </row>
    <row r="3236" customFormat="false" ht="15" hidden="false" customHeight="true" outlineLevel="0" collapsed="false">
      <c r="D3236" s="22" t="s">
        <v>825</v>
      </c>
      <c r="J3236" s="23" t="n">
        <f aca="false">SUMPRODUCT((B3235:B3235="Material")*F3235:F3235*G3235:G3235)</f>
        <v>120000</v>
      </c>
    </row>
    <row r="3237" customFormat="false" ht="15" hidden="false" customHeight="true" outlineLevel="0" collapsed="false">
      <c r="D3237" s="22" t="s">
        <v>826</v>
      </c>
      <c r="J3237" s="23" t="n">
        <f aca="false">SUMIF(B3235:B3235,"Material",J3235:J3235)-J3236</f>
        <v>0</v>
      </c>
    </row>
    <row r="3238" customFormat="false" ht="15" hidden="false" customHeight="true" outlineLevel="0" collapsed="false">
      <c r="D3238" s="24" t="s">
        <v>827</v>
      </c>
      <c r="J3238" s="14" t="n">
        <f aca="false">SUMIF(B3235:B3235,"Material",J3235:J3235)</f>
        <v>120000</v>
      </c>
    </row>
    <row r="3239" customFormat="false" ht="15" hidden="false" customHeight="true" outlineLevel="0" collapsed="false">
      <c r="D3239" s="24" t="s">
        <v>828</v>
      </c>
      <c r="J3239" s="14" t="n">
        <f aca="false">SUMIF(B3235:B3235,"Labour",J3235:J3235)</f>
        <v>0</v>
      </c>
    </row>
    <row r="3240" customFormat="false" ht="15" hidden="false" customHeight="true" outlineLevel="0" collapsed="false">
      <c r="D3240" s="24" t="s">
        <v>829</v>
      </c>
      <c r="J3240" s="14" t="n">
        <f aca="false">SUMIF(B3235:B3235,"Equipment",J3235:J3235)</f>
        <v>0</v>
      </c>
    </row>
    <row r="3241" customFormat="false" ht="15" hidden="false" customHeight="true" outlineLevel="0" collapsed="false">
      <c r="D3241" s="24" t="s">
        <v>830</v>
      </c>
      <c r="J3241" s="14" t="n">
        <f aca="false">SUMIF(B3235:B3235,"Transport",J3235:J3235)</f>
        <v>0</v>
      </c>
    </row>
    <row r="3242" customFormat="false" ht="15" hidden="false" customHeight="true" outlineLevel="0" collapsed="false">
      <c r="D3242" s="24" t="s">
        <v>831</v>
      </c>
      <c r="J3242" s="14" t="n">
        <f aca="false">J3238+J3239+J3240+J3241</f>
        <v>120000</v>
      </c>
    </row>
    <row r="3243" customFormat="false" ht="15" hidden="false" customHeight="true" outlineLevel="0" collapsed="false">
      <c r="D3243" s="22" t="s">
        <v>832</v>
      </c>
      <c r="J3243" s="23" t="n">
        <f aca="false">J3242*OH_Site</f>
        <v>3600</v>
      </c>
    </row>
    <row r="3244" customFormat="false" ht="15" hidden="false" customHeight="true" outlineLevel="0" collapsed="false">
      <c r="D3244" s="22" t="s">
        <v>833</v>
      </c>
      <c r="J3244" s="23" t="n">
        <f aca="false">J3242*OH_HO</f>
        <v>6000</v>
      </c>
    </row>
    <row r="3245" customFormat="false" ht="15" hidden="false" customHeight="true" outlineLevel="0" collapsed="false">
      <c r="D3245" s="22" t="s">
        <v>834</v>
      </c>
      <c r="J3245" s="23" t="n">
        <f aca="false">J3242*Profit</f>
        <v>12000</v>
      </c>
    </row>
    <row r="3246" customFormat="false" ht="15" hidden="false" customHeight="true" outlineLevel="0" collapsed="false">
      <c r="D3246" s="24" t="s">
        <v>835</v>
      </c>
      <c r="J3246" s="14" t="n">
        <f aca="false">J3242+J3243+J3244+J3245</f>
        <v>141600</v>
      </c>
    </row>
    <row r="3247" customFormat="false" ht="15" hidden="false" customHeight="true" outlineLevel="0" collapsed="false">
      <c r="D3247" s="22" t="s">
        <v>836</v>
      </c>
      <c r="J3247" s="23" t="n">
        <f aca="false">IF(Tax_On="Yes",J3246*N(Tax_Rate),0)</f>
        <v>0</v>
      </c>
    </row>
    <row r="3248" customFormat="false" ht="15" hidden="false" customHeight="true" outlineLevel="0" collapsed="false">
      <c r="D3248" s="24" t="s">
        <v>1048</v>
      </c>
      <c r="J3248" s="14" t="n">
        <f aca="false">ROUND(J3246+J3247,0)</f>
        <v>141600</v>
      </c>
    </row>
    <row r="3249" customFormat="false" ht="15" hidden="false" customHeight="true" outlineLevel="0" collapsed="false">
      <c r="D3249" s="25" t="s">
        <v>838</v>
      </c>
      <c r="J3249" s="26" t="n">
        <f aca="false">COUNTIF(K3235:K3235,"NO RATE")+COUNTIF(K3235:K3235,"OLD RATE")</f>
        <v>0</v>
      </c>
    </row>
    <row r="3251" customFormat="false" ht="74.25" hidden="false" customHeight="true" outlineLevel="0" collapsed="false">
      <c r="A3251" s="4" t="s">
        <v>747</v>
      </c>
      <c r="B3251" s="16" t="s">
        <v>749</v>
      </c>
      <c r="C3251" s="27"/>
      <c r="D3251" s="27"/>
      <c r="E3251" s="27"/>
      <c r="F3251" s="27"/>
      <c r="G3251" s="27"/>
      <c r="H3251" s="27"/>
      <c r="I3251" s="28"/>
      <c r="J3251" s="4" t="s">
        <v>890</v>
      </c>
      <c r="K3251" s="17"/>
    </row>
    <row r="3252" customFormat="false" ht="15" hidden="false" customHeight="true" outlineLevel="0" collapsed="false">
      <c r="A3252" s="12" t="s">
        <v>75</v>
      </c>
      <c r="B3252" s="12" t="s">
        <v>789</v>
      </c>
      <c r="C3252" s="12" t="s">
        <v>790</v>
      </c>
      <c r="D3252" s="12" t="s">
        <v>791</v>
      </c>
      <c r="E3252" s="12" t="s">
        <v>81</v>
      </c>
      <c r="F3252" s="12" t="s">
        <v>792</v>
      </c>
      <c r="G3252" s="12" t="s">
        <v>793</v>
      </c>
      <c r="H3252" s="12" t="s">
        <v>794</v>
      </c>
      <c r="I3252" s="12" t="s">
        <v>795</v>
      </c>
      <c r="J3252" s="12" t="s">
        <v>796</v>
      </c>
      <c r="K3252" s="12" t="s">
        <v>797</v>
      </c>
    </row>
    <row r="3253" customFormat="false" ht="15" hidden="false" customHeight="true" outlineLevel="0" collapsed="false">
      <c r="A3253" s="9" t="s">
        <v>747</v>
      </c>
      <c r="B3253" s="9" t="s">
        <v>798</v>
      </c>
      <c r="C3253" s="9" t="s">
        <v>1444</v>
      </c>
      <c r="D3253" s="5" t="s">
        <v>1428</v>
      </c>
      <c r="E3253" s="9" t="s">
        <v>212</v>
      </c>
      <c r="F3253" s="18" t="n">
        <v>1</v>
      </c>
      <c r="G3253" s="13" t="n">
        <f aca="false">N(INDEX('05 MATERIAL RATE LIBRARY'!$E$5:$E$400,MATCH("MAT-GRC",'05 MATERIAL RATE LIBRARY'!$A$5:$A$400,0)))</f>
        <v>1200</v>
      </c>
      <c r="H3253" s="19" t="n">
        <v>0</v>
      </c>
      <c r="I3253" s="18" t="n">
        <f aca="false">F3253*(1+H3253)</f>
        <v>1</v>
      </c>
      <c r="J3253" s="13" t="n">
        <f aca="false">I3253*G3253</f>
        <v>1200</v>
      </c>
      <c r="K3253" s="20" t="str">
        <f aca="false">IF(INDEX('05 MATERIAL RATE LIBRARY'!$M$5:$M$400,MATCH("MAT-GRC",'05 MATERIAL RATE LIBRARY'!$A$5:$A$400,0))=1,"",IF(INDEX('05 MATERIAL RATE LIBRARY'!$M$5:$M$400,MATCH("MAT-GRC",'05 MATERIAL RATE LIBRARY'!$A$5:$A$400,0))=2,"OLD RATE","NO RATE"))</f>
        <v/>
      </c>
    </row>
    <row r="3254" customFormat="false" ht="15" hidden="false" customHeight="true" outlineLevel="0" collapsed="false">
      <c r="D3254" s="22" t="s">
        <v>825</v>
      </c>
      <c r="J3254" s="23" t="n">
        <f aca="false">SUMPRODUCT((B3253:B3253="Material")*F3253:F3253*G3253:G3253)</f>
        <v>1200</v>
      </c>
    </row>
    <row r="3255" customFormat="false" ht="15" hidden="false" customHeight="true" outlineLevel="0" collapsed="false">
      <c r="D3255" s="22" t="s">
        <v>826</v>
      </c>
      <c r="J3255" s="23" t="n">
        <f aca="false">SUMIF(B3253:B3253,"Material",J3253:J3253)-J3254</f>
        <v>0</v>
      </c>
    </row>
    <row r="3256" customFormat="false" ht="15" hidden="false" customHeight="true" outlineLevel="0" collapsed="false">
      <c r="D3256" s="24" t="s">
        <v>827</v>
      </c>
      <c r="J3256" s="14" t="n">
        <f aca="false">SUMIF(B3253:B3253,"Material",J3253:J3253)</f>
        <v>1200</v>
      </c>
    </row>
    <row r="3257" customFormat="false" ht="15" hidden="false" customHeight="true" outlineLevel="0" collapsed="false">
      <c r="D3257" s="24" t="s">
        <v>828</v>
      </c>
      <c r="J3257" s="14" t="n">
        <f aca="false">SUMIF(B3253:B3253,"Labour",J3253:J3253)</f>
        <v>0</v>
      </c>
    </row>
    <row r="3258" customFormat="false" ht="15" hidden="false" customHeight="true" outlineLevel="0" collapsed="false">
      <c r="D3258" s="24" t="s">
        <v>829</v>
      </c>
      <c r="J3258" s="14" t="n">
        <f aca="false">SUMIF(B3253:B3253,"Equipment",J3253:J3253)</f>
        <v>0</v>
      </c>
    </row>
    <row r="3259" customFormat="false" ht="15" hidden="false" customHeight="true" outlineLevel="0" collapsed="false">
      <c r="D3259" s="24" t="s">
        <v>830</v>
      </c>
      <c r="J3259" s="14" t="n">
        <f aca="false">SUMIF(B3253:B3253,"Transport",J3253:J3253)</f>
        <v>0</v>
      </c>
    </row>
    <row r="3260" customFormat="false" ht="15" hidden="false" customHeight="true" outlineLevel="0" collapsed="false">
      <c r="D3260" s="24" t="s">
        <v>831</v>
      </c>
      <c r="J3260" s="14" t="n">
        <f aca="false">J3256+J3257+J3258+J3259</f>
        <v>1200</v>
      </c>
    </row>
    <row r="3261" customFormat="false" ht="15" hidden="false" customHeight="true" outlineLevel="0" collapsed="false">
      <c r="D3261" s="22" t="s">
        <v>832</v>
      </c>
      <c r="J3261" s="23" t="n">
        <f aca="false">J3260*OH_Site</f>
        <v>36</v>
      </c>
    </row>
    <row r="3262" customFormat="false" ht="15" hidden="false" customHeight="true" outlineLevel="0" collapsed="false">
      <c r="D3262" s="22" t="s">
        <v>833</v>
      </c>
      <c r="J3262" s="23" t="n">
        <f aca="false">J3260*OH_HO</f>
        <v>60</v>
      </c>
    </row>
    <row r="3263" customFormat="false" ht="15" hidden="false" customHeight="true" outlineLevel="0" collapsed="false">
      <c r="D3263" s="22" t="s">
        <v>834</v>
      </c>
      <c r="J3263" s="23" t="n">
        <f aca="false">J3260*Profit</f>
        <v>120</v>
      </c>
    </row>
    <row r="3264" customFormat="false" ht="15" hidden="false" customHeight="true" outlineLevel="0" collapsed="false">
      <c r="D3264" s="24" t="s">
        <v>835</v>
      </c>
      <c r="J3264" s="14" t="n">
        <f aca="false">J3260+J3261+J3262+J3263</f>
        <v>1416</v>
      </c>
    </row>
    <row r="3265" customFormat="false" ht="15" hidden="false" customHeight="true" outlineLevel="0" collapsed="false">
      <c r="D3265" s="22" t="s">
        <v>836</v>
      </c>
      <c r="J3265" s="23" t="n">
        <f aca="false">IF(Tax_On="Yes",J3264*N(Tax_Rate),0)</f>
        <v>0</v>
      </c>
    </row>
    <row r="3266" customFormat="false" ht="15" hidden="false" customHeight="true" outlineLevel="0" collapsed="false">
      <c r="D3266" s="24" t="s">
        <v>895</v>
      </c>
      <c r="J3266" s="14" t="n">
        <f aca="false">ROUND(J3264+J3265,0)</f>
        <v>1416</v>
      </c>
    </row>
    <row r="3267" customFormat="false" ht="15" hidden="false" customHeight="true" outlineLevel="0" collapsed="false">
      <c r="D3267" s="25" t="s">
        <v>838</v>
      </c>
      <c r="J3267" s="26" t="n">
        <f aca="false">COUNTIF(K3253:K3253,"NO RATE")+COUNTIF(K3253:K3253,"OLD RATE")</f>
        <v>0</v>
      </c>
    </row>
    <row r="3269" customFormat="false" ht="74.25" hidden="false" customHeight="true" outlineLevel="0" collapsed="false">
      <c r="A3269" s="4" t="s">
        <v>750</v>
      </c>
      <c r="B3269" s="16" t="s">
        <v>752</v>
      </c>
      <c r="C3269" s="27"/>
      <c r="D3269" s="27"/>
      <c r="E3269" s="27"/>
      <c r="F3269" s="27"/>
      <c r="G3269" s="27"/>
      <c r="H3269" s="27"/>
      <c r="I3269" s="28"/>
      <c r="J3269" s="4" t="s">
        <v>890</v>
      </c>
      <c r="K3269" s="17"/>
    </row>
    <row r="3270" customFormat="false" ht="15" hidden="false" customHeight="true" outlineLevel="0" collapsed="false">
      <c r="A3270" s="12" t="s">
        <v>75</v>
      </c>
      <c r="B3270" s="12" t="s">
        <v>789</v>
      </c>
      <c r="C3270" s="12" t="s">
        <v>790</v>
      </c>
      <c r="D3270" s="12" t="s">
        <v>791</v>
      </c>
      <c r="E3270" s="12" t="s">
        <v>81</v>
      </c>
      <c r="F3270" s="12" t="s">
        <v>792</v>
      </c>
      <c r="G3270" s="12" t="s">
        <v>793</v>
      </c>
      <c r="H3270" s="12" t="s">
        <v>794</v>
      </c>
      <c r="I3270" s="12" t="s">
        <v>795</v>
      </c>
      <c r="J3270" s="12" t="s">
        <v>796</v>
      </c>
      <c r="K3270" s="12" t="s">
        <v>797</v>
      </c>
    </row>
    <row r="3271" customFormat="false" ht="15" hidden="false" customHeight="true" outlineLevel="0" collapsed="false">
      <c r="A3271" s="9" t="s">
        <v>750</v>
      </c>
      <c r="B3271" s="9" t="s">
        <v>798</v>
      </c>
      <c r="C3271" s="9" t="s">
        <v>1445</v>
      </c>
      <c r="D3271" s="5" t="s">
        <v>1428</v>
      </c>
      <c r="E3271" s="9" t="s">
        <v>212</v>
      </c>
      <c r="F3271" s="18" t="n">
        <v>1</v>
      </c>
      <c r="G3271" s="13" t="n">
        <f aca="false">N(INDEX('05 MATERIAL RATE LIBRARY'!$E$5:$E$400,MATCH("MAT-EIFS",'05 MATERIAL RATE LIBRARY'!$A$5:$A$400,0)))</f>
        <v>650</v>
      </c>
      <c r="H3271" s="19" t="n">
        <v>0</v>
      </c>
      <c r="I3271" s="18" t="n">
        <f aca="false">F3271*(1+H3271)</f>
        <v>1</v>
      </c>
      <c r="J3271" s="13" t="n">
        <f aca="false">I3271*G3271</f>
        <v>650</v>
      </c>
      <c r="K3271" s="20" t="str">
        <f aca="false">IF(INDEX('05 MATERIAL RATE LIBRARY'!$M$5:$M$400,MATCH("MAT-EIFS",'05 MATERIAL RATE LIBRARY'!$A$5:$A$400,0))=1,"",IF(INDEX('05 MATERIAL RATE LIBRARY'!$M$5:$M$400,MATCH("MAT-EIFS",'05 MATERIAL RATE LIBRARY'!$A$5:$A$400,0))=2,"OLD RATE","NO RATE"))</f>
        <v/>
      </c>
    </row>
    <row r="3272" customFormat="false" ht="15" hidden="false" customHeight="true" outlineLevel="0" collapsed="false">
      <c r="D3272" s="22" t="s">
        <v>825</v>
      </c>
      <c r="J3272" s="23" t="n">
        <f aca="false">SUMPRODUCT((B3271:B3271="Material")*F3271:F3271*G3271:G3271)</f>
        <v>650</v>
      </c>
    </row>
    <row r="3273" customFormat="false" ht="15" hidden="false" customHeight="true" outlineLevel="0" collapsed="false">
      <c r="D3273" s="22" t="s">
        <v>826</v>
      </c>
      <c r="J3273" s="23" t="n">
        <f aca="false">SUMIF(B3271:B3271,"Material",J3271:J3271)-J3272</f>
        <v>0</v>
      </c>
    </row>
    <row r="3274" customFormat="false" ht="15" hidden="false" customHeight="true" outlineLevel="0" collapsed="false">
      <c r="D3274" s="24" t="s">
        <v>827</v>
      </c>
      <c r="J3274" s="14" t="n">
        <f aca="false">SUMIF(B3271:B3271,"Material",J3271:J3271)</f>
        <v>650</v>
      </c>
    </row>
    <row r="3275" customFormat="false" ht="15" hidden="false" customHeight="true" outlineLevel="0" collapsed="false">
      <c r="D3275" s="24" t="s">
        <v>828</v>
      </c>
      <c r="J3275" s="14" t="n">
        <f aca="false">SUMIF(B3271:B3271,"Labour",J3271:J3271)</f>
        <v>0</v>
      </c>
    </row>
    <row r="3276" customFormat="false" ht="15" hidden="false" customHeight="true" outlineLevel="0" collapsed="false">
      <c r="D3276" s="24" t="s">
        <v>829</v>
      </c>
      <c r="J3276" s="14" t="n">
        <f aca="false">SUMIF(B3271:B3271,"Equipment",J3271:J3271)</f>
        <v>0</v>
      </c>
    </row>
    <row r="3277" customFormat="false" ht="15" hidden="false" customHeight="true" outlineLevel="0" collapsed="false">
      <c r="D3277" s="24" t="s">
        <v>830</v>
      </c>
      <c r="J3277" s="14" t="n">
        <f aca="false">SUMIF(B3271:B3271,"Transport",J3271:J3271)</f>
        <v>0</v>
      </c>
    </row>
    <row r="3278" customFormat="false" ht="15" hidden="false" customHeight="true" outlineLevel="0" collapsed="false">
      <c r="D3278" s="24" t="s">
        <v>831</v>
      </c>
      <c r="J3278" s="14" t="n">
        <f aca="false">J3274+J3275+J3276+J3277</f>
        <v>650</v>
      </c>
    </row>
    <row r="3279" customFormat="false" ht="15" hidden="false" customHeight="true" outlineLevel="0" collapsed="false">
      <c r="D3279" s="22" t="s">
        <v>832</v>
      </c>
      <c r="J3279" s="23" t="n">
        <f aca="false">J3278*OH_Site</f>
        <v>19.5</v>
      </c>
    </row>
    <row r="3280" customFormat="false" ht="15" hidden="false" customHeight="true" outlineLevel="0" collapsed="false">
      <c r="D3280" s="22" t="s">
        <v>833</v>
      </c>
      <c r="J3280" s="23" t="n">
        <f aca="false">J3278*OH_HO</f>
        <v>32.5</v>
      </c>
    </row>
    <row r="3281" customFormat="false" ht="15" hidden="false" customHeight="true" outlineLevel="0" collapsed="false">
      <c r="D3281" s="22" t="s">
        <v>834</v>
      </c>
      <c r="J3281" s="23" t="n">
        <f aca="false">J3278*Profit</f>
        <v>65</v>
      </c>
    </row>
    <row r="3282" customFormat="false" ht="15" hidden="false" customHeight="true" outlineLevel="0" collapsed="false">
      <c r="D3282" s="24" t="s">
        <v>835</v>
      </c>
      <c r="J3282" s="14" t="n">
        <f aca="false">J3278+J3279+J3280+J3281</f>
        <v>767</v>
      </c>
    </row>
    <row r="3283" customFormat="false" ht="15" hidden="false" customHeight="true" outlineLevel="0" collapsed="false">
      <c r="D3283" s="22" t="s">
        <v>836</v>
      </c>
      <c r="J3283" s="23" t="n">
        <f aca="false">IF(Tax_On="Yes",J3282*N(Tax_Rate),0)</f>
        <v>0</v>
      </c>
    </row>
    <row r="3284" customFormat="false" ht="15" hidden="false" customHeight="true" outlineLevel="0" collapsed="false">
      <c r="D3284" s="24" t="s">
        <v>895</v>
      </c>
      <c r="J3284" s="14" t="n">
        <f aca="false">ROUND(J3282+J3283,0)</f>
        <v>767</v>
      </c>
    </row>
    <row r="3285" customFormat="false" ht="15" hidden="false" customHeight="true" outlineLevel="0" collapsed="false">
      <c r="D3285" s="25" t="s">
        <v>838</v>
      </c>
      <c r="J3285" s="26" t="n">
        <f aca="false">COUNTIF(K3271:K3271,"NO RATE")+COUNTIF(K3271:K3271,"OLD RATE")</f>
        <v>0</v>
      </c>
    </row>
    <row r="3287" customFormat="false" ht="95.25" hidden="false" customHeight="true" outlineLevel="0" collapsed="false">
      <c r="A3287" s="4" t="s">
        <v>753</v>
      </c>
      <c r="B3287" s="16" t="s">
        <v>755</v>
      </c>
      <c r="C3287" s="27"/>
      <c r="D3287" s="27"/>
      <c r="E3287" s="27"/>
      <c r="F3287" s="27"/>
      <c r="G3287" s="27"/>
      <c r="H3287" s="27"/>
      <c r="I3287" s="28"/>
      <c r="J3287" s="4" t="s">
        <v>890</v>
      </c>
      <c r="K3287" s="17"/>
    </row>
    <row r="3288" customFormat="false" ht="15" hidden="false" customHeight="true" outlineLevel="0" collapsed="false">
      <c r="A3288" s="12" t="s">
        <v>75</v>
      </c>
      <c r="B3288" s="12" t="s">
        <v>789</v>
      </c>
      <c r="C3288" s="12" t="s">
        <v>790</v>
      </c>
      <c r="D3288" s="12" t="s">
        <v>791</v>
      </c>
      <c r="E3288" s="12" t="s">
        <v>81</v>
      </c>
      <c r="F3288" s="12" t="s">
        <v>792</v>
      </c>
      <c r="G3288" s="12" t="s">
        <v>793</v>
      </c>
      <c r="H3288" s="12" t="s">
        <v>794</v>
      </c>
      <c r="I3288" s="12" t="s">
        <v>795</v>
      </c>
      <c r="J3288" s="12" t="s">
        <v>796</v>
      </c>
      <c r="K3288" s="12" t="s">
        <v>797</v>
      </c>
    </row>
    <row r="3289" customFormat="false" ht="15" hidden="false" customHeight="true" outlineLevel="0" collapsed="false">
      <c r="A3289" s="9" t="s">
        <v>753</v>
      </c>
      <c r="B3289" s="9" t="s">
        <v>798</v>
      </c>
      <c r="C3289" s="9" t="s">
        <v>1446</v>
      </c>
      <c r="D3289" s="5" t="s">
        <v>1428</v>
      </c>
      <c r="E3289" s="9" t="s">
        <v>212</v>
      </c>
      <c r="F3289" s="18" t="n">
        <v>1</v>
      </c>
      <c r="G3289" s="13" t="n">
        <f aca="false">N(INDEX('05 MATERIAL RATE LIBRARY'!$E$5:$E$400,MATCH("MAT-CNPY",'05 MATERIAL RATE LIBRARY'!$A$5:$A$400,0)))</f>
        <v>3500</v>
      </c>
      <c r="H3289" s="19" t="n">
        <v>0</v>
      </c>
      <c r="I3289" s="18" t="n">
        <f aca="false">F3289*(1+H3289)</f>
        <v>1</v>
      </c>
      <c r="J3289" s="13" t="n">
        <f aca="false">I3289*G3289</f>
        <v>3500</v>
      </c>
      <c r="K3289" s="20" t="str">
        <f aca="false">IF(INDEX('05 MATERIAL RATE LIBRARY'!$M$5:$M$400,MATCH("MAT-CNPY",'05 MATERIAL RATE LIBRARY'!$A$5:$A$400,0))=1,"",IF(INDEX('05 MATERIAL RATE LIBRARY'!$M$5:$M$400,MATCH("MAT-CNPY",'05 MATERIAL RATE LIBRARY'!$A$5:$A$400,0))=2,"OLD RATE","NO RATE"))</f>
        <v/>
      </c>
    </row>
    <row r="3290" customFormat="false" ht="15" hidden="false" customHeight="true" outlineLevel="0" collapsed="false">
      <c r="D3290" s="22" t="s">
        <v>825</v>
      </c>
      <c r="J3290" s="23" t="n">
        <f aca="false">SUMPRODUCT((B3289:B3289="Material")*F3289:F3289*G3289:G3289)</f>
        <v>3500</v>
      </c>
    </row>
    <row r="3291" customFormat="false" ht="15" hidden="false" customHeight="true" outlineLevel="0" collapsed="false">
      <c r="D3291" s="22" t="s">
        <v>826</v>
      </c>
      <c r="J3291" s="23" t="n">
        <f aca="false">SUMIF(B3289:B3289,"Material",J3289:J3289)-J3290</f>
        <v>0</v>
      </c>
    </row>
    <row r="3292" customFormat="false" ht="15" hidden="false" customHeight="true" outlineLevel="0" collapsed="false">
      <c r="D3292" s="24" t="s">
        <v>827</v>
      </c>
      <c r="J3292" s="14" t="n">
        <f aca="false">SUMIF(B3289:B3289,"Material",J3289:J3289)</f>
        <v>3500</v>
      </c>
    </row>
    <row r="3293" customFormat="false" ht="15" hidden="false" customHeight="true" outlineLevel="0" collapsed="false">
      <c r="D3293" s="24" t="s">
        <v>828</v>
      </c>
      <c r="J3293" s="14" t="n">
        <f aca="false">SUMIF(B3289:B3289,"Labour",J3289:J3289)</f>
        <v>0</v>
      </c>
    </row>
    <row r="3294" customFormat="false" ht="15" hidden="false" customHeight="true" outlineLevel="0" collapsed="false">
      <c r="D3294" s="24" t="s">
        <v>829</v>
      </c>
      <c r="J3294" s="14" t="n">
        <f aca="false">SUMIF(B3289:B3289,"Equipment",J3289:J3289)</f>
        <v>0</v>
      </c>
    </row>
    <row r="3295" customFormat="false" ht="15" hidden="false" customHeight="true" outlineLevel="0" collapsed="false">
      <c r="D3295" s="24" t="s">
        <v>830</v>
      </c>
      <c r="J3295" s="14" t="n">
        <f aca="false">SUMIF(B3289:B3289,"Transport",J3289:J3289)</f>
        <v>0</v>
      </c>
    </row>
    <row r="3296" customFormat="false" ht="15" hidden="false" customHeight="true" outlineLevel="0" collapsed="false">
      <c r="D3296" s="24" t="s">
        <v>831</v>
      </c>
      <c r="J3296" s="14" t="n">
        <f aca="false">J3292+J3293+J3294+J3295</f>
        <v>3500</v>
      </c>
    </row>
    <row r="3297" customFormat="false" ht="15" hidden="false" customHeight="true" outlineLevel="0" collapsed="false">
      <c r="D3297" s="22" t="s">
        <v>832</v>
      </c>
      <c r="J3297" s="23" t="n">
        <f aca="false">J3296*OH_Site</f>
        <v>105</v>
      </c>
    </row>
    <row r="3298" customFormat="false" ht="15" hidden="false" customHeight="true" outlineLevel="0" collapsed="false">
      <c r="D3298" s="22" t="s">
        <v>833</v>
      </c>
      <c r="J3298" s="23" t="n">
        <f aca="false">J3296*OH_HO</f>
        <v>175</v>
      </c>
    </row>
    <row r="3299" customFormat="false" ht="15" hidden="false" customHeight="true" outlineLevel="0" collapsed="false">
      <c r="D3299" s="22" t="s">
        <v>834</v>
      </c>
      <c r="J3299" s="23" t="n">
        <f aca="false">J3296*Profit</f>
        <v>350</v>
      </c>
    </row>
    <row r="3300" customFormat="false" ht="15" hidden="false" customHeight="true" outlineLevel="0" collapsed="false">
      <c r="D3300" s="24" t="s">
        <v>835</v>
      </c>
      <c r="J3300" s="14" t="n">
        <f aca="false">J3296+J3297+J3298+J3299</f>
        <v>4130</v>
      </c>
    </row>
    <row r="3301" customFormat="false" ht="15" hidden="false" customHeight="true" outlineLevel="0" collapsed="false">
      <c r="D3301" s="22" t="s">
        <v>836</v>
      </c>
      <c r="J3301" s="23" t="n">
        <f aca="false">IF(Tax_On="Yes",J3300*N(Tax_Rate),0)</f>
        <v>0</v>
      </c>
    </row>
    <row r="3302" customFormat="false" ht="15" hidden="false" customHeight="true" outlineLevel="0" collapsed="false">
      <c r="D3302" s="24" t="s">
        <v>895</v>
      </c>
      <c r="J3302" s="14" t="n">
        <f aca="false">ROUND(J3300+J3301,0)</f>
        <v>4130</v>
      </c>
    </row>
    <row r="3303" customFormat="false" ht="15" hidden="false" customHeight="true" outlineLevel="0" collapsed="false">
      <c r="D3303" s="25" t="s">
        <v>838</v>
      </c>
      <c r="J3303" s="26" t="n">
        <f aca="false">COUNTIF(K3289:K3289,"NO RATE")+COUNTIF(K3289:K3289,"OLD RATE")</f>
        <v>0</v>
      </c>
    </row>
    <row r="3305" customFormat="false" ht="84.75" hidden="false" customHeight="true" outlineLevel="0" collapsed="false">
      <c r="A3305" s="4" t="s">
        <v>756</v>
      </c>
      <c r="B3305" s="16" t="s">
        <v>758</v>
      </c>
      <c r="C3305" s="27"/>
      <c r="D3305" s="27"/>
      <c r="E3305" s="27"/>
      <c r="F3305" s="27"/>
      <c r="G3305" s="27"/>
      <c r="H3305" s="27"/>
      <c r="I3305" s="28"/>
      <c r="J3305" s="4" t="s">
        <v>890</v>
      </c>
      <c r="K3305" s="17"/>
    </row>
    <row r="3306" customFormat="false" ht="15" hidden="false" customHeight="true" outlineLevel="0" collapsed="false">
      <c r="A3306" s="12" t="s">
        <v>75</v>
      </c>
      <c r="B3306" s="12" t="s">
        <v>789</v>
      </c>
      <c r="C3306" s="12" t="s">
        <v>790</v>
      </c>
      <c r="D3306" s="12" t="s">
        <v>791</v>
      </c>
      <c r="E3306" s="12" t="s">
        <v>81</v>
      </c>
      <c r="F3306" s="12" t="s">
        <v>792</v>
      </c>
      <c r="G3306" s="12" t="s">
        <v>793</v>
      </c>
      <c r="H3306" s="12" t="s">
        <v>794</v>
      </c>
      <c r="I3306" s="12" t="s">
        <v>795</v>
      </c>
      <c r="J3306" s="12" t="s">
        <v>796</v>
      </c>
      <c r="K3306" s="12" t="s">
        <v>797</v>
      </c>
    </row>
    <row r="3307" customFormat="false" ht="15" hidden="false" customHeight="true" outlineLevel="0" collapsed="false">
      <c r="A3307" s="9" t="s">
        <v>756</v>
      </c>
      <c r="B3307" s="9" t="s">
        <v>798</v>
      </c>
      <c r="C3307" s="9" t="s">
        <v>1447</v>
      </c>
      <c r="D3307" s="5" t="s">
        <v>1428</v>
      </c>
      <c r="E3307" s="9" t="s">
        <v>212</v>
      </c>
      <c r="F3307" s="18" t="n">
        <v>1</v>
      </c>
      <c r="G3307" s="13" t="n">
        <f aca="false">N(INDEX('05 MATERIAL RATE LIBRARY'!$E$5:$E$400,MATCH("MAT-SKYL",'05 MATERIAL RATE LIBRARY'!$A$5:$A$400,0)))</f>
        <v>2500</v>
      </c>
      <c r="H3307" s="19" t="n">
        <v>0</v>
      </c>
      <c r="I3307" s="18" t="n">
        <f aca="false">F3307*(1+H3307)</f>
        <v>1</v>
      </c>
      <c r="J3307" s="13" t="n">
        <f aca="false">I3307*G3307</f>
        <v>2500</v>
      </c>
      <c r="K3307" s="20" t="str">
        <f aca="false">IF(INDEX('05 MATERIAL RATE LIBRARY'!$M$5:$M$400,MATCH("MAT-SKYL",'05 MATERIAL RATE LIBRARY'!$A$5:$A$400,0))=1,"",IF(INDEX('05 MATERIAL RATE LIBRARY'!$M$5:$M$400,MATCH("MAT-SKYL",'05 MATERIAL RATE LIBRARY'!$A$5:$A$400,0))=2,"OLD RATE","NO RATE"))</f>
        <v/>
      </c>
    </row>
    <row r="3308" customFormat="false" ht="15" hidden="false" customHeight="true" outlineLevel="0" collapsed="false">
      <c r="D3308" s="22" t="s">
        <v>825</v>
      </c>
      <c r="J3308" s="23" t="n">
        <f aca="false">SUMPRODUCT((B3307:B3307="Material")*F3307:F3307*G3307:G3307)</f>
        <v>2500</v>
      </c>
    </row>
    <row r="3309" customFormat="false" ht="15" hidden="false" customHeight="true" outlineLevel="0" collapsed="false">
      <c r="D3309" s="22" t="s">
        <v>826</v>
      </c>
      <c r="J3309" s="23" t="n">
        <f aca="false">SUMIF(B3307:B3307,"Material",J3307:J3307)-J3308</f>
        <v>0</v>
      </c>
    </row>
    <row r="3310" customFormat="false" ht="15" hidden="false" customHeight="true" outlineLevel="0" collapsed="false">
      <c r="D3310" s="24" t="s">
        <v>827</v>
      </c>
      <c r="J3310" s="14" t="n">
        <f aca="false">SUMIF(B3307:B3307,"Material",J3307:J3307)</f>
        <v>2500</v>
      </c>
    </row>
    <row r="3311" customFormat="false" ht="15" hidden="false" customHeight="true" outlineLevel="0" collapsed="false">
      <c r="D3311" s="24" t="s">
        <v>828</v>
      </c>
      <c r="J3311" s="14" t="n">
        <f aca="false">SUMIF(B3307:B3307,"Labour",J3307:J3307)</f>
        <v>0</v>
      </c>
    </row>
    <row r="3312" customFormat="false" ht="15" hidden="false" customHeight="true" outlineLevel="0" collapsed="false">
      <c r="D3312" s="24" t="s">
        <v>829</v>
      </c>
      <c r="J3312" s="14" t="n">
        <f aca="false">SUMIF(B3307:B3307,"Equipment",J3307:J3307)</f>
        <v>0</v>
      </c>
    </row>
    <row r="3313" customFormat="false" ht="15" hidden="false" customHeight="true" outlineLevel="0" collapsed="false">
      <c r="D3313" s="24" t="s">
        <v>830</v>
      </c>
      <c r="J3313" s="14" t="n">
        <f aca="false">SUMIF(B3307:B3307,"Transport",J3307:J3307)</f>
        <v>0</v>
      </c>
    </row>
    <row r="3314" customFormat="false" ht="15" hidden="false" customHeight="true" outlineLevel="0" collapsed="false">
      <c r="D3314" s="24" t="s">
        <v>831</v>
      </c>
      <c r="J3314" s="14" t="n">
        <f aca="false">J3310+J3311+J3312+J3313</f>
        <v>2500</v>
      </c>
    </row>
    <row r="3315" customFormat="false" ht="15" hidden="false" customHeight="true" outlineLevel="0" collapsed="false">
      <c r="D3315" s="22" t="s">
        <v>832</v>
      </c>
      <c r="J3315" s="23" t="n">
        <f aca="false">J3314*OH_Site</f>
        <v>75</v>
      </c>
    </row>
    <row r="3316" customFormat="false" ht="15" hidden="false" customHeight="true" outlineLevel="0" collapsed="false">
      <c r="D3316" s="22" t="s">
        <v>833</v>
      </c>
      <c r="J3316" s="23" t="n">
        <f aca="false">J3314*OH_HO</f>
        <v>125</v>
      </c>
    </row>
    <row r="3317" customFormat="false" ht="15" hidden="false" customHeight="true" outlineLevel="0" collapsed="false">
      <c r="D3317" s="22" t="s">
        <v>834</v>
      </c>
      <c r="J3317" s="23" t="n">
        <f aca="false">J3314*Profit</f>
        <v>250</v>
      </c>
    </row>
    <row r="3318" customFormat="false" ht="15" hidden="false" customHeight="true" outlineLevel="0" collapsed="false">
      <c r="D3318" s="24" t="s">
        <v>835</v>
      </c>
      <c r="J3318" s="14" t="n">
        <f aca="false">J3314+J3315+J3316+J3317</f>
        <v>2950</v>
      </c>
    </row>
    <row r="3319" customFormat="false" ht="15" hidden="false" customHeight="true" outlineLevel="0" collapsed="false">
      <c r="D3319" s="22" t="s">
        <v>836</v>
      </c>
      <c r="J3319" s="23" t="n">
        <f aca="false">IF(Tax_On="Yes",J3318*N(Tax_Rate),0)</f>
        <v>0</v>
      </c>
    </row>
    <row r="3320" customFormat="false" ht="15" hidden="false" customHeight="true" outlineLevel="0" collapsed="false">
      <c r="D3320" s="24" t="s">
        <v>895</v>
      </c>
      <c r="J3320" s="14" t="n">
        <f aca="false">ROUND(J3318+J3319,0)</f>
        <v>2950</v>
      </c>
    </row>
    <row r="3321" customFormat="false" ht="15" hidden="false" customHeight="true" outlineLevel="0" collapsed="false">
      <c r="D3321" s="25" t="s">
        <v>838</v>
      </c>
      <c r="J3321" s="26" t="n">
        <f aca="false">COUNTIF(K3307:K3307,"NO RATE")+COUNTIF(K3307:K3307,"OLD RATE")</f>
        <v>0</v>
      </c>
    </row>
    <row r="3323" customFormat="false" ht="74.25" hidden="false" customHeight="true" outlineLevel="0" collapsed="false">
      <c r="A3323" s="4" t="s">
        <v>759</v>
      </c>
      <c r="B3323" s="16" t="s">
        <v>761</v>
      </c>
      <c r="C3323" s="27"/>
      <c r="D3323" s="27"/>
      <c r="E3323" s="27"/>
      <c r="F3323" s="27"/>
      <c r="G3323" s="27"/>
      <c r="H3323" s="27"/>
      <c r="I3323" s="28"/>
      <c r="J3323" s="4" t="s">
        <v>1032</v>
      </c>
      <c r="K3323" s="17"/>
    </row>
    <row r="3324" customFormat="false" ht="15" hidden="false" customHeight="true" outlineLevel="0" collapsed="false">
      <c r="A3324" s="12" t="s">
        <v>75</v>
      </c>
      <c r="B3324" s="12" t="s">
        <v>789</v>
      </c>
      <c r="C3324" s="12" t="s">
        <v>790</v>
      </c>
      <c r="D3324" s="12" t="s">
        <v>791</v>
      </c>
      <c r="E3324" s="12" t="s">
        <v>81</v>
      </c>
      <c r="F3324" s="12" t="s">
        <v>792</v>
      </c>
      <c r="G3324" s="12" t="s">
        <v>793</v>
      </c>
      <c r="H3324" s="12" t="s">
        <v>794</v>
      </c>
      <c r="I3324" s="12" t="s">
        <v>795</v>
      </c>
      <c r="J3324" s="12" t="s">
        <v>796</v>
      </c>
      <c r="K3324" s="12" t="s">
        <v>797</v>
      </c>
    </row>
    <row r="3325" customFormat="false" ht="15" hidden="false" customHeight="true" outlineLevel="0" collapsed="false">
      <c r="A3325" s="9" t="s">
        <v>759</v>
      </c>
      <c r="B3325" s="9" t="s">
        <v>798</v>
      </c>
      <c r="C3325" s="9" t="s">
        <v>1448</v>
      </c>
      <c r="D3325" s="5" t="s">
        <v>1428</v>
      </c>
      <c r="E3325" s="9" t="s">
        <v>368</v>
      </c>
      <c r="F3325" s="18" t="n">
        <v>1</v>
      </c>
      <c r="G3325" s="13" t="n">
        <f aca="false">N(INDEX('05 MATERIAL RATE LIBRARY'!$E$5:$E$400,MATCH("MAT-URN",'05 MATERIAL RATE LIBRARY'!$A$5:$A$400,0)))</f>
        <v>25000</v>
      </c>
      <c r="H3325" s="19" t="n">
        <v>0</v>
      </c>
      <c r="I3325" s="18" t="n">
        <f aca="false">F3325*(1+H3325)</f>
        <v>1</v>
      </c>
      <c r="J3325" s="13" t="n">
        <f aca="false">I3325*G3325</f>
        <v>25000</v>
      </c>
      <c r="K3325" s="20" t="str">
        <f aca="false">IF(INDEX('05 MATERIAL RATE LIBRARY'!$M$5:$M$400,MATCH("MAT-URN",'05 MATERIAL RATE LIBRARY'!$A$5:$A$400,0))=1,"",IF(INDEX('05 MATERIAL RATE LIBRARY'!$M$5:$M$400,MATCH("MAT-URN",'05 MATERIAL RATE LIBRARY'!$A$5:$A$400,0))=2,"OLD RATE","NO RATE"))</f>
        <v/>
      </c>
    </row>
    <row r="3326" customFormat="false" ht="15" hidden="false" customHeight="true" outlineLevel="0" collapsed="false">
      <c r="A3326" s="9" t="s">
        <v>759</v>
      </c>
      <c r="B3326" s="9" t="s">
        <v>812</v>
      </c>
      <c r="C3326" s="9" t="s">
        <v>1134</v>
      </c>
      <c r="D3326" s="5" t="s">
        <v>1449</v>
      </c>
      <c r="E3326" s="9" t="s">
        <v>815</v>
      </c>
      <c r="F3326" s="18" t="n">
        <f aca="false">'13 PRODUCTIVITY LIBRARY'!E50/'13 PRODUCTIVITY LIBRARY'!D50</f>
        <v>1.11111111111111</v>
      </c>
      <c r="G3326" s="13" t="n">
        <f aca="false">N(INDEX('06 LABOUR RATE LIBRARY'!$D$5:$D$100,MATCH("LAB-PLB",'06 LABOUR RATE LIBRARY'!$A$5:$A$100,0)))</f>
        <v>2600</v>
      </c>
      <c r="H3326" s="19" t="n">
        <v>0</v>
      </c>
      <c r="I3326" s="18" t="n">
        <f aca="false">F3326*(1+H3326)</f>
        <v>1.11111111111111</v>
      </c>
      <c r="J3326" s="13" t="n">
        <f aca="false">I3326*G3326</f>
        <v>2888.88888888889</v>
      </c>
      <c r="K3326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3327" customFormat="false" ht="15" hidden="false" customHeight="true" outlineLevel="0" collapsed="false">
      <c r="A3327" s="9" t="s">
        <v>759</v>
      </c>
      <c r="B3327" s="9" t="s">
        <v>812</v>
      </c>
      <c r="C3327" s="9" t="s">
        <v>816</v>
      </c>
      <c r="D3327" s="5" t="s">
        <v>1450</v>
      </c>
      <c r="E3327" s="9" t="s">
        <v>815</v>
      </c>
      <c r="F3327" s="18" t="n">
        <f aca="false">'13 PRODUCTIVITY LIBRARY'!F50/'13 PRODUCTIVITY LIBRARY'!D50</f>
        <v>1.11111111111111</v>
      </c>
      <c r="G3327" s="13" t="n">
        <f aca="false">N(INDEX('06 LABOUR RATE LIBRARY'!$D$5:$D$100,MATCH("LAB-HLP",'06 LABOUR RATE LIBRARY'!$A$5:$A$100,0)))</f>
        <v>1538</v>
      </c>
      <c r="H3327" s="19" t="n">
        <v>0</v>
      </c>
      <c r="I3327" s="18" t="n">
        <f aca="false">F3327*(1+H3327)</f>
        <v>1.11111111111111</v>
      </c>
      <c r="J3327" s="13" t="n">
        <f aca="false">I3327*G3327</f>
        <v>1708.88888888889</v>
      </c>
      <c r="K332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328" customFormat="false" ht="15" hidden="false" customHeight="true" outlineLevel="0" collapsed="false">
      <c r="D3328" s="22" t="s">
        <v>825</v>
      </c>
      <c r="J3328" s="23" t="n">
        <f aca="false">SUMPRODUCT((B3325:B3327="Material")*F3325:F3327*G3325:G3327)</f>
        <v>25000</v>
      </c>
    </row>
    <row r="3329" customFormat="false" ht="15" hidden="false" customHeight="true" outlineLevel="0" collapsed="false">
      <c r="D3329" s="22" t="s">
        <v>826</v>
      </c>
      <c r="J3329" s="23" t="n">
        <f aca="false">SUMIF(B3325:B3327,"Material",J3325:J3327)-J3328</f>
        <v>0</v>
      </c>
    </row>
    <row r="3330" customFormat="false" ht="15" hidden="false" customHeight="true" outlineLevel="0" collapsed="false">
      <c r="D3330" s="24" t="s">
        <v>827</v>
      </c>
      <c r="J3330" s="14" t="n">
        <f aca="false">SUMIF(B3325:B3327,"Material",J3325:J3327)</f>
        <v>25000</v>
      </c>
    </row>
    <row r="3331" customFormat="false" ht="15" hidden="false" customHeight="true" outlineLevel="0" collapsed="false">
      <c r="D3331" s="24" t="s">
        <v>828</v>
      </c>
      <c r="J3331" s="14" t="n">
        <f aca="false">SUMIF(B3325:B3327,"Labour",J3325:J3327)</f>
        <v>4597.77777777778</v>
      </c>
    </row>
    <row r="3332" customFormat="false" ht="15" hidden="false" customHeight="true" outlineLevel="0" collapsed="false">
      <c r="D3332" s="24" t="s">
        <v>829</v>
      </c>
      <c r="J3332" s="14" t="n">
        <f aca="false">SUMIF(B3325:B3327,"Equipment",J3325:J3327)</f>
        <v>0</v>
      </c>
    </row>
    <row r="3333" customFormat="false" ht="15" hidden="false" customHeight="true" outlineLevel="0" collapsed="false">
      <c r="D3333" s="24" t="s">
        <v>830</v>
      </c>
      <c r="J3333" s="14" t="n">
        <f aca="false">SUMIF(B3325:B3327,"Transport",J3325:J3327)</f>
        <v>0</v>
      </c>
    </row>
    <row r="3334" customFormat="false" ht="15" hidden="false" customHeight="true" outlineLevel="0" collapsed="false">
      <c r="D3334" s="24" t="s">
        <v>831</v>
      </c>
      <c r="J3334" s="14" t="n">
        <f aca="false">J3330+J3331+J3332+J3333</f>
        <v>29597.7777777778</v>
      </c>
    </row>
    <row r="3335" customFormat="false" ht="15" hidden="false" customHeight="true" outlineLevel="0" collapsed="false">
      <c r="D3335" s="22" t="s">
        <v>832</v>
      </c>
      <c r="J3335" s="23" t="n">
        <f aca="false">J3334*OH_Site</f>
        <v>887.933333333333</v>
      </c>
    </row>
    <row r="3336" customFormat="false" ht="15" hidden="false" customHeight="true" outlineLevel="0" collapsed="false">
      <c r="D3336" s="22" t="s">
        <v>833</v>
      </c>
      <c r="J3336" s="23" t="n">
        <f aca="false">J3334*OH_HO</f>
        <v>1479.88888888889</v>
      </c>
    </row>
    <row r="3337" customFormat="false" ht="15" hidden="false" customHeight="true" outlineLevel="0" collapsed="false">
      <c r="D3337" s="22" t="s">
        <v>834</v>
      </c>
      <c r="J3337" s="23" t="n">
        <f aca="false">J3334*Profit</f>
        <v>2959.77777777778</v>
      </c>
    </row>
    <row r="3338" customFormat="false" ht="15" hidden="false" customHeight="true" outlineLevel="0" collapsed="false">
      <c r="D3338" s="24" t="s">
        <v>835</v>
      </c>
      <c r="J3338" s="14" t="n">
        <f aca="false">J3334+J3335+J3336+J3337</f>
        <v>34925.3777777778</v>
      </c>
    </row>
    <row r="3339" customFormat="false" ht="15" hidden="false" customHeight="true" outlineLevel="0" collapsed="false">
      <c r="D3339" s="22" t="s">
        <v>836</v>
      </c>
      <c r="J3339" s="23" t="n">
        <f aca="false">IF(Tax_On="Yes",J3338*N(Tax_Rate),0)</f>
        <v>0</v>
      </c>
    </row>
    <row r="3340" customFormat="false" ht="15" hidden="false" customHeight="true" outlineLevel="0" collapsed="false">
      <c r="D3340" s="24" t="s">
        <v>1048</v>
      </c>
      <c r="J3340" s="14" t="n">
        <f aca="false">ROUND(J3338+J3339,0)</f>
        <v>34925</v>
      </c>
    </row>
    <row r="3341" customFormat="false" ht="15" hidden="false" customHeight="true" outlineLevel="0" collapsed="false">
      <c r="D3341" s="25" t="s">
        <v>838</v>
      </c>
      <c r="J3341" s="26" t="n">
        <f aca="false">COUNTIF(K3325:K3327,"NO RATE")+COUNTIF(K3325:K3327,"OLD RATE")</f>
        <v>0</v>
      </c>
    </row>
    <row r="3343" customFormat="false" ht="84.75" hidden="false" customHeight="true" outlineLevel="0" collapsed="false">
      <c r="A3343" s="4" t="s">
        <v>763</v>
      </c>
      <c r="B3343" s="16" t="s">
        <v>765</v>
      </c>
      <c r="C3343" s="27"/>
      <c r="D3343" s="27"/>
      <c r="E3343" s="27"/>
      <c r="F3343" s="27"/>
      <c r="G3343" s="27"/>
      <c r="H3343" s="27"/>
      <c r="I3343" s="28"/>
      <c r="J3343" s="4" t="s">
        <v>1061</v>
      </c>
      <c r="K3343" s="17"/>
    </row>
    <row r="3344" customFormat="false" ht="15" hidden="false" customHeight="true" outlineLevel="0" collapsed="false">
      <c r="A3344" s="12" t="s">
        <v>75</v>
      </c>
      <c r="B3344" s="12" t="s">
        <v>789</v>
      </c>
      <c r="C3344" s="12" t="s">
        <v>790</v>
      </c>
      <c r="D3344" s="12" t="s">
        <v>791</v>
      </c>
      <c r="E3344" s="12" t="s">
        <v>81</v>
      </c>
      <c r="F3344" s="12" t="s">
        <v>792</v>
      </c>
      <c r="G3344" s="12" t="s">
        <v>793</v>
      </c>
      <c r="H3344" s="12" t="s">
        <v>794</v>
      </c>
      <c r="I3344" s="12" t="s">
        <v>795</v>
      </c>
      <c r="J3344" s="12" t="s">
        <v>796</v>
      </c>
      <c r="K3344" s="12" t="s">
        <v>797</v>
      </c>
    </row>
    <row r="3345" customFormat="false" ht="15" hidden="false" customHeight="true" outlineLevel="0" collapsed="false">
      <c r="A3345" s="9" t="s">
        <v>763</v>
      </c>
      <c r="B3345" s="9" t="s">
        <v>798</v>
      </c>
      <c r="C3345" s="9" t="s">
        <v>1451</v>
      </c>
      <c r="D3345" s="5" t="s">
        <v>1428</v>
      </c>
      <c r="E3345" s="9" t="s">
        <v>386</v>
      </c>
      <c r="F3345" s="18" t="n">
        <v>1</v>
      </c>
      <c r="G3345" s="13" t="n">
        <f aca="false">N(INDEX('05 MATERIAL RATE LIBRARY'!$E$5:$E$400,MATCH("MAT-CPVC-100",'05 MATERIAL RATE LIBRARY'!$A$5:$A$400,0)))</f>
        <v>180</v>
      </c>
      <c r="H3345" s="19" t="n">
        <v>0</v>
      </c>
      <c r="I3345" s="18" t="n">
        <f aca="false">F3345*(1+H3345)</f>
        <v>1</v>
      </c>
      <c r="J3345" s="13" t="n">
        <f aca="false">I3345*G3345</f>
        <v>180</v>
      </c>
      <c r="K3345" s="20" t="str">
        <f aca="false">IF(INDEX('05 MATERIAL RATE LIBRARY'!$M$5:$M$400,MATCH("MAT-CPVC-100",'05 MATERIAL RATE LIBRARY'!$A$5:$A$400,0))=1,"",IF(INDEX('05 MATERIAL RATE LIBRARY'!$M$5:$M$400,MATCH("MAT-CPVC-100",'05 MATERIAL RATE LIBRARY'!$A$5:$A$400,0))=2,"OLD RATE","NO RATE"))</f>
        <v/>
      </c>
    </row>
    <row r="3346" customFormat="false" ht="15" hidden="false" customHeight="true" outlineLevel="0" collapsed="false">
      <c r="A3346" s="9" t="s">
        <v>763</v>
      </c>
      <c r="B3346" s="9" t="s">
        <v>812</v>
      </c>
      <c r="C3346" s="9" t="s">
        <v>1134</v>
      </c>
      <c r="D3346" s="5" t="s">
        <v>1452</v>
      </c>
      <c r="E3346" s="9" t="s">
        <v>815</v>
      </c>
      <c r="F3346" s="18" t="n">
        <f aca="false">'13 PRODUCTIVITY LIBRARY'!E37/'13 PRODUCTIVITY LIBRARY'!D37</f>
        <v>0.0222222222222222</v>
      </c>
      <c r="G3346" s="13" t="n">
        <f aca="false">N(INDEX('06 LABOUR RATE LIBRARY'!$D$5:$D$100,MATCH("LAB-PLB",'06 LABOUR RATE LIBRARY'!$A$5:$A$100,0)))</f>
        <v>2600</v>
      </c>
      <c r="H3346" s="19" t="n">
        <v>0</v>
      </c>
      <c r="I3346" s="18" t="n">
        <f aca="false">F3346*(1+H3346)</f>
        <v>0.0222222222222222</v>
      </c>
      <c r="J3346" s="13" t="n">
        <f aca="false">I3346*G3346</f>
        <v>57.7777777777778</v>
      </c>
      <c r="K3346" s="20" t="str">
        <f aca="false">IF(INDEX('06 LABOUR RATE LIBRARY'!$L$5:$L$100,MATCH("LAB-PLB",'06 LABOUR RATE LIBRARY'!$A$5:$A$100,0))=1,"",IF(INDEX('06 LABOUR RATE LIBRARY'!$L$5:$L$100,MATCH("LAB-PLB",'06 LABOUR RATE LIBRARY'!$A$5:$A$100,0))=2,"OLD RATE","NO RATE"))</f>
        <v/>
      </c>
    </row>
    <row r="3347" customFormat="false" ht="15" hidden="false" customHeight="true" outlineLevel="0" collapsed="false">
      <c r="A3347" s="9" t="s">
        <v>763</v>
      </c>
      <c r="B3347" s="9" t="s">
        <v>812</v>
      </c>
      <c r="C3347" s="9" t="s">
        <v>816</v>
      </c>
      <c r="D3347" s="5" t="s">
        <v>1453</v>
      </c>
      <c r="E3347" s="9" t="s">
        <v>815</v>
      </c>
      <c r="F3347" s="18" t="n">
        <f aca="false">'13 PRODUCTIVITY LIBRARY'!F37/'13 PRODUCTIVITY LIBRARY'!D37</f>
        <v>0.0222222222222222</v>
      </c>
      <c r="G3347" s="13" t="n">
        <f aca="false">N(INDEX('06 LABOUR RATE LIBRARY'!$D$5:$D$100,MATCH("LAB-HLP",'06 LABOUR RATE LIBRARY'!$A$5:$A$100,0)))</f>
        <v>1538</v>
      </c>
      <c r="H3347" s="19" t="n">
        <v>0</v>
      </c>
      <c r="I3347" s="18" t="n">
        <f aca="false">F3347*(1+H3347)</f>
        <v>0.0222222222222222</v>
      </c>
      <c r="J3347" s="13" t="n">
        <f aca="false">I3347*G3347</f>
        <v>34.1777777777778</v>
      </c>
      <c r="K3347" s="20" t="str">
        <f aca="false">IF(INDEX('06 LABOUR RATE LIBRARY'!$L$5:$L$100,MATCH("LAB-HLP",'06 LABOUR RATE LIBRARY'!$A$5:$A$100,0))=1,"",IF(INDEX('06 LABOUR RATE LIBRARY'!$L$5:$L$100,MATCH("LAB-HLP",'06 LABOUR RATE LIBRARY'!$A$5:$A$100,0))=2,"OLD RATE","NO RATE"))</f>
        <v/>
      </c>
    </row>
    <row r="3348" customFormat="false" ht="15" hidden="false" customHeight="true" outlineLevel="0" collapsed="false">
      <c r="D3348" s="22" t="s">
        <v>825</v>
      </c>
      <c r="J3348" s="23" t="n">
        <f aca="false">SUMPRODUCT((B3345:B3347="Material")*F3345:F3347*G3345:G3347)</f>
        <v>180</v>
      </c>
    </row>
    <row r="3349" customFormat="false" ht="15" hidden="false" customHeight="true" outlineLevel="0" collapsed="false">
      <c r="D3349" s="22" t="s">
        <v>826</v>
      </c>
      <c r="J3349" s="23" t="n">
        <f aca="false">SUMIF(B3345:B3347,"Material",J3345:J3347)-J3348</f>
        <v>0</v>
      </c>
    </row>
    <row r="3350" customFormat="false" ht="15" hidden="false" customHeight="true" outlineLevel="0" collapsed="false">
      <c r="D3350" s="24" t="s">
        <v>827</v>
      </c>
      <c r="J3350" s="14" t="n">
        <f aca="false">SUMIF(B3345:B3347,"Material",J3345:J3347)</f>
        <v>180</v>
      </c>
    </row>
    <row r="3351" customFormat="false" ht="15" hidden="false" customHeight="true" outlineLevel="0" collapsed="false">
      <c r="D3351" s="24" t="s">
        <v>828</v>
      </c>
      <c r="J3351" s="14" t="n">
        <f aca="false">SUMIF(B3345:B3347,"Labour",J3345:J3347)</f>
        <v>91.9555555555556</v>
      </c>
    </row>
    <row r="3352" customFormat="false" ht="15" hidden="false" customHeight="true" outlineLevel="0" collapsed="false">
      <c r="D3352" s="24" t="s">
        <v>829</v>
      </c>
      <c r="J3352" s="14" t="n">
        <f aca="false">SUMIF(B3345:B3347,"Equipment",J3345:J3347)</f>
        <v>0</v>
      </c>
    </row>
    <row r="3353" customFormat="false" ht="15" hidden="false" customHeight="true" outlineLevel="0" collapsed="false">
      <c r="D3353" s="24" t="s">
        <v>830</v>
      </c>
      <c r="J3353" s="14" t="n">
        <f aca="false">SUMIF(B3345:B3347,"Transport",J3345:J3347)</f>
        <v>0</v>
      </c>
    </row>
    <row r="3354" customFormat="false" ht="15" hidden="false" customHeight="true" outlineLevel="0" collapsed="false">
      <c r="D3354" s="24" t="s">
        <v>831</v>
      </c>
      <c r="J3354" s="14" t="n">
        <f aca="false">J3350+J3351+J3352+J3353</f>
        <v>271.955555555556</v>
      </c>
    </row>
    <row r="3355" customFormat="false" ht="15" hidden="false" customHeight="true" outlineLevel="0" collapsed="false">
      <c r="D3355" s="22" t="s">
        <v>832</v>
      </c>
      <c r="J3355" s="23" t="n">
        <f aca="false">J3354*OH_Site</f>
        <v>8.15866666666667</v>
      </c>
    </row>
    <row r="3356" customFormat="false" ht="15" hidden="false" customHeight="true" outlineLevel="0" collapsed="false">
      <c r="D3356" s="22" t="s">
        <v>833</v>
      </c>
      <c r="J3356" s="23" t="n">
        <f aca="false">J3354*OH_HO</f>
        <v>13.5977777777778</v>
      </c>
    </row>
    <row r="3357" customFormat="false" ht="15" hidden="false" customHeight="true" outlineLevel="0" collapsed="false">
      <c r="D3357" s="22" t="s">
        <v>834</v>
      </c>
      <c r="J3357" s="23" t="n">
        <f aca="false">J3354*Profit</f>
        <v>27.1955555555556</v>
      </c>
    </row>
    <row r="3358" customFormat="false" ht="15" hidden="false" customHeight="true" outlineLevel="0" collapsed="false">
      <c r="D3358" s="24" t="s">
        <v>835</v>
      </c>
      <c r="J3358" s="14" t="n">
        <f aca="false">J3354+J3355+J3356+J3357</f>
        <v>320.907555555555</v>
      </c>
    </row>
    <row r="3359" customFormat="false" ht="15" hidden="false" customHeight="true" outlineLevel="0" collapsed="false">
      <c r="D3359" s="22" t="s">
        <v>836</v>
      </c>
      <c r="J3359" s="23" t="n">
        <f aca="false">IF(Tax_On="Yes",J3358*N(Tax_Rate),0)</f>
        <v>0</v>
      </c>
    </row>
    <row r="3360" customFormat="false" ht="15" hidden="false" customHeight="true" outlineLevel="0" collapsed="false">
      <c r="D3360" s="24" t="s">
        <v>1069</v>
      </c>
      <c r="J3360" s="14" t="n">
        <f aca="false">ROUND(J3358+J3359,0)</f>
        <v>321</v>
      </c>
    </row>
    <row r="3361" customFormat="false" ht="15" hidden="false" customHeight="true" outlineLevel="0" collapsed="false">
      <c r="D3361" s="25" t="s">
        <v>838</v>
      </c>
      <c r="J3361" s="26" t="n">
        <f aca="false">COUNTIF(K3345:K3347,"NO RATE")+COUNTIF(K3345:K3347,"OLD RATE")</f>
        <v>0</v>
      </c>
    </row>
    <row r="3363" customFormat="false" ht="126.75" hidden="false" customHeight="true" outlineLevel="0" collapsed="false">
      <c r="A3363" s="4" t="s">
        <v>767</v>
      </c>
      <c r="B3363" s="16" t="s">
        <v>769</v>
      </c>
      <c r="C3363" s="27"/>
      <c r="D3363" s="27"/>
      <c r="E3363" s="27"/>
      <c r="F3363" s="27"/>
      <c r="G3363" s="27"/>
      <c r="H3363" s="27"/>
      <c r="I3363" s="28"/>
      <c r="J3363" s="4" t="s">
        <v>1032</v>
      </c>
      <c r="K3363" s="17"/>
    </row>
    <row r="3364" customFormat="false" ht="15" hidden="false" customHeight="true" outlineLevel="0" collapsed="false">
      <c r="A3364" s="12" t="s">
        <v>75</v>
      </c>
      <c r="B3364" s="12" t="s">
        <v>789</v>
      </c>
      <c r="C3364" s="12" t="s">
        <v>790</v>
      </c>
      <c r="D3364" s="12" t="s">
        <v>791</v>
      </c>
      <c r="E3364" s="12" t="s">
        <v>81</v>
      </c>
      <c r="F3364" s="12" t="s">
        <v>792</v>
      </c>
      <c r="G3364" s="12" t="s">
        <v>793</v>
      </c>
      <c r="H3364" s="12" t="s">
        <v>794</v>
      </c>
      <c r="I3364" s="12" t="s">
        <v>795</v>
      </c>
      <c r="J3364" s="12" t="s">
        <v>796</v>
      </c>
      <c r="K3364" s="12" t="s">
        <v>797</v>
      </c>
    </row>
    <row r="3365" customFormat="false" ht="15" hidden="false" customHeight="true" outlineLevel="0" collapsed="false">
      <c r="A3365" s="9" t="s">
        <v>767</v>
      </c>
      <c r="B3365" s="9" t="s">
        <v>798</v>
      </c>
      <c r="C3365" s="9" t="s">
        <v>1454</v>
      </c>
      <c r="D3365" s="5" t="s">
        <v>1428</v>
      </c>
      <c r="E3365" s="9" t="s">
        <v>368</v>
      </c>
      <c r="F3365" s="18" t="n">
        <v>1</v>
      </c>
      <c r="G3365" s="13" t="n">
        <f aca="false">N(INDEX('05 MATERIAL RATE LIBRARY'!$E$5:$E$400,MATCH("MAT-ACS",'05 MATERIAL RATE LIBRARY'!$A$5:$A$400,0)))</f>
        <v>85000</v>
      </c>
      <c r="H3365" s="19" t="n">
        <v>0</v>
      </c>
      <c r="I3365" s="18" t="n">
        <f aca="false">F3365*(1+H3365)</f>
        <v>1</v>
      </c>
      <c r="J3365" s="13" t="n">
        <f aca="false">I3365*G3365</f>
        <v>85000</v>
      </c>
      <c r="K3365" s="20" t="str">
        <f aca="false">IF(INDEX('05 MATERIAL RATE LIBRARY'!$M$5:$M$400,MATCH("MAT-ACS",'05 MATERIAL RATE LIBRARY'!$A$5:$A$400,0))=1,"",IF(INDEX('05 MATERIAL RATE LIBRARY'!$M$5:$M$400,MATCH("MAT-ACS",'05 MATERIAL RATE LIBRARY'!$A$5:$A$400,0))=2,"OLD RATE","NO RATE"))</f>
        <v/>
      </c>
    </row>
    <row r="3366" customFormat="false" ht="15" hidden="false" customHeight="true" outlineLevel="0" collapsed="false">
      <c r="D3366" s="22" t="s">
        <v>825</v>
      </c>
      <c r="J3366" s="23" t="n">
        <f aca="false">SUMPRODUCT((B3365:B3365="Material")*F3365:F3365*G3365:G3365)</f>
        <v>85000</v>
      </c>
    </row>
    <row r="3367" customFormat="false" ht="15" hidden="false" customHeight="true" outlineLevel="0" collapsed="false">
      <c r="D3367" s="22" t="s">
        <v>826</v>
      </c>
      <c r="J3367" s="23" t="n">
        <f aca="false">SUMIF(B3365:B3365,"Material",J3365:J3365)-J3366</f>
        <v>0</v>
      </c>
    </row>
    <row r="3368" customFormat="false" ht="15" hidden="false" customHeight="true" outlineLevel="0" collapsed="false">
      <c r="D3368" s="24" t="s">
        <v>827</v>
      </c>
      <c r="J3368" s="14" t="n">
        <f aca="false">SUMIF(B3365:B3365,"Material",J3365:J3365)</f>
        <v>85000</v>
      </c>
    </row>
    <row r="3369" customFormat="false" ht="15" hidden="false" customHeight="true" outlineLevel="0" collapsed="false">
      <c r="D3369" s="24" t="s">
        <v>828</v>
      </c>
      <c r="J3369" s="14" t="n">
        <f aca="false">SUMIF(B3365:B3365,"Labour",J3365:J3365)</f>
        <v>0</v>
      </c>
    </row>
    <row r="3370" customFormat="false" ht="15" hidden="false" customHeight="true" outlineLevel="0" collapsed="false">
      <c r="D3370" s="24" t="s">
        <v>829</v>
      </c>
      <c r="J3370" s="14" t="n">
        <f aca="false">SUMIF(B3365:B3365,"Equipment",J3365:J3365)</f>
        <v>0</v>
      </c>
    </row>
    <row r="3371" customFormat="false" ht="15" hidden="false" customHeight="true" outlineLevel="0" collapsed="false">
      <c r="D3371" s="24" t="s">
        <v>830</v>
      </c>
      <c r="J3371" s="14" t="n">
        <f aca="false">SUMIF(B3365:B3365,"Transport",J3365:J3365)</f>
        <v>0</v>
      </c>
    </row>
    <row r="3372" customFormat="false" ht="15" hidden="false" customHeight="true" outlineLevel="0" collapsed="false">
      <c r="D3372" s="24" t="s">
        <v>831</v>
      </c>
      <c r="J3372" s="14" t="n">
        <f aca="false">J3368+J3369+J3370+J3371</f>
        <v>85000</v>
      </c>
    </row>
    <row r="3373" customFormat="false" ht="15" hidden="false" customHeight="true" outlineLevel="0" collapsed="false">
      <c r="D3373" s="22" t="s">
        <v>832</v>
      </c>
      <c r="J3373" s="23" t="n">
        <f aca="false">J3372*OH_Site</f>
        <v>2550</v>
      </c>
    </row>
    <row r="3374" customFormat="false" ht="15" hidden="false" customHeight="true" outlineLevel="0" collapsed="false">
      <c r="D3374" s="22" t="s">
        <v>833</v>
      </c>
      <c r="J3374" s="23" t="n">
        <f aca="false">J3372*OH_HO</f>
        <v>4250</v>
      </c>
    </row>
    <row r="3375" customFormat="false" ht="15" hidden="false" customHeight="true" outlineLevel="0" collapsed="false">
      <c r="D3375" s="22" t="s">
        <v>834</v>
      </c>
      <c r="J3375" s="23" t="n">
        <f aca="false">J3372*Profit</f>
        <v>8500</v>
      </c>
    </row>
    <row r="3376" customFormat="false" ht="15" hidden="false" customHeight="true" outlineLevel="0" collapsed="false">
      <c r="D3376" s="24" t="s">
        <v>835</v>
      </c>
      <c r="J3376" s="14" t="n">
        <f aca="false">J3372+J3373+J3374+J3375</f>
        <v>100300</v>
      </c>
    </row>
    <row r="3377" customFormat="false" ht="15" hidden="false" customHeight="true" outlineLevel="0" collapsed="false">
      <c r="D3377" s="22" t="s">
        <v>836</v>
      </c>
      <c r="J3377" s="23" t="n">
        <f aca="false">IF(Tax_On="Yes",J3376*N(Tax_Rate),0)</f>
        <v>0</v>
      </c>
    </row>
    <row r="3378" customFormat="false" ht="15" hidden="false" customHeight="true" outlineLevel="0" collapsed="false">
      <c r="D3378" s="24" t="s">
        <v>1048</v>
      </c>
      <c r="J3378" s="14" t="n">
        <f aca="false">ROUND(J3376+J3377,0)</f>
        <v>100300</v>
      </c>
    </row>
    <row r="3379" customFormat="false" ht="15" hidden="false" customHeight="true" outlineLevel="0" collapsed="false">
      <c r="D3379" s="25" t="s">
        <v>838</v>
      </c>
      <c r="J3379" s="26" t="n">
        <f aca="false">COUNTIF(K3365:K3365,"NO RATE")+COUNTIF(K3365:K3365,"OLD RATE")</f>
        <v>0</v>
      </c>
    </row>
    <row r="3381" customFormat="false" ht="95.25" hidden="false" customHeight="true" outlineLevel="0" collapsed="false">
      <c r="A3381" s="4" t="s">
        <v>770</v>
      </c>
      <c r="B3381" s="16" t="s">
        <v>772</v>
      </c>
      <c r="C3381" s="27"/>
      <c r="D3381" s="27"/>
      <c r="E3381" s="27"/>
      <c r="F3381" s="27"/>
      <c r="G3381" s="27"/>
      <c r="H3381" s="27"/>
      <c r="I3381" s="28"/>
      <c r="J3381" s="4" t="s">
        <v>1061</v>
      </c>
      <c r="K3381" s="17"/>
    </row>
    <row r="3382" customFormat="false" ht="15" hidden="false" customHeight="true" outlineLevel="0" collapsed="false">
      <c r="A3382" s="12" t="s">
        <v>75</v>
      </c>
      <c r="B3382" s="12" t="s">
        <v>789</v>
      </c>
      <c r="C3382" s="12" t="s">
        <v>790</v>
      </c>
      <c r="D3382" s="12" t="s">
        <v>791</v>
      </c>
      <c r="E3382" s="12" t="s">
        <v>81</v>
      </c>
      <c r="F3382" s="12" t="s">
        <v>792</v>
      </c>
      <c r="G3382" s="12" t="s">
        <v>793</v>
      </c>
      <c r="H3382" s="12" t="s">
        <v>794</v>
      </c>
      <c r="I3382" s="12" t="s">
        <v>795</v>
      </c>
      <c r="J3382" s="12" t="s">
        <v>796</v>
      </c>
      <c r="K3382" s="12" t="s">
        <v>797</v>
      </c>
    </row>
    <row r="3383" customFormat="false" ht="15" hidden="false" customHeight="true" outlineLevel="0" collapsed="false">
      <c r="A3383" s="9" t="s">
        <v>770</v>
      </c>
      <c r="B3383" s="9" t="s">
        <v>798</v>
      </c>
      <c r="C3383" s="9" t="s">
        <v>1072</v>
      </c>
      <c r="D3383" s="5" t="s">
        <v>1428</v>
      </c>
      <c r="E3383" s="9" t="s">
        <v>386</v>
      </c>
      <c r="F3383" s="18" t="n">
        <v>1</v>
      </c>
      <c r="G3383" s="13" t="n">
        <f aca="false">N(INDEX('05 MATERIAL RATE LIBRARY'!$E$5:$E$400,MATCH("MAT-FSTOP",'05 MATERIAL RATE LIBRARY'!$A$5:$A$400,0)))</f>
        <v>350</v>
      </c>
      <c r="H3383" s="19" t="n">
        <v>0</v>
      </c>
      <c r="I3383" s="18" t="n">
        <f aca="false">F3383*(1+H3383)</f>
        <v>1</v>
      </c>
      <c r="J3383" s="13" t="n">
        <f aca="false">I3383*G3383</f>
        <v>350</v>
      </c>
      <c r="K3383" s="20" t="str">
        <f aca="false">IF(INDEX('05 MATERIAL RATE LIBRARY'!$M$5:$M$400,MATCH("MAT-FSTOP",'05 MATERIAL RATE LIBRARY'!$A$5:$A$400,0))=1,"",IF(INDEX('05 MATERIAL RATE LIBRARY'!$M$5:$M$400,MATCH("MAT-FSTOP",'05 MATERIAL RATE LIBRARY'!$A$5:$A$400,0))=2,"OLD RATE","NO RATE"))</f>
        <v/>
      </c>
    </row>
    <row r="3384" customFormat="false" ht="15" hidden="false" customHeight="true" outlineLevel="0" collapsed="false">
      <c r="D3384" s="22" t="s">
        <v>825</v>
      </c>
      <c r="J3384" s="23" t="n">
        <f aca="false">SUMPRODUCT((B3383:B3383="Material")*F3383:F3383*G3383:G3383)</f>
        <v>350</v>
      </c>
    </row>
    <row r="3385" customFormat="false" ht="15" hidden="false" customHeight="true" outlineLevel="0" collapsed="false">
      <c r="D3385" s="22" t="s">
        <v>826</v>
      </c>
      <c r="J3385" s="23" t="n">
        <f aca="false">SUMIF(B3383:B3383,"Material",J3383:J3383)-J3384</f>
        <v>0</v>
      </c>
    </row>
    <row r="3386" customFormat="false" ht="15" hidden="false" customHeight="true" outlineLevel="0" collapsed="false">
      <c r="D3386" s="24" t="s">
        <v>827</v>
      </c>
      <c r="J3386" s="14" t="n">
        <f aca="false">SUMIF(B3383:B3383,"Material",J3383:J3383)</f>
        <v>350</v>
      </c>
    </row>
    <row r="3387" customFormat="false" ht="15" hidden="false" customHeight="true" outlineLevel="0" collapsed="false">
      <c r="D3387" s="24" t="s">
        <v>828</v>
      </c>
      <c r="J3387" s="14" t="n">
        <f aca="false">SUMIF(B3383:B3383,"Labour",J3383:J3383)</f>
        <v>0</v>
      </c>
    </row>
    <row r="3388" customFormat="false" ht="15" hidden="false" customHeight="true" outlineLevel="0" collapsed="false">
      <c r="D3388" s="24" t="s">
        <v>829</v>
      </c>
      <c r="J3388" s="14" t="n">
        <f aca="false">SUMIF(B3383:B3383,"Equipment",J3383:J3383)</f>
        <v>0</v>
      </c>
    </row>
    <row r="3389" customFormat="false" ht="15" hidden="false" customHeight="true" outlineLevel="0" collapsed="false">
      <c r="D3389" s="24" t="s">
        <v>830</v>
      </c>
      <c r="J3389" s="14" t="n">
        <f aca="false">SUMIF(B3383:B3383,"Transport",J3383:J3383)</f>
        <v>0</v>
      </c>
    </row>
    <row r="3390" customFormat="false" ht="15" hidden="false" customHeight="true" outlineLevel="0" collapsed="false">
      <c r="D3390" s="24" t="s">
        <v>831</v>
      </c>
      <c r="J3390" s="14" t="n">
        <f aca="false">J3386+J3387+J3388+J3389</f>
        <v>350</v>
      </c>
    </row>
    <row r="3391" customFormat="false" ht="15" hidden="false" customHeight="true" outlineLevel="0" collapsed="false">
      <c r="D3391" s="22" t="s">
        <v>832</v>
      </c>
      <c r="J3391" s="23" t="n">
        <f aca="false">J3390*OH_Site</f>
        <v>10.5</v>
      </c>
    </row>
    <row r="3392" customFormat="false" ht="15" hidden="false" customHeight="true" outlineLevel="0" collapsed="false">
      <c r="D3392" s="22" t="s">
        <v>833</v>
      </c>
      <c r="J3392" s="23" t="n">
        <f aca="false">J3390*OH_HO</f>
        <v>17.5</v>
      </c>
    </row>
    <row r="3393" customFormat="false" ht="15" hidden="false" customHeight="true" outlineLevel="0" collapsed="false">
      <c r="D3393" s="22" t="s">
        <v>834</v>
      </c>
      <c r="J3393" s="23" t="n">
        <f aca="false">J3390*Profit</f>
        <v>35</v>
      </c>
    </row>
    <row r="3394" customFormat="false" ht="15" hidden="false" customHeight="true" outlineLevel="0" collapsed="false">
      <c r="D3394" s="24" t="s">
        <v>835</v>
      </c>
      <c r="J3394" s="14" t="n">
        <f aca="false">J3390+J3391+J3392+J3393</f>
        <v>413</v>
      </c>
    </row>
    <row r="3395" customFormat="false" ht="15" hidden="false" customHeight="true" outlineLevel="0" collapsed="false">
      <c r="D3395" s="22" t="s">
        <v>836</v>
      </c>
      <c r="J3395" s="23" t="n">
        <f aca="false">IF(Tax_On="Yes",J3394*N(Tax_Rate),0)</f>
        <v>0</v>
      </c>
    </row>
    <row r="3396" customFormat="false" ht="15" hidden="false" customHeight="true" outlineLevel="0" collapsed="false">
      <c r="D3396" s="24" t="s">
        <v>1069</v>
      </c>
      <c r="J3396" s="14" t="n">
        <f aca="false">ROUND(J3394+J3395,0)</f>
        <v>413</v>
      </c>
    </row>
    <row r="3397" customFormat="false" ht="15" hidden="false" customHeight="true" outlineLevel="0" collapsed="false">
      <c r="D3397" s="25" t="s">
        <v>838</v>
      </c>
      <c r="J3397" s="26" t="n">
        <f aca="false">COUNTIF(K3383:K3383,"NO RATE")+COUNTIF(K3383:K3383,"OLD RATE")</f>
        <v>0</v>
      </c>
    </row>
    <row r="3399" customFormat="false" ht="84.75" hidden="false" customHeight="true" outlineLevel="0" collapsed="false">
      <c r="A3399" s="4" t="s">
        <v>773</v>
      </c>
      <c r="B3399" s="16" t="s">
        <v>775</v>
      </c>
      <c r="C3399" s="27"/>
      <c r="D3399" s="27"/>
      <c r="E3399" s="27"/>
      <c r="F3399" s="27"/>
      <c r="G3399" s="27"/>
      <c r="H3399" s="27"/>
      <c r="I3399" s="28"/>
      <c r="J3399" s="4" t="s">
        <v>1032</v>
      </c>
      <c r="K3399" s="17"/>
    </row>
    <row r="3400" customFormat="false" ht="15" hidden="false" customHeight="true" outlineLevel="0" collapsed="false">
      <c r="A3400" s="12" t="s">
        <v>75</v>
      </c>
      <c r="B3400" s="12" t="s">
        <v>789</v>
      </c>
      <c r="C3400" s="12" t="s">
        <v>790</v>
      </c>
      <c r="D3400" s="12" t="s">
        <v>791</v>
      </c>
      <c r="E3400" s="12" t="s">
        <v>81</v>
      </c>
      <c r="F3400" s="12" t="s">
        <v>792</v>
      </c>
      <c r="G3400" s="12" t="s">
        <v>793</v>
      </c>
      <c r="H3400" s="12" t="s">
        <v>794</v>
      </c>
      <c r="I3400" s="12" t="s">
        <v>795</v>
      </c>
      <c r="J3400" s="12" t="s">
        <v>796</v>
      </c>
      <c r="K3400" s="12" t="s">
        <v>797</v>
      </c>
    </row>
    <row r="3401" customFormat="false" ht="15" hidden="false" customHeight="true" outlineLevel="0" collapsed="false">
      <c r="A3401" s="9" t="s">
        <v>773</v>
      </c>
      <c r="B3401" s="9" t="s">
        <v>798</v>
      </c>
      <c r="C3401" s="9" t="s">
        <v>1455</v>
      </c>
      <c r="D3401" s="5" t="s">
        <v>1428</v>
      </c>
      <c r="E3401" s="9" t="s">
        <v>368</v>
      </c>
      <c r="F3401" s="18" t="n">
        <v>1</v>
      </c>
      <c r="G3401" s="13" t="n">
        <f aca="false">N(INDEX('05 MATERIAL RATE LIBRARY'!$E$5:$E$400,MATCH("MAT-ESC",'05 MATERIAL RATE LIBRARY'!$A$5:$A$400,0)))</f>
        <v>22000000</v>
      </c>
      <c r="H3401" s="19" t="n">
        <v>0</v>
      </c>
      <c r="I3401" s="18" t="n">
        <f aca="false">F3401*(1+H3401)</f>
        <v>1</v>
      </c>
      <c r="J3401" s="13" t="n">
        <f aca="false">I3401*G3401</f>
        <v>22000000</v>
      </c>
      <c r="K3401" s="20" t="str">
        <f aca="false">IF(INDEX('05 MATERIAL RATE LIBRARY'!$M$5:$M$400,MATCH("MAT-ESC",'05 MATERIAL RATE LIBRARY'!$A$5:$A$400,0))=1,"",IF(INDEX('05 MATERIAL RATE LIBRARY'!$M$5:$M$400,MATCH("MAT-ESC",'05 MATERIAL RATE LIBRARY'!$A$5:$A$400,0))=2,"OLD RATE","NO RATE"))</f>
        <v/>
      </c>
    </row>
    <row r="3402" customFormat="false" ht="15" hidden="false" customHeight="true" outlineLevel="0" collapsed="false">
      <c r="D3402" s="22" t="s">
        <v>825</v>
      </c>
      <c r="J3402" s="23" t="n">
        <f aca="false">SUMPRODUCT((B3401:B3401="Material")*F3401:F3401*G3401:G3401)</f>
        <v>22000000</v>
      </c>
    </row>
    <row r="3403" customFormat="false" ht="15" hidden="false" customHeight="true" outlineLevel="0" collapsed="false">
      <c r="D3403" s="22" t="s">
        <v>826</v>
      </c>
      <c r="J3403" s="23" t="n">
        <f aca="false">SUMIF(B3401:B3401,"Material",J3401:J3401)-J3402</f>
        <v>0</v>
      </c>
    </row>
    <row r="3404" customFormat="false" ht="15" hidden="false" customHeight="true" outlineLevel="0" collapsed="false">
      <c r="D3404" s="24" t="s">
        <v>827</v>
      </c>
      <c r="J3404" s="14" t="n">
        <f aca="false">SUMIF(B3401:B3401,"Material",J3401:J3401)</f>
        <v>22000000</v>
      </c>
    </row>
    <row r="3405" customFormat="false" ht="15" hidden="false" customHeight="true" outlineLevel="0" collapsed="false">
      <c r="D3405" s="24" t="s">
        <v>828</v>
      </c>
      <c r="J3405" s="14" t="n">
        <f aca="false">SUMIF(B3401:B3401,"Labour",J3401:J3401)</f>
        <v>0</v>
      </c>
    </row>
    <row r="3406" customFormat="false" ht="15" hidden="false" customHeight="true" outlineLevel="0" collapsed="false">
      <c r="D3406" s="24" t="s">
        <v>829</v>
      </c>
      <c r="J3406" s="14" t="n">
        <f aca="false">SUMIF(B3401:B3401,"Equipment",J3401:J3401)</f>
        <v>0</v>
      </c>
    </row>
    <row r="3407" customFormat="false" ht="15" hidden="false" customHeight="true" outlineLevel="0" collapsed="false">
      <c r="D3407" s="24" t="s">
        <v>830</v>
      </c>
      <c r="J3407" s="14" t="n">
        <f aca="false">SUMIF(B3401:B3401,"Transport",J3401:J3401)</f>
        <v>0</v>
      </c>
    </row>
    <row r="3408" customFormat="false" ht="15" hidden="false" customHeight="true" outlineLevel="0" collapsed="false">
      <c r="D3408" s="24" t="s">
        <v>831</v>
      </c>
      <c r="J3408" s="14" t="n">
        <f aca="false">J3404+J3405+J3406+J3407</f>
        <v>22000000</v>
      </c>
    </row>
    <row r="3409" customFormat="false" ht="15" hidden="false" customHeight="true" outlineLevel="0" collapsed="false">
      <c r="D3409" s="22" t="s">
        <v>832</v>
      </c>
      <c r="J3409" s="23" t="n">
        <f aca="false">J3408*OH_Site</f>
        <v>660000</v>
      </c>
    </row>
    <row r="3410" customFormat="false" ht="15" hidden="false" customHeight="true" outlineLevel="0" collapsed="false">
      <c r="D3410" s="22" t="s">
        <v>833</v>
      </c>
      <c r="J3410" s="23" t="n">
        <f aca="false">J3408*OH_HO</f>
        <v>1100000</v>
      </c>
    </row>
    <row r="3411" customFormat="false" ht="15" hidden="false" customHeight="true" outlineLevel="0" collapsed="false">
      <c r="D3411" s="22" t="s">
        <v>834</v>
      </c>
      <c r="J3411" s="23" t="n">
        <f aca="false">J3408*Profit</f>
        <v>2200000</v>
      </c>
    </row>
    <row r="3412" customFormat="false" ht="15" hidden="false" customHeight="true" outlineLevel="0" collapsed="false">
      <c r="D3412" s="24" t="s">
        <v>835</v>
      </c>
      <c r="J3412" s="14" t="n">
        <f aca="false">J3408+J3409+J3410+J3411</f>
        <v>25960000</v>
      </c>
    </row>
    <row r="3413" customFormat="false" ht="15" hidden="false" customHeight="true" outlineLevel="0" collapsed="false">
      <c r="D3413" s="22" t="s">
        <v>836</v>
      </c>
      <c r="J3413" s="23" t="n">
        <f aca="false">IF(Tax_On="Yes",J3412*N(Tax_Rate),0)</f>
        <v>0</v>
      </c>
    </row>
    <row r="3414" customFormat="false" ht="15" hidden="false" customHeight="true" outlineLevel="0" collapsed="false">
      <c r="D3414" s="24" t="s">
        <v>1048</v>
      </c>
      <c r="J3414" s="14" t="n">
        <f aca="false">ROUND(J3412+J3413,0)</f>
        <v>25960000</v>
      </c>
    </row>
    <row r="3415" customFormat="false" ht="15" hidden="false" customHeight="true" outlineLevel="0" collapsed="false">
      <c r="D3415" s="25" t="s">
        <v>838</v>
      </c>
      <c r="J3415" s="26" t="n">
        <f aca="false">COUNTIF(K3401:K3401,"NO RATE")+COUNTIF(K3401:K3401,"OLD RATE")</f>
        <v>0</v>
      </c>
    </row>
    <row r="3417" customFormat="false" ht="84.75" hidden="false" customHeight="true" outlineLevel="0" collapsed="false">
      <c r="A3417" s="4" t="s">
        <v>776</v>
      </c>
      <c r="B3417" s="16" t="s">
        <v>778</v>
      </c>
      <c r="C3417" s="27"/>
      <c r="D3417" s="27"/>
      <c r="E3417" s="27"/>
      <c r="F3417" s="27"/>
      <c r="G3417" s="27"/>
      <c r="H3417" s="27"/>
      <c r="I3417" s="28"/>
      <c r="J3417" s="4" t="s">
        <v>890</v>
      </c>
      <c r="K3417" s="17"/>
    </row>
    <row r="3418" customFormat="false" ht="15" hidden="false" customHeight="true" outlineLevel="0" collapsed="false">
      <c r="A3418" s="12" t="s">
        <v>75</v>
      </c>
      <c r="B3418" s="12" t="s">
        <v>789</v>
      </c>
      <c r="C3418" s="12" t="s">
        <v>790</v>
      </c>
      <c r="D3418" s="12" t="s">
        <v>791</v>
      </c>
      <c r="E3418" s="12" t="s">
        <v>81</v>
      </c>
      <c r="F3418" s="12" t="s">
        <v>792</v>
      </c>
      <c r="G3418" s="12" t="s">
        <v>793</v>
      </c>
      <c r="H3418" s="12" t="s">
        <v>794</v>
      </c>
      <c r="I3418" s="12" t="s">
        <v>795</v>
      </c>
      <c r="J3418" s="12" t="s">
        <v>796</v>
      </c>
      <c r="K3418" s="12" t="s">
        <v>797</v>
      </c>
    </row>
    <row r="3419" customFormat="false" ht="15" hidden="false" customHeight="true" outlineLevel="0" collapsed="false">
      <c r="A3419" s="9" t="s">
        <v>776</v>
      </c>
      <c r="B3419" s="9" t="s">
        <v>798</v>
      </c>
      <c r="C3419" s="9" t="s">
        <v>1456</v>
      </c>
      <c r="D3419" s="5" t="s">
        <v>1428</v>
      </c>
      <c r="E3419" s="9" t="s">
        <v>212</v>
      </c>
      <c r="F3419" s="18" t="n">
        <v>1</v>
      </c>
      <c r="G3419" s="13" t="n">
        <f aca="false">N(INDEX('05 MATERIAL RATE LIBRARY'!$E$5:$E$400,MATCH("MAT-IRR",'05 MATERIAL RATE LIBRARY'!$A$5:$A$400,0)))</f>
        <v>80</v>
      </c>
      <c r="H3419" s="19" t="n">
        <v>0</v>
      </c>
      <c r="I3419" s="18" t="n">
        <f aca="false">F3419*(1+H3419)</f>
        <v>1</v>
      </c>
      <c r="J3419" s="13" t="n">
        <f aca="false">I3419*G3419</f>
        <v>80</v>
      </c>
      <c r="K3419" s="20" t="str">
        <f aca="false">IF(INDEX('05 MATERIAL RATE LIBRARY'!$M$5:$M$400,MATCH("MAT-IRR",'05 MATERIAL RATE LIBRARY'!$A$5:$A$400,0))=1,"",IF(INDEX('05 MATERIAL RATE LIBRARY'!$M$5:$M$400,MATCH("MAT-IRR",'05 MATERIAL RATE LIBRARY'!$A$5:$A$400,0))=2,"OLD RATE","NO RATE"))</f>
        <v/>
      </c>
    </row>
    <row r="3420" customFormat="false" ht="15" hidden="false" customHeight="true" outlineLevel="0" collapsed="false">
      <c r="D3420" s="22" t="s">
        <v>825</v>
      </c>
      <c r="J3420" s="23" t="n">
        <f aca="false">SUMPRODUCT((B3419:B3419="Material")*F3419:F3419*G3419:G3419)</f>
        <v>80</v>
      </c>
    </row>
    <row r="3421" customFormat="false" ht="15" hidden="false" customHeight="true" outlineLevel="0" collapsed="false">
      <c r="D3421" s="22" t="s">
        <v>826</v>
      </c>
      <c r="J3421" s="23" t="n">
        <f aca="false">SUMIF(B3419:B3419,"Material",J3419:J3419)-J3420</f>
        <v>0</v>
      </c>
    </row>
    <row r="3422" customFormat="false" ht="15" hidden="false" customHeight="true" outlineLevel="0" collapsed="false">
      <c r="D3422" s="24" t="s">
        <v>827</v>
      </c>
      <c r="J3422" s="14" t="n">
        <f aca="false">SUMIF(B3419:B3419,"Material",J3419:J3419)</f>
        <v>80</v>
      </c>
    </row>
    <row r="3423" customFormat="false" ht="15" hidden="false" customHeight="true" outlineLevel="0" collapsed="false">
      <c r="D3423" s="24" t="s">
        <v>828</v>
      </c>
      <c r="J3423" s="14" t="n">
        <f aca="false">SUMIF(B3419:B3419,"Labour",J3419:J3419)</f>
        <v>0</v>
      </c>
    </row>
    <row r="3424" customFormat="false" ht="15" hidden="false" customHeight="true" outlineLevel="0" collapsed="false">
      <c r="D3424" s="24" t="s">
        <v>829</v>
      </c>
      <c r="J3424" s="14" t="n">
        <f aca="false">SUMIF(B3419:B3419,"Equipment",J3419:J3419)</f>
        <v>0</v>
      </c>
    </row>
    <row r="3425" customFormat="false" ht="15" hidden="false" customHeight="true" outlineLevel="0" collapsed="false">
      <c r="D3425" s="24" t="s">
        <v>830</v>
      </c>
      <c r="J3425" s="14" t="n">
        <f aca="false">SUMIF(B3419:B3419,"Transport",J3419:J3419)</f>
        <v>0</v>
      </c>
    </row>
    <row r="3426" customFormat="false" ht="15" hidden="false" customHeight="true" outlineLevel="0" collapsed="false">
      <c r="D3426" s="24" t="s">
        <v>831</v>
      </c>
      <c r="J3426" s="14" t="n">
        <f aca="false">J3422+J3423+J3424+J3425</f>
        <v>80</v>
      </c>
    </row>
    <row r="3427" customFormat="false" ht="15" hidden="false" customHeight="true" outlineLevel="0" collapsed="false">
      <c r="D3427" s="22" t="s">
        <v>832</v>
      </c>
      <c r="J3427" s="23" t="n">
        <f aca="false">J3426*OH_Site</f>
        <v>2.4</v>
      </c>
    </row>
    <row r="3428" customFormat="false" ht="15" hidden="false" customHeight="true" outlineLevel="0" collapsed="false">
      <c r="D3428" s="22" t="s">
        <v>833</v>
      </c>
      <c r="J3428" s="23" t="n">
        <f aca="false">J3426*OH_HO</f>
        <v>4</v>
      </c>
    </row>
    <row r="3429" customFormat="false" ht="15" hidden="false" customHeight="true" outlineLevel="0" collapsed="false">
      <c r="D3429" s="22" t="s">
        <v>834</v>
      </c>
      <c r="J3429" s="23" t="n">
        <f aca="false">J3426*Profit</f>
        <v>8</v>
      </c>
    </row>
    <row r="3430" customFormat="false" ht="15" hidden="false" customHeight="true" outlineLevel="0" collapsed="false">
      <c r="D3430" s="24" t="s">
        <v>835</v>
      </c>
      <c r="J3430" s="14" t="n">
        <f aca="false">J3426+J3427+J3428+J3429</f>
        <v>94.4</v>
      </c>
    </row>
    <row r="3431" customFormat="false" ht="15" hidden="false" customHeight="true" outlineLevel="0" collapsed="false">
      <c r="D3431" s="22" t="s">
        <v>836</v>
      </c>
      <c r="J3431" s="23" t="n">
        <f aca="false">IF(Tax_On="Yes",J3430*N(Tax_Rate),0)</f>
        <v>0</v>
      </c>
    </row>
    <row r="3432" customFormat="false" ht="15" hidden="false" customHeight="true" outlineLevel="0" collapsed="false">
      <c r="D3432" s="24" t="s">
        <v>895</v>
      </c>
      <c r="J3432" s="14" t="n">
        <f aca="false">ROUND(J3430+J3431,0)</f>
        <v>94</v>
      </c>
    </row>
    <row r="3433" customFormat="false" ht="15" hidden="false" customHeight="true" outlineLevel="0" collapsed="false">
      <c r="D3433" s="25" t="s">
        <v>838</v>
      </c>
      <c r="J3433" s="26" t="n">
        <f aca="false">COUNTIF(K3419:K3419,"NO RATE")+COUNTIF(K3419:K3419,"OLD RATE")</f>
        <v>0</v>
      </c>
    </row>
    <row r="3435" customFormat="false" ht="105.75" hidden="false" customHeight="true" outlineLevel="0" collapsed="false">
      <c r="A3435" s="4" t="s">
        <v>779</v>
      </c>
      <c r="B3435" s="16" t="s">
        <v>781</v>
      </c>
      <c r="C3435" s="27"/>
      <c r="D3435" s="27"/>
      <c r="E3435" s="27"/>
      <c r="F3435" s="27"/>
      <c r="G3435" s="27"/>
      <c r="H3435" s="27"/>
      <c r="I3435" s="28"/>
      <c r="J3435" s="4" t="s">
        <v>1457</v>
      </c>
      <c r="K3435" s="17"/>
    </row>
    <row r="3436" customFormat="false" ht="15" hidden="false" customHeight="true" outlineLevel="0" collapsed="false">
      <c r="A3436" s="12" t="s">
        <v>75</v>
      </c>
      <c r="B3436" s="12" t="s">
        <v>789</v>
      </c>
      <c r="C3436" s="12" t="s">
        <v>790</v>
      </c>
      <c r="D3436" s="12" t="s">
        <v>791</v>
      </c>
      <c r="E3436" s="12" t="s">
        <v>81</v>
      </c>
      <c r="F3436" s="12" t="s">
        <v>792</v>
      </c>
      <c r="G3436" s="12" t="s">
        <v>793</v>
      </c>
      <c r="H3436" s="12" t="s">
        <v>794</v>
      </c>
      <c r="I3436" s="12" t="s">
        <v>795</v>
      </c>
      <c r="J3436" s="12" t="s">
        <v>796</v>
      </c>
      <c r="K3436" s="12" t="s">
        <v>797</v>
      </c>
    </row>
    <row r="3437" customFormat="false" ht="15" hidden="false" customHeight="true" outlineLevel="0" collapsed="false">
      <c r="A3437" s="9" t="s">
        <v>779</v>
      </c>
      <c r="B3437" s="9" t="s">
        <v>798</v>
      </c>
      <c r="C3437" s="9" t="s">
        <v>1458</v>
      </c>
      <c r="D3437" s="5" t="s">
        <v>1428</v>
      </c>
      <c r="E3437" s="9" t="s">
        <v>782</v>
      </c>
      <c r="F3437" s="18" t="n">
        <v>1</v>
      </c>
      <c r="G3437" s="13" t="n">
        <f aca="false">N(INDEX('05 MATERIAL RATE LIBRARY'!$E$5:$E$400,MATCH("MAT-VRF",'05 MATERIAL RATE LIBRARY'!$A$5:$A$400,0)))</f>
        <v>300000</v>
      </c>
      <c r="H3437" s="19" t="n">
        <v>0</v>
      </c>
      <c r="I3437" s="18" t="n">
        <f aca="false">F3437*(1+H3437)</f>
        <v>1</v>
      </c>
      <c r="J3437" s="13" t="n">
        <f aca="false">I3437*G3437</f>
        <v>300000</v>
      </c>
      <c r="K3437" s="20" t="str">
        <f aca="false">IF(INDEX('05 MATERIAL RATE LIBRARY'!$M$5:$M$400,MATCH("MAT-VRF",'05 MATERIAL RATE LIBRARY'!$A$5:$A$400,0))=1,"",IF(INDEX('05 MATERIAL RATE LIBRARY'!$M$5:$M$400,MATCH("MAT-VRF",'05 MATERIAL RATE LIBRARY'!$A$5:$A$400,0))=2,"OLD RATE","NO RATE"))</f>
        <v/>
      </c>
    </row>
    <row r="3438" customFormat="false" ht="15" hidden="false" customHeight="true" outlineLevel="0" collapsed="false">
      <c r="D3438" s="22" t="s">
        <v>825</v>
      </c>
      <c r="J3438" s="23" t="n">
        <f aca="false">SUMPRODUCT((B3437:B3437="Material")*F3437:F3437*G3437:G3437)</f>
        <v>300000</v>
      </c>
    </row>
    <row r="3439" customFormat="false" ht="15" hidden="false" customHeight="true" outlineLevel="0" collapsed="false">
      <c r="D3439" s="22" t="s">
        <v>826</v>
      </c>
      <c r="J3439" s="23" t="n">
        <f aca="false">SUMIF(B3437:B3437,"Material",J3437:J3437)-J3438</f>
        <v>0</v>
      </c>
    </row>
    <row r="3440" customFormat="false" ht="15" hidden="false" customHeight="true" outlineLevel="0" collapsed="false">
      <c r="D3440" s="24" t="s">
        <v>827</v>
      </c>
      <c r="J3440" s="14" t="n">
        <f aca="false">SUMIF(B3437:B3437,"Material",J3437:J3437)</f>
        <v>300000</v>
      </c>
    </row>
    <row r="3441" customFormat="false" ht="15" hidden="false" customHeight="true" outlineLevel="0" collapsed="false">
      <c r="D3441" s="24" t="s">
        <v>828</v>
      </c>
      <c r="J3441" s="14" t="n">
        <f aca="false">SUMIF(B3437:B3437,"Labour",J3437:J3437)</f>
        <v>0</v>
      </c>
    </row>
    <row r="3442" customFormat="false" ht="15" hidden="false" customHeight="true" outlineLevel="0" collapsed="false">
      <c r="D3442" s="24" t="s">
        <v>829</v>
      </c>
      <c r="J3442" s="14" t="n">
        <f aca="false">SUMIF(B3437:B3437,"Equipment",J3437:J3437)</f>
        <v>0</v>
      </c>
    </row>
    <row r="3443" customFormat="false" ht="15" hidden="false" customHeight="true" outlineLevel="0" collapsed="false">
      <c r="D3443" s="24" t="s">
        <v>830</v>
      </c>
      <c r="J3443" s="14" t="n">
        <f aca="false">SUMIF(B3437:B3437,"Transport",J3437:J3437)</f>
        <v>0</v>
      </c>
    </row>
    <row r="3444" customFormat="false" ht="15" hidden="false" customHeight="true" outlineLevel="0" collapsed="false">
      <c r="D3444" s="24" t="s">
        <v>831</v>
      </c>
      <c r="J3444" s="14" t="n">
        <f aca="false">J3440+J3441+J3442+J3443</f>
        <v>300000</v>
      </c>
    </row>
    <row r="3445" customFormat="false" ht="15" hidden="false" customHeight="true" outlineLevel="0" collapsed="false">
      <c r="D3445" s="22" t="s">
        <v>832</v>
      </c>
      <c r="J3445" s="23" t="n">
        <f aca="false">J3444*OH_Site</f>
        <v>9000</v>
      </c>
    </row>
    <row r="3446" customFormat="false" ht="15" hidden="false" customHeight="true" outlineLevel="0" collapsed="false">
      <c r="D3446" s="22" t="s">
        <v>833</v>
      </c>
      <c r="J3446" s="23" t="n">
        <f aca="false">J3444*OH_HO</f>
        <v>15000</v>
      </c>
    </row>
    <row r="3447" customFormat="false" ht="15" hidden="false" customHeight="true" outlineLevel="0" collapsed="false">
      <c r="D3447" s="22" t="s">
        <v>834</v>
      </c>
      <c r="J3447" s="23" t="n">
        <f aca="false">J3444*Profit</f>
        <v>30000</v>
      </c>
    </row>
    <row r="3448" customFormat="false" ht="15" hidden="false" customHeight="true" outlineLevel="0" collapsed="false">
      <c r="D3448" s="24" t="s">
        <v>835</v>
      </c>
      <c r="J3448" s="14" t="n">
        <f aca="false">J3444+J3445+J3446+J3447</f>
        <v>354000</v>
      </c>
    </row>
    <row r="3449" customFormat="false" ht="15" hidden="false" customHeight="true" outlineLevel="0" collapsed="false">
      <c r="D3449" s="22" t="s">
        <v>836</v>
      </c>
      <c r="J3449" s="23" t="n">
        <f aca="false">IF(Tax_On="Yes",J3448*N(Tax_Rate),0)</f>
        <v>0</v>
      </c>
    </row>
    <row r="3450" customFormat="false" ht="15" hidden="false" customHeight="true" outlineLevel="0" collapsed="false">
      <c r="D3450" s="24" t="s">
        <v>1459</v>
      </c>
      <c r="J3450" s="14" t="n">
        <f aca="false">ROUND(J3448+J3449,0)</f>
        <v>354000</v>
      </c>
    </row>
    <row r="3451" customFormat="false" ht="15" hidden="false" customHeight="true" outlineLevel="0" collapsed="false">
      <c r="D3451" s="25" t="s">
        <v>838</v>
      </c>
      <c r="J3451" s="26" t="n">
        <f aca="false">COUNTIF(K3437:K3437,"NO RATE")+COUNTIF(K3437:K3437,"OLD RATE")</f>
        <v>0</v>
      </c>
    </row>
    <row r="3453" customFormat="false" ht="116.25" hidden="false" customHeight="true" outlineLevel="0" collapsed="false">
      <c r="A3453" s="4" t="s">
        <v>783</v>
      </c>
      <c r="B3453" s="16" t="s">
        <v>785</v>
      </c>
      <c r="C3453" s="27"/>
      <c r="D3453" s="27"/>
      <c r="E3453" s="27"/>
      <c r="F3453" s="27"/>
      <c r="G3453" s="27"/>
      <c r="H3453" s="27"/>
      <c r="I3453" s="28"/>
      <c r="J3453" s="4" t="s">
        <v>1032</v>
      </c>
      <c r="K3453" s="17"/>
    </row>
    <row r="3454" customFormat="false" ht="15" hidden="false" customHeight="true" outlineLevel="0" collapsed="false">
      <c r="A3454" s="12" t="s">
        <v>75</v>
      </c>
      <c r="B3454" s="12" t="s">
        <v>789</v>
      </c>
      <c r="C3454" s="12" t="s">
        <v>790</v>
      </c>
      <c r="D3454" s="12" t="s">
        <v>791</v>
      </c>
      <c r="E3454" s="12" t="s">
        <v>81</v>
      </c>
      <c r="F3454" s="12" t="s">
        <v>792</v>
      </c>
      <c r="G3454" s="12" t="s">
        <v>793</v>
      </c>
      <c r="H3454" s="12" t="s">
        <v>794</v>
      </c>
      <c r="I3454" s="12" t="s">
        <v>795</v>
      </c>
      <c r="J3454" s="12" t="s">
        <v>796</v>
      </c>
      <c r="K3454" s="12" t="s">
        <v>797</v>
      </c>
    </row>
    <row r="3455" customFormat="false" ht="15" hidden="false" customHeight="true" outlineLevel="0" collapsed="false">
      <c r="A3455" s="9" t="s">
        <v>783</v>
      </c>
      <c r="B3455" s="9" t="s">
        <v>798</v>
      </c>
      <c r="C3455" s="9" t="s">
        <v>1460</v>
      </c>
      <c r="D3455" s="5" t="s">
        <v>1428</v>
      </c>
      <c r="E3455" s="9" t="s">
        <v>368</v>
      </c>
      <c r="F3455" s="18" t="n">
        <v>1</v>
      </c>
      <c r="G3455" s="13" t="n">
        <f aca="false">N(INDEX('05 MATERIAL RATE LIBRARY'!$E$5:$E$400,MATCH("MAT-MDB",'05 MATERIAL RATE LIBRARY'!$A$5:$A$400,0)))</f>
        <v>2000000</v>
      </c>
      <c r="H3455" s="19" t="n">
        <v>0</v>
      </c>
      <c r="I3455" s="18" t="n">
        <f aca="false">F3455*(1+H3455)</f>
        <v>1</v>
      </c>
      <c r="J3455" s="13" t="n">
        <f aca="false">I3455*G3455</f>
        <v>2000000</v>
      </c>
      <c r="K3455" s="20" t="str">
        <f aca="false">IF(INDEX('05 MATERIAL RATE LIBRARY'!$M$5:$M$400,MATCH("MAT-MDB",'05 MATERIAL RATE LIBRARY'!$A$5:$A$400,0))=1,"",IF(INDEX('05 MATERIAL RATE LIBRARY'!$M$5:$M$400,MATCH("MAT-MDB",'05 MATERIAL RATE LIBRARY'!$A$5:$A$400,0))=2,"OLD RATE","NO RATE"))</f>
        <v/>
      </c>
    </row>
    <row r="3456" customFormat="false" ht="15" hidden="false" customHeight="true" outlineLevel="0" collapsed="false">
      <c r="D3456" s="22" t="s">
        <v>825</v>
      </c>
      <c r="J3456" s="23" t="n">
        <f aca="false">SUMPRODUCT((B3455:B3455="Material")*F3455:F3455*G3455:G3455)</f>
        <v>2000000</v>
      </c>
    </row>
    <row r="3457" customFormat="false" ht="15" hidden="false" customHeight="true" outlineLevel="0" collapsed="false">
      <c r="D3457" s="22" t="s">
        <v>826</v>
      </c>
      <c r="J3457" s="23" t="n">
        <f aca="false">SUMIF(B3455:B3455,"Material",J3455:J3455)-J3456</f>
        <v>0</v>
      </c>
    </row>
    <row r="3458" customFormat="false" ht="15" hidden="false" customHeight="true" outlineLevel="0" collapsed="false">
      <c r="D3458" s="24" t="s">
        <v>827</v>
      </c>
      <c r="J3458" s="14" t="n">
        <f aca="false">SUMIF(B3455:B3455,"Material",J3455:J3455)</f>
        <v>2000000</v>
      </c>
    </row>
    <row r="3459" customFormat="false" ht="15" hidden="false" customHeight="true" outlineLevel="0" collapsed="false">
      <c r="D3459" s="24" t="s">
        <v>828</v>
      </c>
      <c r="J3459" s="14" t="n">
        <f aca="false">SUMIF(B3455:B3455,"Labour",J3455:J3455)</f>
        <v>0</v>
      </c>
    </row>
    <row r="3460" customFormat="false" ht="15" hidden="false" customHeight="true" outlineLevel="0" collapsed="false">
      <c r="D3460" s="24" t="s">
        <v>829</v>
      </c>
      <c r="J3460" s="14" t="n">
        <f aca="false">SUMIF(B3455:B3455,"Equipment",J3455:J3455)</f>
        <v>0</v>
      </c>
    </row>
    <row r="3461" customFormat="false" ht="15" hidden="false" customHeight="true" outlineLevel="0" collapsed="false">
      <c r="D3461" s="24" t="s">
        <v>830</v>
      </c>
      <c r="J3461" s="14" t="n">
        <f aca="false">SUMIF(B3455:B3455,"Transport",J3455:J3455)</f>
        <v>0</v>
      </c>
    </row>
    <row r="3462" customFormat="false" ht="15" hidden="false" customHeight="true" outlineLevel="0" collapsed="false">
      <c r="D3462" s="24" t="s">
        <v>831</v>
      </c>
      <c r="J3462" s="14" t="n">
        <f aca="false">J3458+J3459+J3460+J3461</f>
        <v>2000000</v>
      </c>
    </row>
    <row r="3463" customFormat="false" ht="15" hidden="false" customHeight="true" outlineLevel="0" collapsed="false">
      <c r="D3463" s="22" t="s">
        <v>832</v>
      </c>
      <c r="J3463" s="23" t="n">
        <f aca="false">J3462*OH_Site</f>
        <v>60000</v>
      </c>
    </row>
    <row r="3464" customFormat="false" ht="15" hidden="false" customHeight="true" outlineLevel="0" collapsed="false">
      <c r="D3464" s="22" t="s">
        <v>833</v>
      </c>
      <c r="J3464" s="23" t="n">
        <f aca="false">J3462*OH_HO</f>
        <v>100000</v>
      </c>
    </row>
    <row r="3465" customFormat="false" ht="15" hidden="false" customHeight="true" outlineLevel="0" collapsed="false">
      <c r="D3465" s="22" t="s">
        <v>834</v>
      </c>
      <c r="J3465" s="23" t="n">
        <f aca="false">J3462*Profit</f>
        <v>200000</v>
      </c>
    </row>
    <row r="3466" customFormat="false" ht="15" hidden="false" customHeight="true" outlineLevel="0" collapsed="false">
      <c r="D3466" s="24" t="s">
        <v>835</v>
      </c>
      <c r="J3466" s="14" t="n">
        <f aca="false">J3462+J3463+J3464+J3465</f>
        <v>2360000</v>
      </c>
    </row>
    <row r="3467" customFormat="false" ht="15" hidden="false" customHeight="true" outlineLevel="0" collapsed="false">
      <c r="D3467" s="22" t="s">
        <v>836</v>
      </c>
      <c r="J3467" s="23" t="n">
        <f aca="false">IF(Tax_On="Yes",J3466*N(Tax_Rate),0)</f>
        <v>0</v>
      </c>
    </row>
    <row r="3468" customFormat="false" ht="15" hidden="false" customHeight="true" outlineLevel="0" collapsed="false">
      <c r="D3468" s="24" t="s">
        <v>1048</v>
      </c>
      <c r="J3468" s="14" t="n">
        <f aca="false">ROUND(J3466+J3467,0)</f>
        <v>2360000</v>
      </c>
    </row>
    <row r="3469" customFormat="false" ht="15" hidden="false" customHeight="true" outlineLevel="0" collapsed="false">
      <c r="D3469" s="25" t="s">
        <v>838</v>
      </c>
      <c r="J3469" s="26" t="n">
        <f aca="false">COUNTIF(K3455:K3455,"NO RATE")+COUNTIF(K3455:K3455,"OLD RATE")</f>
        <v>0</v>
      </c>
    </row>
  </sheetData>
  <mergeCells count="125">
    <mergeCell ref="B4:I4"/>
    <mergeCell ref="B32:I32"/>
    <mergeCell ref="B59:I59"/>
    <mergeCell ref="B87:I87"/>
    <mergeCell ref="B114:I114"/>
    <mergeCell ref="B142:I142"/>
    <mergeCell ref="B170:I170"/>
    <mergeCell ref="B196:I196"/>
    <mergeCell ref="B225:I225"/>
    <mergeCell ref="B254:I254"/>
    <mergeCell ref="B283:I283"/>
    <mergeCell ref="B312:I312"/>
    <mergeCell ref="B341:I341"/>
    <mergeCell ref="B370:I370"/>
    <mergeCell ref="B399:I399"/>
    <mergeCell ref="B428:I428"/>
    <mergeCell ref="B453:I453"/>
    <mergeCell ref="B478:I478"/>
    <mergeCell ref="B503:I503"/>
    <mergeCell ref="B524:I524"/>
    <mergeCell ref="B546:I546"/>
    <mergeCell ref="B567:I567"/>
    <mergeCell ref="B588:I588"/>
    <mergeCell ref="B612:I612"/>
    <mergeCell ref="B636:I636"/>
    <mergeCell ref="B659:I659"/>
    <mergeCell ref="B682:I682"/>
    <mergeCell ref="B704:I704"/>
    <mergeCell ref="B726:I726"/>
    <mergeCell ref="B748:I748"/>
    <mergeCell ref="B770:I770"/>
    <mergeCell ref="B791:I791"/>
    <mergeCell ref="B812:I812"/>
    <mergeCell ref="B833:I833"/>
    <mergeCell ref="B856:I856"/>
    <mergeCell ref="B876:I876"/>
    <mergeCell ref="B899:I899"/>
    <mergeCell ref="B921:I921"/>
    <mergeCell ref="B943:I943"/>
    <mergeCell ref="B965:I965"/>
    <mergeCell ref="B987:I987"/>
    <mergeCell ref="B1009:I1009"/>
    <mergeCell ref="B1031:I1031"/>
    <mergeCell ref="B1051:I1051"/>
    <mergeCell ref="B1071:I1071"/>
    <mergeCell ref="B1093:I1093"/>
    <mergeCell ref="B1114:I1114"/>
    <mergeCell ref="B1134:I1134"/>
    <mergeCell ref="B1153:I1153"/>
    <mergeCell ref="B1172:I1172"/>
    <mergeCell ref="B1191:I1191"/>
    <mergeCell ref="B1209:I1209"/>
    <mergeCell ref="B1229:I1229"/>
    <mergeCell ref="B1250:I1250"/>
    <mergeCell ref="B1269:I1269"/>
    <mergeCell ref="B1288:I1288"/>
    <mergeCell ref="B1314:I1314"/>
    <mergeCell ref="B1334:I1334"/>
    <mergeCell ref="B1355:I1355"/>
    <mergeCell ref="B1376:I1376"/>
    <mergeCell ref="B1397:I1397"/>
    <mergeCell ref="B1417:I1417"/>
    <mergeCell ref="B1441:I1441"/>
    <mergeCell ref="B1464:I1464"/>
    <mergeCell ref="B1486:I1486"/>
    <mergeCell ref="B1509:I1509"/>
    <mergeCell ref="B1530:I1530"/>
    <mergeCell ref="B1548:I1548"/>
    <mergeCell ref="B1572:I1572"/>
    <mergeCell ref="B1591:I1591"/>
    <mergeCell ref="B1615:I1615"/>
    <mergeCell ref="B1639:I1639"/>
    <mergeCell ref="B1663:I1663"/>
    <mergeCell ref="B1687:I1687"/>
    <mergeCell ref="B1711:I1711"/>
    <mergeCell ref="B1735:I1735"/>
    <mergeCell ref="B1759:I1759"/>
    <mergeCell ref="B1783:I1783"/>
    <mergeCell ref="B1807:I1807"/>
    <mergeCell ref="B1831:I1831"/>
    <mergeCell ref="B1855:I1855"/>
    <mergeCell ref="B1879:I1879"/>
    <mergeCell ref="B1900:I1900"/>
    <mergeCell ref="B1921:I1921"/>
    <mergeCell ref="B1944:I1944"/>
    <mergeCell ref="B1967:I1967"/>
    <mergeCell ref="B1990:I1990"/>
    <mergeCell ref="B2011:I2011"/>
    <mergeCell ref="B2031:I2031"/>
    <mergeCell ref="B2053:I2053"/>
    <mergeCell ref="B2075:I2075"/>
    <mergeCell ref="B2095:I2095"/>
    <mergeCell ref="B2115:I2115"/>
    <mergeCell ref="B2135:I2135"/>
    <mergeCell ref="B2160:I2160"/>
    <mergeCell ref="B2184:I2184"/>
    <mergeCell ref="B2204:I2204"/>
    <mergeCell ref="B2224:I2224"/>
    <mergeCell ref="B2246:I2246"/>
    <mergeCell ref="B2268:I2268"/>
    <mergeCell ref="B2289:I2289"/>
    <mergeCell ref="B2309:I2309"/>
    <mergeCell ref="B2331:I2331"/>
    <mergeCell ref="B2349:I2349"/>
    <mergeCell ref="B2370:I2370"/>
    <mergeCell ref="B2391:I2391"/>
    <mergeCell ref="B2413:I2413"/>
    <mergeCell ref="B2435:I2435"/>
    <mergeCell ref="B2457:I2457"/>
    <mergeCell ref="B2479:I2479"/>
    <mergeCell ref="B2500:I2500"/>
    <mergeCell ref="B2521:I2521"/>
    <mergeCell ref="B2541:I2541"/>
    <mergeCell ref="B2563:I2563"/>
    <mergeCell ref="B2584:I2584"/>
    <mergeCell ref="B2605:I2605"/>
    <mergeCell ref="B2626:I2626"/>
    <mergeCell ref="B2648:I2648"/>
    <mergeCell ref="B2672:I2672"/>
    <mergeCell ref="B2696:I2696"/>
    <mergeCell ref="B2719:I2719"/>
    <mergeCell ref="B2740:I2740"/>
    <mergeCell ref="B2762:I2762"/>
    <mergeCell ref="B2784:I2784"/>
    <mergeCell ref="B2806:I28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36"/>
    <col collapsed="false" customWidth="true" hidden="false" outlineLevel="0" max="4" min="4" style="1" width="7"/>
    <col collapsed="false" customWidth="true" hidden="false" outlineLevel="0" max="5" min="5" style="1" width="13"/>
    <col collapsed="false" customWidth="true" hidden="false" outlineLevel="0" max="8" min="6" style="1" width="10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50"/>
    <col collapsed="false" customWidth="true" hidden="false" outlineLevel="0" max="13" min="13" style="1" width="9"/>
    <col collapsed="false" customWidth="true" hidden="false" outlineLevel="0" max="14" min="14" style="1" width="13"/>
    <col collapsed="false" customWidth="true" hidden="false" outlineLevel="0" max="15" min="15" style="1" width="18"/>
  </cols>
  <sheetData>
    <row r="1" customFormat="false" ht="15.75" hidden="false" customHeight="true" outlineLevel="0" collapsed="false">
      <c r="A1" s="2" t="s">
        <v>1461</v>
      </c>
    </row>
    <row r="2" customFormat="false" ht="15" hidden="false" customHeight="true" outlineLevel="0" collapsed="false">
      <c r="A2" s="3" t="s">
        <v>1462</v>
      </c>
    </row>
    <row r="4" customFormat="false" ht="53.25" hidden="false" customHeight="true" outlineLevel="0" collapsed="false">
      <c r="A4" s="12" t="s">
        <v>1463</v>
      </c>
      <c r="B4" s="12" t="s">
        <v>791</v>
      </c>
      <c r="C4" s="12" t="s">
        <v>1464</v>
      </c>
      <c r="D4" s="12" t="s">
        <v>81</v>
      </c>
      <c r="E4" s="12" t="s">
        <v>1465</v>
      </c>
      <c r="F4" s="12" t="s">
        <v>1466</v>
      </c>
      <c r="G4" s="12" t="s">
        <v>1467</v>
      </c>
      <c r="H4" s="12" t="s">
        <v>82</v>
      </c>
      <c r="I4" s="12" t="s">
        <v>83</v>
      </c>
      <c r="J4" s="12" t="s">
        <v>95</v>
      </c>
      <c r="K4" s="12" t="s">
        <v>1468</v>
      </c>
      <c r="L4" s="12" t="s">
        <v>1469</v>
      </c>
      <c r="M4" s="12" t="s">
        <v>1470</v>
      </c>
      <c r="N4" s="12" t="s">
        <v>1471</v>
      </c>
      <c r="O4" s="12" t="s">
        <v>1472</v>
      </c>
    </row>
    <row r="5" customFormat="false" ht="21.75" hidden="false" customHeight="true" outlineLevel="0" collapsed="false">
      <c r="A5" s="9" t="s">
        <v>799</v>
      </c>
      <c r="B5" s="9" t="s">
        <v>1473</v>
      </c>
      <c r="C5" s="5" t="s">
        <v>1474</v>
      </c>
      <c r="D5" s="9" t="s">
        <v>801</v>
      </c>
      <c r="E5" s="13" t="n">
        <f aca="false">IF(INDEX('08 LOCATION RATE LIBRARY'!$D$5:$N$5,MATCH(City,'08 LOCATION RATE LIBRARY'!$D$4:$N$4,0))="","",INDEX('08 LOCATION RATE LIBRARY'!$D$5:$N$5,MATCH(City,'08 LOCATION RATE LIBRARY'!$D$4:$N$4,0)))</f>
        <v>1575</v>
      </c>
      <c r="F5" s="29" t="n">
        <v>1350</v>
      </c>
      <c r="G5" s="29" t="n">
        <v>1650</v>
      </c>
      <c r="H5" s="10" t="str">
        <f aca="false">City</f>
        <v>Lahore</v>
      </c>
      <c r="I5" s="9" t="s">
        <v>1475</v>
      </c>
      <c r="J5" s="9" t="s">
        <v>1476</v>
      </c>
      <c r="K5" s="9" t="s">
        <v>1477</v>
      </c>
      <c r="L5" s="5" t="s">
        <v>1478</v>
      </c>
      <c r="M5" s="10" t="n">
        <f aca="false">IF(NOT(ISNUMBER(E5)),0,IF(OR(J5="OLD SOURCE",J5="UNDATED SOURCE"),2,1))</f>
        <v>1</v>
      </c>
      <c r="N5" s="30" t="n">
        <v>1575</v>
      </c>
      <c r="O5" s="9" t="s">
        <v>1479</v>
      </c>
    </row>
    <row r="6" customFormat="false" ht="21.75" hidden="false" customHeight="true" outlineLevel="0" collapsed="false">
      <c r="A6" s="9" t="s">
        <v>805</v>
      </c>
      <c r="B6" s="9" t="s">
        <v>1480</v>
      </c>
      <c r="C6" s="5" t="s">
        <v>1481</v>
      </c>
      <c r="D6" s="9" t="s">
        <v>109</v>
      </c>
      <c r="E6" s="13" t="n">
        <f aca="false">IF(INDEX('08 LOCATION RATE LIBRARY'!$D$6:$N$6,MATCH(City,'08 LOCATION RATE LIBRARY'!$D$4:$N$4,0))="","",INDEX('08 LOCATION RATE LIBRARY'!$D$6:$N$6,MATCH(City,'08 LOCATION RATE LIBRARY'!$D$4:$N$4,0)))</f>
        <v>240</v>
      </c>
      <c r="F6" s="29" t="n">
        <v>180</v>
      </c>
      <c r="G6" s="29" t="n">
        <v>305</v>
      </c>
      <c r="H6" s="10" t="str">
        <f aca="false">City</f>
        <v>Lahore</v>
      </c>
      <c r="I6" s="9" t="s">
        <v>1482</v>
      </c>
      <c r="J6" s="9" t="s">
        <v>1476</v>
      </c>
      <c r="K6" s="9" t="s">
        <v>1483</v>
      </c>
      <c r="L6" s="5" t="s">
        <v>1484</v>
      </c>
      <c r="M6" s="10" t="n">
        <f aca="false">IF(NOT(ISNUMBER(E6)),0,IF(OR(J6="OLD SOURCE",J6="UNDATED SOURCE"),2,1))</f>
        <v>1</v>
      </c>
      <c r="N6" s="30" t="n">
        <v>240</v>
      </c>
      <c r="O6" s="9" t="s">
        <v>1485</v>
      </c>
    </row>
    <row r="7" customFormat="false" ht="15" hidden="false" customHeight="true" outlineLevel="0" collapsed="false">
      <c r="A7" s="9" t="s">
        <v>864</v>
      </c>
      <c r="B7" s="9" t="s">
        <v>1486</v>
      </c>
      <c r="C7" s="5" t="s">
        <v>1487</v>
      </c>
      <c r="D7" s="9" t="s">
        <v>109</v>
      </c>
      <c r="E7" s="13" t="n">
        <f aca="false">IF(INDEX('08 LOCATION RATE LIBRARY'!$D$7:$N$7,MATCH(City,'08 LOCATION RATE LIBRARY'!$D$4:$N$4,0))="","",INDEX('08 LOCATION RATE LIBRARY'!$D$7:$N$7,MATCH(City,'08 LOCATION RATE LIBRARY'!$D$4:$N$4,0)))</f>
        <v>80</v>
      </c>
      <c r="F7" s="29" t="n">
        <v>60</v>
      </c>
      <c r="G7" s="29" t="n">
        <v>100</v>
      </c>
      <c r="H7" s="10" t="str">
        <f aca="false">City</f>
        <v>Lahore</v>
      </c>
      <c r="I7" s="9" t="s">
        <v>1488</v>
      </c>
      <c r="J7" s="9" t="s">
        <v>1489</v>
      </c>
      <c r="K7" s="9" t="s">
        <v>1490</v>
      </c>
      <c r="L7" s="5" t="s">
        <v>1491</v>
      </c>
      <c r="M7" s="10" t="n">
        <f aca="false">IF(NOT(ISNUMBER(E7)),0,IF(OR(J7="OLD SOURCE",J7="UNDATED SOURCE"),2,1))</f>
        <v>1</v>
      </c>
      <c r="N7" s="30" t="n">
        <v>80</v>
      </c>
      <c r="O7" s="9" t="s">
        <v>1485</v>
      </c>
    </row>
    <row r="8" customFormat="false" ht="21.75" hidden="false" customHeight="true" outlineLevel="0" collapsed="false">
      <c r="A8" s="9" t="s">
        <v>846</v>
      </c>
      <c r="B8" s="9" t="s">
        <v>1492</v>
      </c>
      <c r="C8" s="5" t="s">
        <v>1493</v>
      </c>
      <c r="D8" s="9" t="s">
        <v>109</v>
      </c>
      <c r="E8" s="13" t="n">
        <f aca="false">IF(INDEX('08 LOCATION RATE LIBRARY'!$D$8:$N$8,MATCH(City,'08 LOCATION RATE LIBRARY'!$D$4:$N$4,0))="","",INDEX('08 LOCATION RATE LIBRARY'!$D$8:$N$8,MATCH(City,'08 LOCATION RATE LIBRARY'!$D$4:$N$4,0)))</f>
        <v>70</v>
      </c>
      <c r="F8" s="29"/>
      <c r="G8" s="29"/>
      <c r="H8" s="10" t="str">
        <f aca="false">City</f>
        <v>Lahore</v>
      </c>
      <c r="I8" s="9" t="s">
        <v>110</v>
      </c>
      <c r="J8" s="10" t="str">
        <f aca="false">IF(ISNUMBER('16 VENDOR ENQUIRY (RFQ)'!H18),"Vendor quote","ASSUMED")</f>
        <v>ASSUMED</v>
      </c>
      <c r="K8" s="9" t="s">
        <v>1494</v>
      </c>
      <c r="L8" s="5" t="s">
        <v>1495</v>
      </c>
      <c r="M8" s="10" t="n">
        <f aca="false">IF(NOT(ISNUMBER(E8)),0,IF(OR(J8="OLD SOURCE",J8="UNDATED SOURCE"),2,1))</f>
        <v>1</v>
      </c>
      <c r="N8" s="31" t="n">
        <f aca="false">IF(ISNUMBER('16 VENDOR ENQUIRY (RFQ)'!H18),'16 VENDOR ENQUIRY (RFQ)'!H18,70)</f>
        <v>70</v>
      </c>
      <c r="O8" s="9" t="s">
        <v>1485</v>
      </c>
    </row>
    <row r="9" customFormat="false" ht="21.75" hidden="false" customHeight="true" outlineLevel="0" collapsed="false">
      <c r="A9" s="9" t="s">
        <v>839</v>
      </c>
      <c r="B9" s="9" t="s">
        <v>1496</v>
      </c>
      <c r="C9" s="5" t="s">
        <v>1497</v>
      </c>
      <c r="D9" s="9" t="s">
        <v>109</v>
      </c>
      <c r="E9" s="13" t="n">
        <f aca="false">IF(INDEX('08 LOCATION RATE LIBRARY'!$D$9:$N$9,MATCH(City,'08 LOCATION RATE LIBRARY'!$D$4:$N$4,0))="","",INDEX('08 LOCATION RATE LIBRARY'!$D$9:$N$9,MATCH(City,'08 LOCATION RATE LIBRARY'!$D$4:$N$4,0)))</f>
        <v>180</v>
      </c>
      <c r="F9" s="29" t="n">
        <v>130</v>
      </c>
      <c r="G9" s="29" t="n">
        <v>170</v>
      </c>
      <c r="H9" s="10" t="str">
        <f aca="false">City</f>
        <v>Lahore</v>
      </c>
      <c r="I9" s="9" t="s">
        <v>1498</v>
      </c>
      <c r="J9" s="9" t="s">
        <v>1476</v>
      </c>
      <c r="K9" s="9" t="s">
        <v>1499</v>
      </c>
      <c r="L9" s="5" t="s">
        <v>1500</v>
      </c>
      <c r="M9" s="10" t="n">
        <f aca="false">IF(NOT(ISNUMBER(E9)),0,IF(OR(J9="OLD SOURCE",J9="UNDATED SOURCE"),2,1))</f>
        <v>1</v>
      </c>
      <c r="N9" s="30" t="n">
        <v>180</v>
      </c>
      <c r="O9" s="9" t="s">
        <v>1485</v>
      </c>
    </row>
    <row r="10" customFormat="false" ht="32.25" hidden="false" customHeight="true" outlineLevel="0" collapsed="false">
      <c r="A10" s="9" t="s">
        <v>802</v>
      </c>
      <c r="B10" s="9" t="s">
        <v>1501</v>
      </c>
      <c r="C10" s="5" t="s">
        <v>1502</v>
      </c>
      <c r="D10" s="9" t="s">
        <v>109</v>
      </c>
      <c r="E10" s="13" t="n">
        <f aca="false">IF(INDEX('08 LOCATION RATE LIBRARY'!$D$10:$N$10,MATCH(City,'08 LOCATION RATE LIBRARY'!$D$4:$N$4,0))="","",INDEX('08 LOCATION RATE LIBRARY'!$D$10:$N$10,MATCH(City,'08 LOCATION RATE LIBRARY'!$D$4:$N$4,0)))</f>
        <v>185</v>
      </c>
      <c r="F10" s="29" t="n">
        <v>120</v>
      </c>
      <c r="G10" s="29" t="n">
        <v>135</v>
      </c>
      <c r="H10" s="10" t="str">
        <f aca="false">City</f>
        <v>Lahore</v>
      </c>
      <c r="I10" s="9" t="s">
        <v>1482</v>
      </c>
      <c r="J10" s="9" t="s">
        <v>1476</v>
      </c>
      <c r="K10" s="9" t="s">
        <v>1483</v>
      </c>
      <c r="L10" s="5" t="s">
        <v>1503</v>
      </c>
      <c r="M10" s="10" t="n">
        <f aca="false">IF(NOT(ISNUMBER(E10)),0,IF(OR(J10="OLD SOURCE",J10="UNDATED SOURCE"),2,1))</f>
        <v>1</v>
      </c>
      <c r="N10" s="30" t="n">
        <v>185</v>
      </c>
      <c r="O10" s="9" t="s">
        <v>1485</v>
      </c>
    </row>
    <row r="11" customFormat="false" ht="21.75" hidden="false" customHeight="true" outlineLevel="0" collapsed="false">
      <c r="A11" s="9" t="s">
        <v>807</v>
      </c>
      <c r="B11" s="9" t="s">
        <v>1504</v>
      </c>
      <c r="C11" s="5" t="s">
        <v>1505</v>
      </c>
      <c r="D11" s="9" t="s">
        <v>198</v>
      </c>
      <c r="E11" s="13" t="n">
        <f aca="false">IF(INDEX('08 LOCATION RATE LIBRARY'!$D$11:$N$11,MATCH(City,'08 LOCATION RATE LIBRARY'!$D$4:$N$4,0))="","",INDEX('08 LOCATION RATE LIBRARY'!$D$11:$N$11,MATCH(City,'08 LOCATION RATE LIBRARY'!$D$4:$N$4,0)))</f>
        <v>185</v>
      </c>
      <c r="F11" s="29"/>
      <c r="G11" s="29"/>
      <c r="H11" s="10" t="str">
        <f aca="false">City</f>
        <v>Lahore</v>
      </c>
      <c r="I11" s="9" t="s">
        <v>1506</v>
      </c>
      <c r="J11" s="10" t="str">
        <f aca="false">IF(ISNUMBER('16 VENDOR ENQUIRY (RFQ)'!H12),"Vendor quote","OLD SOURCE")</f>
        <v>OLD SOURCE</v>
      </c>
      <c r="K11" s="9" t="s">
        <v>1490</v>
      </c>
      <c r="L11" s="5" t="s">
        <v>1507</v>
      </c>
      <c r="M11" s="10" t="n">
        <f aca="false">IF(NOT(ISNUMBER(E11)),0,IF(OR(J11="OLD SOURCE",J11="UNDATED SOURCE"),2,1))</f>
        <v>2</v>
      </c>
      <c r="N11" s="31" t="n">
        <f aca="false">IF(ISNUMBER('16 VENDOR ENQUIRY (RFQ)'!H12),'16 VENDOR ENQUIRY (RFQ)'!H12,185)</f>
        <v>185</v>
      </c>
      <c r="O11" s="9" t="s">
        <v>1485</v>
      </c>
    </row>
    <row r="12" customFormat="false" ht="21.75" hidden="false" customHeight="true" outlineLevel="0" collapsed="false">
      <c r="A12" s="9" t="s">
        <v>809</v>
      </c>
      <c r="B12" s="9" t="s">
        <v>1508</v>
      </c>
      <c r="C12" s="5" t="s">
        <v>1509</v>
      </c>
      <c r="D12" s="9" t="s">
        <v>811</v>
      </c>
      <c r="E12" s="13" t="n">
        <f aca="false">IF(INDEX('08 LOCATION RATE LIBRARY'!$D$12:$N$12,MATCH(City,'08 LOCATION RATE LIBRARY'!$D$4:$N$4,0))="","",INDEX('08 LOCATION RATE LIBRARY'!$D$12:$N$12,MATCH(City,'08 LOCATION RATE LIBRARY'!$D$4:$N$4,0)))</f>
        <v>0.686</v>
      </c>
      <c r="F12" s="29"/>
      <c r="G12" s="29"/>
      <c r="H12" s="10" t="str">
        <f aca="false">City</f>
        <v>Lahore</v>
      </c>
      <c r="I12" s="9" t="s">
        <v>1498</v>
      </c>
      <c r="J12" s="10" t="str">
        <f aca="false">IF(ISNUMBER('16 VENDOR ENQUIRY (RFQ)'!H19),"Vendor quote","ASSUMED")</f>
        <v>ASSUMED</v>
      </c>
      <c r="K12" s="9" t="s">
        <v>1510</v>
      </c>
      <c r="L12" s="5" t="s">
        <v>1511</v>
      </c>
      <c r="M12" s="10" t="n">
        <f aca="false">IF(NOT(ISNUMBER(E12)),0,IF(OR(J12="OLD SOURCE",J12="UNDATED SOURCE"),2,1))</f>
        <v>1</v>
      </c>
      <c r="N12" s="31" t="n">
        <f aca="false">IF(ISNUMBER('16 VENDOR ENQUIRY (RFQ)'!H19),'16 VENDOR ENQUIRY (RFQ)'!H19,0.686)</f>
        <v>0.686</v>
      </c>
      <c r="O12" s="9" t="s">
        <v>1485</v>
      </c>
    </row>
    <row r="13" customFormat="false" ht="21.75" hidden="false" customHeight="true" outlineLevel="0" collapsed="false">
      <c r="A13" s="9" t="s">
        <v>876</v>
      </c>
      <c r="B13" s="9" t="s">
        <v>1512</v>
      </c>
      <c r="C13" s="5" t="s">
        <v>1513</v>
      </c>
      <c r="D13" s="9" t="s">
        <v>198</v>
      </c>
      <c r="E13" s="13" t="n">
        <f aca="false">IF(INDEX('08 LOCATION RATE LIBRARY'!$D$13:$N$13,MATCH(City,'08 LOCATION RATE LIBRARY'!$D$4:$N$4,0))="","",INDEX('08 LOCATION RATE LIBRARY'!$D$13:$N$13,MATCH(City,'08 LOCATION RATE LIBRARY'!$D$4:$N$4,0)))</f>
        <v>242</v>
      </c>
      <c r="F13" s="29" t="n">
        <v>254</v>
      </c>
      <c r="G13" s="29" t="n">
        <v>285</v>
      </c>
      <c r="H13" s="10" t="str">
        <f aca="false">City</f>
        <v>Lahore</v>
      </c>
      <c r="I13" s="9" t="s">
        <v>1514</v>
      </c>
      <c r="J13" s="9" t="s">
        <v>1489</v>
      </c>
      <c r="K13" s="9" t="s">
        <v>1490</v>
      </c>
      <c r="L13" s="5" t="s">
        <v>1515</v>
      </c>
      <c r="M13" s="10" t="n">
        <f aca="false">IF(NOT(ISNUMBER(E13)),0,IF(OR(J13="OLD SOURCE",J13="UNDATED SOURCE"),2,1))</f>
        <v>1</v>
      </c>
      <c r="N13" s="30" t="n">
        <v>242</v>
      </c>
      <c r="O13" s="9" t="s">
        <v>1479</v>
      </c>
    </row>
    <row r="14" customFormat="false" ht="21.75" hidden="false" customHeight="true" outlineLevel="0" collapsed="false">
      <c r="A14" s="9" t="s">
        <v>878</v>
      </c>
      <c r="B14" s="9" t="s">
        <v>1516</v>
      </c>
      <c r="C14" s="5" t="s">
        <v>1517</v>
      </c>
      <c r="D14" s="9" t="s">
        <v>198</v>
      </c>
      <c r="E14" s="13" t="n">
        <f aca="false">IF(INDEX('08 LOCATION RATE LIBRARY'!$D$14:$N$14,MATCH(City,'08 LOCATION RATE LIBRARY'!$D$4:$N$4,0))="","",INDEX('08 LOCATION RATE LIBRARY'!$D$14:$N$14,MATCH(City,'08 LOCATION RATE LIBRARY'!$D$4:$N$4,0)))</f>
        <v>345</v>
      </c>
      <c r="F14" s="29"/>
      <c r="G14" s="29"/>
      <c r="H14" s="10" t="str">
        <f aca="false">City</f>
        <v>Lahore</v>
      </c>
      <c r="I14" s="9" t="s">
        <v>1518</v>
      </c>
      <c r="J14" s="9" t="s">
        <v>1489</v>
      </c>
      <c r="K14" s="9" t="s">
        <v>1490</v>
      </c>
      <c r="L14" s="5" t="s">
        <v>1519</v>
      </c>
      <c r="M14" s="10" t="n">
        <f aca="false">IF(NOT(ISNUMBER(E14)),0,IF(OR(J14="OLD SOURCE",J14="UNDATED SOURCE"),2,1))</f>
        <v>1</v>
      </c>
      <c r="N14" s="30" t="n">
        <v>345</v>
      </c>
      <c r="O14" s="9" t="s">
        <v>1485</v>
      </c>
    </row>
    <row r="15" customFormat="false" ht="21.75" hidden="false" customHeight="true" outlineLevel="0" collapsed="false">
      <c r="A15" s="9" t="s">
        <v>884</v>
      </c>
      <c r="B15" s="9" t="s">
        <v>1520</v>
      </c>
      <c r="C15" s="5" t="s">
        <v>1521</v>
      </c>
      <c r="D15" s="9" t="s">
        <v>368</v>
      </c>
      <c r="E15" s="13" t="n">
        <f aca="false">IF(INDEX('08 LOCATION RATE LIBRARY'!$D$15:$N$15,MATCH(City,'08 LOCATION RATE LIBRARY'!$D$4:$N$4,0))="","",INDEX('08 LOCATION RATE LIBRARY'!$D$15:$N$15,MATCH(City,'08 LOCATION RATE LIBRARY'!$D$4:$N$4,0)))</f>
        <v>17.5</v>
      </c>
      <c r="F15" s="29" t="n">
        <v>14</v>
      </c>
      <c r="G15" s="29" t="n">
        <v>21.5</v>
      </c>
      <c r="H15" s="10" t="str">
        <f aca="false">City</f>
        <v>Lahore</v>
      </c>
      <c r="I15" s="9" t="s">
        <v>1522</v>
      </c>
      <c r="J15" s="9" t="s">
        <v>1476</v>
      </c>
      <c r="K15" s="9" t="s">
        <v>1523</v>
      </c>
      <c r="L15" s="5" t="s">
        <v>1524</v>
      </c>
      <c r="M15" s="10" t="n">
        <f aca="false">IF(NOT(ISNUMBER(E15)),0,IF(OR(J15="OLD SOURCE",J15="UNDATED SOURCE"),2,1))</f>
        <v>1</v>
      </c>
      <c r="N15" s="30" t="n">
        <v>17.5</v>
      </c>
      <c r="O15" s="9" t="s">
        <v>1485</v>
      </c>
    </row>
    <row r="16" customFormat="false" ht="21.75" hidden="false" customHeight="true" outlineLevel="0" collapsed="false">
      <c r="A16" s="9" t="s">
        <v>920</v>
      </c>
      <c r="B16" s="9" t="s">
        <v>1525</v>
      </c>
      <c r="C16" s="5" t="s">
        <v>1526</v>
      </c>
      <c r="D16" s="9" t="s">
        <v>368</v>
      </c>
      <c r="E16" s="13" t="n">
        <f aca="false">IF(INDEX('08 LOCATION RATE LIBRARY'!$D$16:$N$16,MATCH(City,'08 LOCATION RATE LIBRARY'!$D$4:$N$4,0))="","",INDEX('08 LOCATION RATE LIBRARY'!$D$16:$N$16,MATCH(City,'08 LOCATION RATE LIBRARY'!$D$4:$N$4,0)))</f>
        <v>210</v>
      </c>
      <c r="F16" s="29" t="n">
        <v>120</v>
      </c>
      <c r="G16" s="29" t="n">
        <v>175</v>
      </c>
      <c r="H16" s="10" t="str">
        <f aca="false">City</f>
        <v>Lahore</v>
      </c>
      <c r="I16" s="9" t="s">
        <v>1488</v>
      </c>
      <c r="J16" s="9" t="s">
        <v>1489</v>
      </c>
      <c r="K16" s="9" t="s">
        <v>1490</v>
      </c>
      <c r="L16" s="5" t="s">
        <v>1527</v>
      </c>
      <c r="M16" s="10" t="n">
        <f aca="false">IF(NOT(ISNUMBER(E16)),0,IF(OR(J16="OLD SOURCE",J16="UNDATED SOURCE"),2,1))</f>
        <v>1</v>
      </c>
      <c r="N16" s="30" t="n">
        <v>210</v>
      </c>
      <c r="O16" s="9" t="s">
        <v>1528</v>
      </c>
    </row>
    <row r="17" customFormat="false" ht="15" hidden="false" customHeight="true" outlineLevel="0" collapsed="false">
      <c r="A17" s="9" t="s">
        <v>926</v>
      </c>
      <c r="B17" s="9" t="s">
        <v>1529</v>
      </c>
      <c r="C17" s="5" t="s">
        <v>1530</v>
      </c>
      <c r="D17" s="9" t="s">
        <v>368</v>
      </c>
      <c r="E17" s="13" t="n">
        <f aca="false">IF(INDEX('08 LOCATION RATE LIBRARY'!$D$17:$N$17,MATCH(City,'08 LOCATION RATE LIBRARY'!$D$4:$N$4,0))="","",INDEX('08 LOCATION RATE LIBRARY'!$D$17:$N$17,MATCH(City,'08 LOCATION RATE LIBRARY'!$D$4:$N$4,0)))</f>
        <v>165</v>
      </c>
      <c r="F17" s="29" t="n">
        <v>95</v>
      </c>
      <c r="G17" s="29" t="n">
        <v>125</v>
      </c>
      <c r="H17" s="10" t="str">
        <f aca="false">City</f>
        <v>Lahore</v>
      </c>
      <c r="I17" s="9" t="s">
        <v>1475</v>
      </c>
      <c r="J17" s="9" t="s">
        <v>1531</v>
      </c>
      <c r="K17" s="9" t="s">
        <v>1532</v>
      </c>
      <c r="L17" s="5" t="s">
        <v>1533</v>
      </c>
      <c r="M17" s="10" t="n">
        <f aca="false">IF(NOT(ISNUMBER(E17)),0,IF(OR(J17="OLD SOURCE",J17="UNDATED SOURCE"),2,1))</f>
        <v>1</v>
      </c>
      <c r="N17" s="30" t="n">
        <v>165</v>
      </c>
      <c r="O17" s="9" t="s">
        <v>1528</v>
      </c>
    </row>
    <row r="18" customFormat="false" ht="21.75" hidden="false" customHeight="true" outlineLevel="0" collapsed="false">
      <c r="A18" s="9" t="s">
        <v>930</v>
      </c>
      <c r="B18" s="9" t="s">
        <v>1534</v>
      </c>
      <c r="C18" s="5" t="s">
        <v>1535</v>
      </c>
      <c r="D18" s="9" t="s">
        <v>368</v>
      </c>
      <c r="E18" s="13" t="n">
        <f aca="false">IF(INDEX('08 LOCATION RATE LIBRARY'!$D$18:$N$18,MATCH(City,'08 LOCATION RATE LIBRARY'!$D$4:$N$4,0))="","",INDEX('08 LOCATION RATE LIBRARY'!$D$18:$N$18,MATCH(City,'08 LOCATION RATE LIBRARY'!$D$4:$N$4,0)))</f>
        <v>140</v>
      </c>
      <c r="F18" s="29" t="n">
        <v>55</v>
      </c>
      <c r="G18" s="29" t="n">
        <v>65</v>
      </c>
      <c r="H18" s="10" t="str">
        <f aca="false">City</f>
        <v>Lahore</v>
      </c>
      <c r="I18" s="9" t="s">
        <v>1475</v>
      </c>
      <c r="J18" s="9" t="s">
        <v>1531</v>
      </c>
      <c r="K18" s="9" t="s">
        <v>1532</v>
      </c>
      <c r="L18" s="5" t="s">
        <v>1536</v>
      </c>
      <c r="M18" s="10" t="n">
        <f aca="false">IF(NOT(ISNUMBER(E18)),0,IF(OR(J18="OLD SOURCE",J18="UNDATED SOURCE"),2,1))</f>
        <v>1</v>
      </c>
      <c r="N18" s="30" t="n">
        <v>140</v>
      </c>
      <c r="O18" s="9" t="s">
        <v>1528</v>
      </c>
    </row>
    <row r="19" customFormat="false" ht="21.75" hidden="false" customHeight="true" outlineLevel="0" collapsed="false">
      <c r="A19" s="9" t="s">
        <v>898</v>
      </c>
      <c r="B19" s="9" t="s">
        <v>1537</v>
      </c>
      <c r="C19" s="5" t="s">
        <v>1538</v>
      </c>
      <c r="D19" s="9" t="s">
        <v>900</v>
      </c>
      <c r="E19" s="13" t="n">
        <f aca="false">IF(INDEX('08 LOCATION RATE LIBRARY'!$D$19:$N$19,MATCH(City,'08 LOCATION RATE LIBRARY'!$D$4:$N$4,0))="","",INDEX('08 LOCATION RATE LIBRARY'!$D$19:$N$19,MATCH(City,'08 LOCATION RATE LIBRARY'!$D$4:$N$4,0)))</f>
        <v>5500</v>
      </c>
      <c r="F19" s="29" t="n">
        <v>4500</v>
      </c>
      <c r="G19" s="29" t="n">
        <v>6500</v>
      </c>
      <c r="H19" s="10" t="str">
        <f aca="false">City</f>
        <v>Lahore</v>
      </c>
      <c r="I19" s="9" t="s">
        <v>110</v>
      </c>
      <c r="J19" s="9" t="s">
        <v>1476</v>
      </c>
      <c r="K19" s="9" t="s">
        <v>1539</v>
      </c>
      <c r="L19" s="5" t="s">
        <v>1540</v>
      </c>
      <c r="M19" s="10" t="n">
        <f aca="false">IF(NOT(ISNUMBER(E19)),0,IF(OR(J19="OLD SOURCE",J19="UNDATED SOURCE"),2,1))</f>
        <v>1</v>
      </c>
      <c r="N19" s="30" t="n">
        <v>5500</v>
      </c>
      <c r="O19" s="9" t="s">
        <v>1479</v>
      </c>
    </row>
    <row r="20" customFormat="false" ht="32.25" hidden="false" customHeight="true" outlineLevel="0" collapsed="false">
      <c r="A20" s="9" t="s">
        <v>901</v>
      </c>
      <c r="B20" s="9" t="s">
        <v>1541</v>
      </c>
      <c r="C20" s="5" t="s">
        <v>1542</v>
      </c>
      <c r="D20" s="9" t="s">
        <v>109</v>
      </c>
      <c r="E20" s="13" t="n">
        <f aca="false">IF(INDEX('08 LOCATION RATE LIBRARY'!$D$20:$N$20,MATCH(City,'08 LOCATION RATE LIBRARY'!$D$4:$N$4,0))="","",INDEX('08 LOCATION RATE LIBRARY'!$D$20:$N$20,MATCH(City,'08 LOCATION RATE LIBRARY'!$D$4:$N$4,0)))</f>
        <v>3680</v>
      </c>
      <c r="F20" s="29"/>
      <c r="G20" s="29"/>
      <c r="H20" s="10" t="str">
        <f aca="false">City</f>
        <v>Lahore</v>
      </c>
      <c r="I20" s="9" t="s">
        <v>1543</v>
      </c>
      <c r="J20" s="9" t="s">
        <v>1489</v>
      </c>
      <c r="K20" s="9" t="s">
        <v>1490</v>
      </c>
      <c r="L20" s="5" t="s">
        <v>1544</v>
      </c>
      <c r="M20" s="10" t="n">
        <f aca="false">IF(NOT(ISNUMBER(E20)),0,IF(OR(J20="OLD SOURCE",J20="UNDATED SOURCE"),2,1))</f>
        <v>1</v>
      </c>
      <c r="N20" s="30" t="n">
        <v>3680</v>
      </c>
      <c r="O20" s="9" t="s">
        <v>1485</v>
      </c>
    </row>
    <row r="21" customFormat="false" ht="21.75" hidden="false" customHeight="true" outlineLevel="0" collapsed="false">
      <c r="A21" s="9" t="s">
        <v>903</v>
      </c>
      <c r="B21" s="9" t="s">
        <v>1545</v>
      </c>
      <c r="C21" s="5" t="s">
        <v>1546</v>
      </c>
      <c r="D21" s="9" t="s">
        <v>198</v>
      </c>
      <c r="E21" s="13" t="n">
        <f aca="false">IF(INDEX('08 LOCATION RATE LIBRARY'!$D$21:$N$21,MATCH(City,'08 LOCATION RATE LIBRARY'!$D$4:$N$4,0))="","",INDEX('08 LOCATION RATE LIBRARY'!$D$21:$N$21,MATCH(City,'08 LOCATION RATE LIBRARY'!$D$4:$N$4,0)))</f>
        <v>715</v>
      </c>
      <c r="F21" s="29"/>
      <c r="G21" s="29"/>
      <c r="H21" s="10" t="str">
        <f aca="false">City</f>
        <v>Lahore</v>
      </c>
      <c r="I21" s="9" t="s">
        <v>1547</v>
      </c>
      <c r="J21" s="9" t="s">
        <v>1489</v>
      </c>
      <c r="K21" s="9" t="s">
        <v>1490</v>
      </c>
      <c r="L21" s="5" t="s">
        <v>1548</v>
      </c>
      <c r="M21" s="10" t="n">
        <f aca="false">IF(NOT(ISNUMBER(E21)),0,IF(OR(J21="OLD SOURCE",J21="UNDATED SOURCE"),2,1))</f>
        <v>1</v>
      </c>
      <c r="N21" s="30" t="n">
        <v>715</v>
      </c>
      <c r="O21" s="9" t="s">
        <v>1485</v>
      </c>
    </row>
    <row r="22" customFormat="false" ht="15" hidden="false" customHeight="true" outlineLevel="0" collapsed="false">
      <c r="A22" s="9" t="s">
        <v>905</v>
      </c>
      <c r="B22" s="9" t="s">
        <v>1549</v>
      </c>
      <c r="C22" s="5" t="s">
        <v>1550</v>
      </c>
      <c r="D22" s="9" t="s">
        <v>811</v>
      </c>
      <c r="E22" s="13" t="n">
        <f aca="false">IF(INDEX('08 LOCATION RATE LIBRARY'!$D$22:$N$22,MATCH(City,'08 LOCATION RATE LIBRARY'!$D$4:$N$4,0))="","",INDEX('08 LOCATION RATE LIBRARY'!$D$22:$N$22,MATCH(City,'08 LOCATION RATE LIBRARY'!$D$4:$N$4,0)))</f>
        <v>400</v>
      </c>
      <c r="F22" s="29"/>
      <c r="G22" s="29"/>
      <c r="H22" s="10" t="str">
        <f aca="false">City</f>
        <v>Lahore</v>
      </c>
      <c r="I22" s="9" t="s">
        <v>110</v>
      </c>
      <c r="J22" s="10" t="str">
        <f aca="false">IF(ISNUMBER('16 VENDOR ENQUIRY (RFQ)'!H16),"Vendor quote","ASSUMED")</f>
        <v>ASSUMED</v>
      </c>
      <c r="K22" s="9" t="s">
        <v>1494</v>
      </c>
      <c r="L22" s="5" t="s">
        <v>1551</v>
      </c>
      <c r="M22" s="10" t="n">
        <f aca="false">IF(NOT(ISNUMBER(E22)),0,IF(OR(J22="OLD SOURCE",J22="UNDATED SOURCE"),2,1))</f>
        <v>1</v>
      </c>
      <c r="N22" s="31" t="n">
        <f aca="false">IF(ISNUMBER('16 VENDOR ENQUIRY (RFQ)'!H16),'16 VENDOR ENQUIRY (RFQ)'!H16,400)</f>
        <v>400</v>
      </c>
      <c r="O22" s="9" t="s">
        <v>1485</v>
      </c>
    </row>
    <row r="23" customFormat="false" ht="21.75" hidden="false" customHeight="true" outlineLevel="0" collapsed="false">
      <c r="A23" s="9" t="s">
        <v>947</v>
      </c>
      <c r="B23" s="9" t="s">
        <v>1552</v>
      </c>
      <c r="C23" s="5" t="s">
        <v>1553</v>
      </c>
      <c r="D23" s="9" t="s">
        <v>212</v>
      </c>
      <c r="E23" s="13" t="n">
        <f aca="false">IF(INDEX('08 LOCATION RATE LIBRARY'!$D$23:$N$23,MATCH(City,'08 LOCATION RATE LIBRARY'!$D$4:$N$4,0))="","",INDEX('08 LOCATION RATE LIBRARY'!$D$23:$N$23,MATCH(City,'08 LOCATION RATE LIBRARY'!$D$4:$N$4,0)))</f>
        <v>98</v>
      </c>
      <c r="F23" s="29"/>
      <c r="G23" s="29"/>
      <c r="H23" s="10" t="str">
        <f aca="false">City</f>
        <v>Lahore</v>
      </c>
      <c r="I23" s="9" t="s">
        <v>1554</v>
      </c>
      <c r="J23" s="9" t="s">
        <v>1489</v>
      </c>
      <c r="K23" s="9" t="s">
        <v>1490</v>
      </c>
      <c r="L23" s="5" t="s">
        <v>1555</v>
      </c>
      <c r="M23" s="10" t="n">
        <f aca="false">IF(NOT(ISNUMBER(E23)),0,IF(OR(J23="OLD SOURCE",J23="UNDATED SOURCE"),2,1))</f>
        <v>1</v>
      </c>
      <c r="N23" s="30" t="n">
        <v>98</v>
      </c>
      <c r="O23" s="9" t="s">
        <v>1485</v>
      </c>
    </row>
    <row r="24" customFormat="false" ht="21.75" hidden="false" customHeight="true" outlineLevel="0" collapsed="false">
      <c r="A24" s="9" t="s">
        <v>945</v>
      </c>
      <c r="B24" s="9" t="s">
        <v>1556</v>
      </c>
      <c r="C24" s="5" t="s">
        <v>1557</v>
      </c>
      <c r="D24" s="9" t="s">
        <v>811</v>
      </c>
      <c r="E24" s="13" t="n">
        <f aca="false">IF(INDEX('08 LOCATION RATE LIBRARY'!$D$24:$N$24,MATCH(City,'08 LOCATION RATE LIBRARY'!$D$4:$N$4,0))="","",INDEX('08 LOCATION RATE LIBRARY'!$D$24:$N$24,MATCH(City,'08 LOCATION RATE LIBRARY'!$D$4:$N$4,0)))</f>
        <v>87.5</v>
      </c>
      <c r="F24" s="29"/>
      <c r="G24" s="29"/>
      <c r="H24" s="10" t="str">
        <f aca="false">City</f>
        <v>Lahore</v>
      </c>
      <c r="I24" s="9" t="s">
        <v>1558</v>
      </c>
      <c r="J24" s="10" t="str">
        <f aca="false">IF(ISNUMBER('16 VENDOR ENQUIRY (RFQ)'!H13),"Vendor quote","OLD SOURCE")</f>
        <v>OLD SOURCE</v>
      </c>
      <c r="K24" s="9" t="s">
        <v>1490</v>
      </c>
      <c r="L24" s="5" t="s">
        <v>1559</v>
      </c>
      <c r="M24" s="10" t="n">
        <f aca="false">IF(NOT(ISNUMBER(E24)),0,IF(OR(J24="OLD SOURCE",J24="UNDATED SOURCE"),2,1))</f>
        <v>2</v>
      </c>
      <c r="N24" s="31" t="n">
        <f aca="false">IF(ISNUMBER('16 VENDOR ENQUIRY (RFQ)'!H13),'16 VENDOR ENQUIRY (RFQ)'!H13,87.5)</f>
        <v>87.5</v>
      </c>
      <c r="O24" s="9" t="s">
        <v>1485</v>
      </c>
    </row>
    <row r="25" customFormat="false" ht="21.75" hidden="false" customHeight="true" outlineLevel="0" collapsed="false">
      <c r="A25" s="9" t="s">
        <v>963</v>
      </c>
      <c r="B25" s="9" t="s">
        <v>1560</v>
      </c>
      <c r="C25" s="5" t="s">
        <v>1561</v>
      </c>
      <c r="D25" s="9" t="s">
        <v>198</v>
      </c>
      <c r="E25" s="13" t="n">
        <f aca="false">IF(INDEX('08 LOCATION RATE LIBRARY'!$D$25:$N$25,MATCH(City,'08 LOCATION RATE LIBRARY'!$D$4:$N$4,0))="","",INDEX('08 LOCATION RATE LIBRARY'!$D$25:$N$25,MATCH(City,'08 LOCATION RATE LIBRARY'!$D$4:$N$4,0)))</f>
        <v>197.5</v>
      </c>
      <c r="F25" s="29"/>
      <c r="G25" s="29"/>
      <c r="H25" s="10" t="str">
        <f aca="false">City</f>
        <v>Lahore</v>
      </c>
      <c r="I25" s="9" t="s">
        <v>1522</v>
      </c>
      <c r="J25" s="9" t="s">
        <v>1476</v>
      </c>
      <c r="K25" s="9" t="s">
        <v>1562</v>
      </c>
      <c r="L25" s="5" t="s">
        <v>1563</v>
      </c>
      <c r="M25" s="10" t="n">
        <f aca="false">IF(NOT(ISNUMBER(E25)),0,IF(OR(J25="OLD SOURCE",J25="UNDATED SOURCE"),2,1))</f>
        <v>1</v>
      </c>
      <c r="N25" s="30" t="n">
        <v>197.5</v>
      </c>
      <c r="O25" s="9" t="s">
        <v>1485</v>
      </c>
    </row>
    <row r="26" customFormat="false" ht="15" hidden="false" customHeight="true" outlineLevel="0" collapsed="false">
      <c r="A26" s="9" t="s">
        <v>949</v>
      </c>
      <c r="B26" s="9" t="s">
        <v>1564</v>
      </c>
      <c r="C26" s="5" t="s">
        <v>1565</v>
      </c>
      <c r="D26" s="9" t="s">
        <v>198</v>
      </c>
      <c r="E26" s="13" t="n">
        <f aca="false">IF(INDEX('08 LOCATION RATE LIBRARY'!$D$26:$N$26,MATCH(City,'08 LOCATION RATE LIBRARY'!$D$4:$N$4,0))="","",INDEX('08 LOCATION RATE LIBRARY'!$D$26:$N$26,MATCH(City,'08 LOCATION RATE LIBRARY'!$D$4:$N$4,0)))</f>
        <v>258.65</v>
      </c>
      <c r="F26" s="29"/>
      <c r="G26" s="29"/>
      <c r="H26" s="10" t="str">
        <f aca="false">City</f>
        <v>Lahore</v>
      </c>
      <c r="I26" s="9" t="s">
        <v>1566</v>
      </c>
      <c r="J26" s="9" t="s">
        <v>1567</v>
      </c>
      <c r="K26" s="9" t="s">
        <v>1568</v>
      </c>
      <c r="L26" s="5" t="s">
        <v>1569</v>
      </c>
      <c r="M26" s="10" t="n">
        <f aca="false">IF(NOT(ISNUMBER(E26)),0,IF(OR(J26="OLD SOURCE",J26="UNDATED SOURCE"),2,1))</f>
        <v>1</v>
      </c>
      <c r="N26" s="30" t="n">
        <v>258.65</v>
      </c>
      <c r="O26" s="9" t="s">
        <v>1485</v>
      </c>
    </row>
    <row r="27" customFormat="false" ht="21.75" hidden="false" customHeight="true" outlineLevel="0" collapsed="false">
      <c r="A27" s="9" t="s">
        <v>956</v>
      </c>
      <c r="B27" s="9" t="s">
        <v>1570</v>
      </c>
      <c r="C27" s="5" t="s">
        <v>1571</v>
      </c>
      <c r="D27" s="9" t="s">
        <v>212</v>
      </c>
      <c r="E27" s="13" t="n">
        <f aca="false">IF(INDEX('08 LOCATION RATE LIBRARY'!$D$27:$N$27,MATCH(City,'08 LOCATION RATE LIBRARY'!$D$4:$N$4,0))="","",INDEX('08 LOCATION RATE LIBRARY'!$D$27:$N$27,MATCH(City,'08 LOCATION RATE LIBRARY'!$D$4:$N$4,0)))</f>
        <v>47</v>
      </c>
      <c r="F27" s="29"/>
      <c r="G27" s="29"/>
      <c r="H27" s="10" t="str">
        <f aca="false">City</f>
        <v>Lahore</v>
      </c>
      <c r="I27" s="9" t="s">
        <v>1572</v>
      </c>
      <c r="J27" s="10" t="str">
        <f aca="false">IF(ISNUMBER('16 VENDOR ENQUIRY (RFQ)'!H14),"Vendor quote","OLD SOURCE")</f>
        <v>OLD SOURCE</v>
      </c>
      <c r="K27" s="9" t="s">
        <v>1490</v>
      </c>
      <c r="L27" s="5" t="s">
        <v>1573</v>
      </c>
      <c r="M27" s="10" t="n">
        <f aca="false">IF(NOT(ISNUMBER(E27)),0,IF(OR(J27="OLD SOURCE",J27="UNDATED SOURCE"),2,1))</f>
        <v>2</v>
      </c>
      <c r="N27" s="31" t="n">
        <f aca="false">IF(ISNUMBER('16 VENDOR ENQUIRY (RFQ)'!H14),'16 VENDOR ENQUIRY (RFQ)'!H14,47)</f>
        <v>47</v>
      </c>
      <c r="O27" s="9" t="s">
        <v>1485</v>
      </c>
    </row>
    <row r="28" customFormat="false" ht="21.75" hidden="false" customHeight="true" outlineLevel="0" collapsed="false">
      <c r="A28" s="9" t="s">
        <v>967</v>
      </c>
      <c r="B28" s="9" t="s">
        <v>1574</v>
      </c>
      <c r="C28" s="5" t="s">
        <v>1575</v>
      </c>
      <c r="D28" s="9" t="s">
        <v>212</v>
      </c>
      <c r="E28" s="13" t="n">
        <f aca="false">IF(INDEX('08 LOCATION RATE LIBRARY'!$D$28:$N$28,MATCH(City,'08 LOCATION RATE LIBRARY'!$D$4:$N$4,0))="","",INDEX('08 LOCATION RATE LIBRARY'!$D$28:$N$28,MATCH(City,'08 LOCATION RATE LIBRARY'!$D$4:$N$4,0)))</f>
        <v>209</v>
      </c>
      <c r="F28" s="29" t="n">
        <v>90</v>
      </c>
      <c r="G28" s="29" t="n">
        <v>350</v>
      </c>
      <c r="H28" s="10" t="str">
        <f aca="false">City</f>
        <v>Lahore</v>
      </c>
      <c r="I28" s="9" t="s">
        <v>110</v>
      </c>
      <c r="J28" s="9" t="s">
        <v>1476</v>
      </c>
      <c r="K28" s="9" t="s">
        <v>1576</v>
      </c>
      <c r="L28" s="5" t="s">
        <v>1577</v>
      </c>
      <c r="M28" s="10" t="n">
        <f aca="false">IF(NOT(ISNUMBER(E28)),0,IF(OR(J28="OLD SOURCE",J28="UNDATED SOURCE"),2,1))</f>
        <v>1</v>
      </c>
      <c r="N28" s="30" t="n">
        <v>209</v>
      </c>
      <c r="O28" s="9" t="s">
        <v>1479</v>
      </c>
    </row>
    <row r="29" customFormat="false" ht="15" hidden="false" customHeight="true" outlineLevel="0" collapsed="false">
      <c r="A29" s="9" t="s">
        <v>976</v>
      </c>
      <c r="B29" s="9" t="s">
        <v>1578</v>
      </c>
      <c r="C29" s="5" t="s">
        <v>1579</v>
      </c>
      <c r="D29" s="9" t="s">
        <v>212</v>
      </c>
      <c r="E29" s="13" t="n">
        <f aca="false">IF(INDEX('08 LOCATION RATE LIBRARY'!$D$29:$N$29,MATCH(City,'08 LOCATION RATE LIBRARY'!$D$4:$N$4,0))="","",INDEX('08 LOCATION RATE LIBRARY'!$D$29:$N$29,MATCH(City,'08 LOCATION RATE LIBRARY'!$D$4:$N$4,0)))</f>
        <v>125</v>
      </c>
      <c r="F29" s="29" t="n">
        <v>90</v>
      </c>
      <c r="G29" s="29" t="n">
        <v>350</v>
      </c>
      <c r="H29" s="10" t="str">
        <f aca="false">City</f>
        <v>Lahore</v>
      </c>
      <c r="I29" s="9" t="s">
        <v>110</v>
      </c>
      <c r="J29" s="9" t="s">
        <v>1476</v>
      </c>
      <c r="K29" s="9" t="s">
        <v>1576</v>
      </c>
      <c r="L29" s="5" t="s">
        <v>1577</v>
      </c>
      <c r="M29" s="10" t="n">
        <f aca="false">IF(NOT(ISNUMBER(E29)),0,IF(OR(J29="OLD SOURCE",J29="UNDATED SOURCE"),2,1))</f>
        <v>1</v>
      </c>
      <c r="N29" s="30" t="n">
        <v>125</v>
      </c>
      <c r="O29" s="9" t="s">
        <v>1479</v>
      </c>
    </row>
    <row r="30" customFormat="false" ht="15" hidden="false" customHeight="true" outlineLevel="0" collapsed="false">
      <c r="A30" s="9" t="s">
        <v>969</v>
      </c>
      <c r="B30" s="9" t="s">
        <v>1580</v>
      </c>
      <c r="C30" s="5" t="s">
        <v>1581</v>
      </c>
      <c r="D30" s="9" t="s">
        <v>801</v>
      </c>
      <c r="E30" s="13" t="n">
        <f aca="false">IF(INDEX('08 LOCATION RATE LIBRARY'!$D$30:$N$30,MATCH(City,'08 LOCATION RATE LIBRARY'!$D$4:$N$4,0))="","",INDEX('08 LOCATION RATE LIBRARY'!$D$30:$N$30,MATCH(City,'08 LOCATION RATE LIBRARY'!$D$4:$N$4,0)))</f>
        <v>650</v>
      </c>
      <c r="F30" s="29" t="n">
        <v>600</v>
      </c>
      <c r="G30" s="29" t="n">
        <v>780</v>
      </c>
      <c r="H30" s="10" t="str">
        <f aca="false">City</f>
        <v>Lahore</v>
      </c>
      <c r="I30" s="9" t="s">
        <v>110</v>
      </c>
      <c r="J30" s="9" t="s">
        <v>1476</v>
      </c>
      <c r="K30" s="9" t="s">
        <v>1582</v>
      </c>
      <c r="L30" s="5" t="s">
        <v>1583</v>
      </c>
      <c r="M30" s="10" t="n">
        <f aca="false">IF(NOT(ISNUMBER(E30)),0,IF(OR(J30="OLD SOURCE",J30="UNDATED SOURCE"),2,1))</f>
        <v>1</v>
      </c>
      <c r="N30" s="30" t="n">
        <v>650</v>
      </c>
      <c r="O30" s="9" t="s">
        <v>1479</v>
      </c>
    </row>
    <row r="31" customFormat="false" ht="32.25" hidden="false" customHeight="true" outlineLevel="0" collapsed="false">
      <c r="A31" s="9" t="s">
        <v>971</v>
      </c>
      <c r="B31" s="9" t="s">
        <v>1584</v>
      </c>
      <c r="C31" s="5" t="s">
        <v>1585</v>
      </c>
      <c r="D31" s="9" t="s">
        <v>198</v>
      </c>
      <c r="E31" s="13" t="n">
        <f aca="false">IF(INDEX('08 LOCATION RATE LIBRARY'!$D$31:$N$31,MATCH(City,'08 LOCATION RATE LIBRARY'!$D$4:$N$4,0))="","",INDEX('08 LOCATION RATE LIBRARY'!$D$31:$N$31,MATCH(City,'08 LOCATION RATE LIBRARY'!$D$4:$N$4,0)))</f>
        <v>300</v>
      </c>
      <c r="F31" s="29"/>
      <c r="G31" s="29"/>
      <c r="H31" s="10" t="str">
        <f aca="false">City</f>
        <v>Lahore</v>
      </c>
      <c r="I31" s="9" t="s">
        <v>1586</v>
      </c>
      <c r="J31" s="9" t="s">
        <v>1489</v>
      </c>
      <c r="K31" s="9" t="s">
        <v>1490</v>
      </c>
      <c r="L31" s="5" t="s">
        <v>1587</v>
      </c>
      <c r="M31" s="10" t="n">
        <f aca="false">IF(NOT(ISNUMBER(E31)),0,IF(OR(J31="OLD SOURCE",J31="UNDATED SOURCE"),2,1))</f>
        <v>1</v>
      </c>
      <c r="N31" s="30" t="n">
        <v>300</v>
      </c>
      <c r="O31" s="9" t="s">
        <v>1485</v>
      </c>
    </row>
    <row r="32" customFormat="false" ht="21.75" hidden="false" customHeight="true" outlineLevel="0" collapsed="false">
      <c r="A32" s="9" t="s">
        <v>980</v>
      </c>
      <c r="B32" s="9" t="s">
        <v>1588</v>
      </c>
      <c r="C32" s="5" t="s">
        <v>1589</v>
      </c>
      <c r="D32" s="9" t="s">
        <v>212</v>
      </c>
      <c r="E32" s="13" t="n">
        <f aca="false">IF(INDEX('08 LOCATION RATE LIBRARY'!$D$32:$N$32,MATCH(City,'08 LOCATION RATE LIBRARY'!$D$4:$N$4,0))="","",INDEX('08 LOCATION RATE LIBRARY'!$D$32:$N$32,MATCH(City,'08 LOCATION RATE LIBRARY'!$D$4:$N$4,0)))</f>
        <v>337.5</v>
      </c>
      <c r="F32" s="29" t="n">
        <v>320</v>
      </c>
      <c r="G32" s="29" t="n">
        <v>360</v>
      </c>
      <c r="H32" s="10" t="str">
        <f aca="false">City</f>
        <v>Lahore</v>
      </c>
      <c r="I32" s="9" t="s">
        <v>1590</v>
      </c>
      <c r="J32" s="9" t="s">
        <v>1476</v>
      </c>
      <c r="K32" s="9" t="s">
        <v>1591</v>
      </c>
      <c r="L32" s="5" t="s">
        <v>1592</v>
      </c>
      <c r="M32" s="10" t="n">
        <f aca="false">IF(NOT(ISNUMBER(E32)),0,IF(OR(J32="OLD SOURCE",J32="UNDATED SOURCE"),2,1))</f>
        <v>1</v>
      </c>
      <c r="N32" s="30" t="n">
        <v>337.5</v>
      </c>
      <c r="O32" s="9" t="s">
        <v>1485</v>
      </c>
    </row>
    <row r="33" customFormat="false" ht="21.75" hidden="false" customHeight="true" outlineLevel="0" collapsed="false">
      <c r="A33" s="9" t="s">
        <v>986</v>
      </c>
      <c r="B33" s="9" t="s">
        <v>1593</v>
      </c>
      <c r="C33" s="5" t="s">
        <v>1594</v>
      </c>
      <c r="D33" s="9" t="s">
        <v>212</v>
      </c>
      <c r="E33" s="13" t="n">
        <f aca="false">IF(INDEX('08 LOCATION RATE LIBRARY'!$D$33:$N$33,MATCH(City,'08 LOCATION RATE LIBRARY'!$D$4:$N$4,0))="","",INDEX('08 LOCATION RATE LIBRARY'!$D$33:$N$33,MATCH(City,'08 LOCATION RATE LIBRARY'!$D$4:$N$4,0)))</f>
        <v>92.5</v>
      </c>
      <c r="F33" s="29" t="n">
        <v>90</v>
      </c>
      <c r="G33" s="29" t="n">
        <v>110</v>
      </c>
      <c r="H33" s="10" t="str">
        <f aca="false">City</f>
        <v>Lahore</v>
      </c>
      <c r="I33" s="9" t="s">
        <v>1590</v>
      </c>
      <c r="J33" s="9" t="s">
        <v>1476</v>
      </c>
      <c r="K33" s="9" t="s">
        <v>1591</v>
      </c>
      <c r="L33" s="5" t="s">
        <v>1595</v>
      </c>
      <c r="M33" s="10" t="n">
        <f aca="false">IF(NOT(ISNUMBER(E33)),0,IF(OR(J33="OLD SOURCE",J33="UNDATED SOURCE"),2,1))</f>
        <v>1</v>
      </c>
      <c r="N33" s="30" t="n">
        <v>92.5</v>
      </c>
      <c r="O33" s="9" t="s">
        <v>1485</v>
      </c>
    </row>
    <row r="34" customFormat="false" ht="21.75" hidden="false" customHeight="true" outlineLevel="0" collapsed="false">
      <c r="A34" s="9" t="s">
        <v>1596</v>
      </c>
      <c r="B34" s="9" t="s">
        <v>1597</v>
      </c>
      <c r="C34" s="5" t="s">
        <v>1598</v>
      </c>
      <c r="D34" s="9" t="s">
        <v>900</v>
      </c>
      <c r="E34" s="13" t="n">
        <f aca="false">IF(INDEX('08 LOCATION RATE LIBRARY'!$D$34:$N$34,MATCH(City,'08 LOCATION RATE LIBRARY'!$D$4:$N$4,0))="","",INDEX('08 LOCATION RATE LIBRARY'!$D$34:$N$34,MATCH(City,'08 LOCATION RATE LIBRARY'!$D$4:$N$4,0)))</f>
        <v>3550</v>
      </c>
      <c r="F34" s="29"/>
      <c r="G34" s="29"/>
      <c r="H34" s="10" t="str">
        <f aca="false">City</f>
        <v>Lahore</v>
      </c>
      <c r="I34" s="9" t="s">
        <v>110</v>
      </c>
      <c r="J34" s="10" t="str">
        <f aca="false">IF(ISNUMBER('16 VENDOR ENQUIRY (RFQ)'!H8),"Vendor quote","ASSUMED")</f>
        <v>ASSUMED</v>
      </c>
      <c r="K34" s="9" t="s">
        <v>1494</v>
      </c>
      <c r="L34" s="5" t="s">
        <v>1599</v>
      </c>
      <c r="M34" s="10" t="n">
        <f aca="false">IF(NOT(ISNUMBER(E34)),0,IF(OR(J34="OLD SOURCE",J34="UNDATED SOURCE"),2,1))</f>
        <v>1</v>
      </c>
      <c r="N34" s="31" t="n">
        <f aca="false">IF(ISNUMBER('16 VENDOR ENQUIRY (RFQ)'!H8),'16 VENDOR ENQUIRY (RFQ)'!H8,3550)</f>
        <v>3550</v>
      </c>
      <c r="O34" s="9" t="s">
        <v>1485</v>
      </c>
    </row>
    <row r="35" customFormat="false" ht="15" hidden="false" customHeight="true" outlineLevel="0" collapsed="false">
      <c r="A35" s="9" t="s">
        <v>1600</v>
      </c>
      <c r="B35" s="9" t="s">
        <v>1601</v>
      </c>
      <c r="C35" s="5" t="s">
        <v>1602</v>
      </c>
      <c r="D35" s="9" t="s">
        <v>900</v>
      </c>
      <c r="E35" s="13" t="n">
        <f aca="false">IF(INDEX('08 LOCATION RATE LIBRARY'!$D$35:$N$35,MATCH(City,'08 LOCATION RATE LIBRARY'!$D$4:$N$4,0))="","",INDEX('08 LOCATION RATE LIBRARY'!$D$35:$N$35,MATCH(City,'08 LOCATION RATE LIBRARY'!$D$4:$N$4,0)))</f>
        <v>4600</v>
      </c>
      <c r="F35" s="29"/>
      <c r="G35" s="29"/>
      <c r="H35" s="10" t="str">
        <f aca="false">City</f>
        <v>Lahore</v>
      </c>
      <c r="I35" s="9" t="s">
        <v>110</v>
      </c>
      <c r="J35" s="10" t="str">
        <f aca="false">IF(ISNUMBER('16 VENDOR ENQUIRY (RFQ)'!H9),"Vendor quote","ASSUMED")</f>
        <v>ASSUMED</v>
      </c>
      <c r="K35" s="9" t="s">
        <v>1494</v>
      </c>
      <c r="L35" s="5" t="s">
        <v>1603</v>
      </c>
      <c r="M35" s="10" t="n">
        <f aca="false">IF(NOT(ISNUMBER(E35)),0,IF(OR(J35="OLD SOURCE",J35="UNDATED SOURCE"),2,1))</f>
        <v>1</v>
      </c>
      <c r="N35" s="31" t="n">
        <f aca="false">IF(ISNUMBER('16 VENDOR ENQUIRY (RFQ)'!H9),'16 VENDOR ENQUIRY (RFQ)'!H9,4600)</f>
        <v>4600</v>
      </c>
      <c r="O35" s="9" t="s">
        <v>1485</v>
      </c>
    </row>
    <row r="36" customFormat="false" ht="15" hidden="false" customHeight="true" outlineLevel="0" collapsed="false">
      <c r="A36" s="9" t="s">
        <v>1604</v>
      </c>
      <c r="B36" s="9" t="s">
        <v>1605</v>
      </c>
      <c r="C36" s="5" t="s">
        <v>1606</v>
      </c>
      <c r="D36" s="9" t="s">
        <v>386</v>
      </c>
      <c r="E36" s="13" t="n">
        <f aca="false">IF(INDEX('08 LOCATION RATE LIBRARY'!$D$36:$N$36,MATCH(City,'08 LOCATION RATE LIBRARY'!$D$4:$N$4,0))="","",INDEX('08 LOCATION RATE LIBRARY'!$D$36:$N$36,MATCH(City,'08 LOCATION RATE LIBRARY'!$D$4:$N$4,0)))</f>
        <v>60</v>
      </c>
      <c r="F36" s="29"/>
      <c r="G36" s="29"/>
      <c r="H36" s="10" t="str">
        <f aca="false">City</f>
        <v>Lahore</v>
      </c>
      <c r="I36" s="9" t="s">
        <v>110</v>
      </c>
      <c r="J36" s="10" t="str">
        <f aca="false">IF(ISNUMBER('16 VENDOR ENQUIRY (RFQ)'!H6),"Vendor quote","ASSUMED")</f>
        <v>ASSUMED</v>
      </c>
      <c r="K36" s="9" t="s">
        <v>1494</v>
      </c>
      <c r="L36" s="5" t="s">
        <v>1607</v>
      </c>
      <c r="M36" s="10" t="n">
        <f aca="false">IF(NOT(ISNUMBER(E36)),0,IF(OR(J36="OLD SOURCE",J36="UNDATED SOURCE"),2,1))</f>
        <v>1</v>
      </c>
      <c r="N36" s="31" t="n">
        <f aca="false">IF(ISNUMBER('16 VENDOR ENQUIRY (RFQ)'!H6),'16 VENDOR ENQUIRY (RFQ)'!H6,60)</f>
        <v>60</v>
      </c>
      <c r="O36" s="9" t="s">
        <v>1485</v>
      </c>
    </row>
    <row r="37" customFormat="false" ht="15" hidden="false" customHeight="true" outlineLevel="0" collapsed="false">
      <c r="A37" s="9" t="s">
        <v>1608</v>
      </c>
      <c r="B37" s="9" t="s">
        <v>1609</v>
      </c>
      <c r="C37" s="5" t="s">
        <v>1610</v>
      </c>
      <c r="D37" s="9" t="s">
        <v>386</v>
      </c>
      <c r="E37" s="13" t="n">
        <f aca="false">IF(INDEX('08 LOCATION RATE LIBRARY'!$D$37:$N$37,MATCH(City,'08 LOCATION RATE LIBRARY'!$D$4:$N$4,0))="","",INDEX('08 LOCATION RATE LIBRARY'!$D$37:$N$37,MATCH(City,'08 LOCATION RATE LIBRARY'!$D$4:$N$4,0)))</f>
        <v>45</v>
      </c>
      <c r="F37" s="29"/>
      <c r="G37" s="29"/>
      <c r="H37" s="10" t="str">
        <f aca="false">City</f>
        <v>Lahore</v>
      </c>
      <c r="I37" s="9" t="s">
        <v>110</v>
      </c>
      <c r="J37" s="10" t="str">
        <f aca="false">IF(ISNUMBER('16 VENDOR ENQUIRY (RFQ)'!H5),"Vendor quote","ASSUMED")</f>
        <v>ASSUMED</v>
      </c>
      <c r="K37" s="9" t="s">
        <v>1494</v>
      </c>
      <c r="L37" s="5" t="s">
        <v>1607</v>
      </c>
      <c r="M37" s="10" t="n">
        <f aca="false">IF(NOT(ISNUMBER(E37)),0,IF(OR(J37="OLD SOURCE",J37="UNDATED SOURCE"),2,1))</f>
        <v>1</v>
      </c>
      <c r="N37" s="31" t="n">
        <f aca="false">IF(ISNUMBER('16 VENDOR ENQUIRY (RFQ)'!H5),'16 VENDOR ENQUIRY (RFQ)'!H5,45)</f>
        <v>45</v>
      </c>
      <c r="O37" s="9" t="s">
        <v>1485</v>
      </c>
    </row>
    <row r="38" customFormat="false" ht="15" hidden="false" customHeight="true" outlineLevel="0" collapsed="false">
      <c r="A38" s="9" t="s">
        <v>1611</v>
      </c>
      <c r="B38" s="9" t="s">
        <v>1612</v>
      </c>
      <c r="C38" s="5" t="s">
        <v>1613</v>
      </c>
      <c r="D38" s="9" t="s">
        <v>386</v>
      </c>
      <c r="E38" s="13" t="n">
        <f aca="false">IF(INDEX('08 LOCATION RATE LIBRARY'!$D$38:$N$38,MATCH(City,'08 LOCATION RATE LIBRARY'!$D$4:$N$4,0))="","",INDEX('08 LOCATION RATE LIBRARY'!$D$38:$N$38,MATCH(City,'08 LOCATION RATE LIBRARY'!$D$4:$N$4,0)))</f>
        <v>35</v>
      </c>
      <c r="F38" s="29"/>
      <c r="G38" s="29"/>
      <c r="H38" s="10" t="str">
        <f aca="false">City</f>
        <v>Lahore</v>
      </c>
      <c r="I38" s="9" t="s">
        <v>110</v>
      </c>
      <c r="J38" s="10" t="str">
        <f aca="false">IF(ISNUMBER('16 VENDOR ENQUIRY (RFQ)'!H7),"Vendor quote","ASSUMED")</f>
        <v>ASSUMED</v>
      </c>
      <c r="K38" s="9" t="s">
        <v>1494</v>
      </c>
      <c r="L38" s="5" t="s">
        <v>1607</v>
      </c>
      <c r="M38" s="10" t="n">
        <f aca="false">IF(NOT(ISNUMBER(E38)),0,IF(OR(J38="OLD SOURCE",J38="UNDATED SOURCE"),2,1))</f>
        <v>1</v>
      </c>
      <c r="N38" s="31" t="n">
        <f aca="false">IF(ISNUMBER('16 VENDOR ENQUIRY (RFQ)'!H7),'16 VENDOR ENQUIRY (RFQ)'!H7,35)</f>
        <v>35</v>
      </c>
      <c r="O38" s="9" t="s">
        <v>1485</v>
      </c>
    </row>
    <row r="39" customFormat="false" ht="15" hidden="false" customHeight="true" outlineLevel="0" collapsed="false">
      <c r="A39" s="9" t="s">
        <v>1614</v>
      </c>
      <c r="B39" s="9" t="s">
        <v>1615</v>
      </c>
      <c r="C39" s="5" t="s">
        <v>1616</v>
      </c>
      <c r="D39" s="9" t="s">
        <v>368</v>
      </c>
      <c r="E39" s="13" t="n">
        <f aca="false">IF(INDEX('08 LOCATION RATE LIBRARY'!$D$39:$N$39,MATCH(City,'08 LOCATION RATE LIBRARY'!$D$4:$N$4,0))="","",INDEX('08 LOCATION RATE LIBRARY'!$D$39:$N$39,MATCH(City,'08 LOCATION RATE LIBRARY'!$D$4:$N$4,0)))</f>
        <v>217.76</v>
      </c>
      <c r="F39" s="29"/>
      <c r="G39" s="29"/>
      <c r="H39" s="10" t="str">
        <f aca="false">City</f>
        <v>Lahore</v>
      </c>
      <c r="I39" s="9" t="s">
        <v>1617</v>
      </c>
      <c r="J39" s="9" t="s">
        <v>1489</v>
      </c>
      <c r="K39" s="9" t="s">
        <v>1490</v>
      </c>
      <c r="L39" s="5" t="s">
        <v>1618</v>
      </c>
      <c r="M39" s="10" t="n">
        <f aca="false">IF(NOT(ISNUMBER(E39)),0,IF(OR(J39="OLD SOURCE",J39="UNDATED SOURCE"),2,1))</f>
        <v>1</v>
      </c>
      <c r="N39" s="30" t="n">
        <v>217.76</v>
      </c>
      <c r="O39" s="9" t="s">
        <v>1485</v>
      </c>
    </row>
    <row r="40" customFormat="false" ht="15" hidden="false" customHeight="true" outlineLevel="0" collapsed="false">
      <c r="A40" s="9" t="s">
        <v>1619</v>
      </c>
      <c r="B40" s="9" t="s">
        <v>1620</v>
      </c>
      <c r="C40" s="5" t="s">
        <v>1621</v>
      </c>
      <c r="D40" s="9" t="s">
        <v>368</v>
      </c>
      <c r="E40" s="13" t="n">
        <f aca="false">IF(INDEX('08 LOCATION RATE LIBRARY'!$D$40:$N$40,MATCH(City,'08 LOCATION RATE LIBRARY'!$D$4:$N$4,0))="","",INDEX('08 LOCATION RATE LIBRARY'!$D$40:$N$40,MATCH(City,'08 LOCATION RATE LIBRARY'!$D$4:$N$4,0)))</f>
        <v>2.5</v>
      </c>
      <c r="F40" s="29"/>
      <c r="G40" s="29"/>
      <c r="H40" s="10" t="str">
        <f aca="false">City</f>
        <v>Lahore</v>
      </c>
      <c r="I40" s="9" t="s">
        <v>1622</v>
      </c>
      <c r="J40" s="9" t="s">
        <v>1489</v>
      </c>
      <c r="K40" s="9" t="s">
        <v>1490</v>
      </c>
      <c r="L40" s="5" t="s">
        <v>1623</v>
      </c>
      <c r="M40" s="10" t="n">
        <f aca="false">IF(NOT(ISNUMBER(E40)),0,IF(OR(J40="OLD SOURCE",J40="UNDATED SOURCE"),2,1))</f>
        <v>1</v>
      </c>
      <c r="N40" s="30" t="n">
        <v>2.5</v>
      </c>
      <c r="O40" s="9" t="s">
        <v>1485</v>
      </c>
    </row>
    <row r="41" customFormat="false" ht="15" hidden="false" customHeight="true" outlineLevel="0" collapsed="false">
      <c r="A41" s="9" t="s">
        <v>1624</v>
      </c>
      <c r="B41" s="9" t="s">
        <v>1625</v>
      </c>
      <c r="C41" s="5" t="s">
        <v>1626</v>
      </c>
      <c r="D41" s="9" t="s">
        <v>386</v>
      </c>
      <c r="E41" s="13" t="n">
        <f aca="false">IF(INDEX('08 LOCATION RATE LIBRARY'!$D$41:$N$41,MATCH(City,'08 LOCATION RATE LIBRARY'!$D$4:$N$4,0))="","",INDEX('08 LOCATION RATE LIBRARY'!$D$41:$N$41,MATCH(City,'08 LOCATION RATE LIBRARY'!$D$4:$N$4,0)))</f>
        <v>3</v>
      </c>
      <c r="F41" s="29"/>
      <c r="G41" s="29"/>
      <c r="H41" s="10" t="str">
        <f aca="false">City</f>
        <v>Lahore</v>
      </c>
      <c r="I41" s="9" t="s">
        <v>110</v>
      </c>
      <c r="J41" s="10" t="str">
        <f aca="false">IF(ISNUMBER('16 VENDOR ENQUIRY (RFQ)'!H11),"Vendor quote","ASSUMED")</f>
        <v>ASSUMED</v>
      </c>
      <c r="K41" s="9" t="s">
        <v>1494</v>
      </c>
      <c r="L41" s="5" t="s">
        <v>1607</v>
      </c>
      <c r="M41" s="10" t="n">
        <f aca="false">IF(NOT(ISNUMBER(E41)),0,IF(OR(J41="OLD SOURCE",J41="UNDATED SOURCE"),2,1))</f>
        <v>1</v>
      </c>
      <c r="N41" s="31" t="n">
        <f aca="false">IF(ISNUMBER('16 VENDOR ENQUIRY (RFQ)'!H11),'16 VENDOR ENQUIRY (RFQ)'!H11,3)</f>
        <v>3</v>
      </c>
      <c r="O41" s="9" t="s">
        <v>1485</v>
      </c>
    </row>
    <row r="42" customFormat="false" ht="15" hidden="false" customHeight="true" outlineLevel="0" collapsed="false">
      <c r="A42" s="9" t="s">
        <v>1627</v>
      </c>
      <c r="B42" s="9" t="s">
        <v>1628</v>
      </c>
      <c r="C42" s="5" t="s">
        <v>1629</v>
      </c>
      <c r="D42" s="9" t="s">
        <v>198</v>
      </c>
      <c r="E42" s="13" t="n">
        <f aca="false">IF(INDEX('08 LOCATION RATE LIBRARY'!$D$42:$N$42,MATCH(City,'08 LOCATION RATE LIBRARY'!$D$4:$N$4,0))="","",INDEX('08 LOCATION RATE LIBRARY'!$D$42:$N$42,MATCH(City,'08 LOCATION RATE LIBRARY'!$D$4:$N$4,0)))</f>
        <v>120</v>
      </c>
      <c r="F42" s="29"/>
      <c r="G42" s="29"/>
      <c r="H42" s="10" t="str">
        <f aca="false">City</f>
        <v>Lahore</v>
      </c>
      <c r="I42" s="9" t="s">
        <v>110</v>
      </c>
      <c r="J42" s="10" t="str">
        <f aca="false">IF(ISNUMBER('16 VENDOR ENQUIRY (RFQ)'!H15),"Vendor quote","ASSUMED")</f>
        <v>ASSUMED</v>
      </c>
      <c r="K42" s="9" t="s">
        <v>1494</v>
      </c>
      <c r="L42" s="5" t="s">
        <v>1607</v>
      </c>
      <c r="M42" s="10" t="n">
        <f aca="false">IF(NOT(ISNUMBER(E42)),0,IF(OR(J42="OLD SOURCE",J42="UNDATED SOURCE"),2,1))</f>
        <v>1</v>
      </c>
      <c r="N42" s="31" t="n">
        <f aca="false">IF(ISNUMBER('16 VENDOR ENQUIRY (RFQ)'!H15),'16 VENDOR ENQUIRY (RFQ)'!H15,120)</f>
        <v>120</v>
      </c>
      <c r="O42" s="9" t="s">
        <v>1485</v>
      </c>
    </row>
    <row r="43" customFormat="false" ht="21.75" hidden="false" customHeight="true" outlineLevel="0" collapsed="false">
      <c r="A43" s="9" t="s">
        <v>998</v>
      </c>
      <c r="B43" s="9" t="s">
        <v>1630</v>
      </c>
      <c r="C43" s="5" t="s">
        <v>1631</v>
      </c>
      <c r="D43" s="9" t="s">
        <v>995</v>
      </c>
      <c r="E43" s="13" t="n">
        <f aca="false">IF(INDEX('08 LOCATION RATE LIBRARY'!$D$43:$N$43,MATCH(City,'08 LOCATION RATE LIBRARY'!$D$4:$N$4,0))="","",INDEX('08 LOCATION RATE LIBRARY'!$D$43:$N$43,MATCH(City,'08 LOCATION RATE LIBRARY'!$D$4:$N$4,0)))</f>
        <v>2850</v>
      </c>
      <c r="F43" s="29" t="n">
        <v>2200</v>
      </c>
      <c r="G43" s="29" t="n">
        <v>3500</v>
      </c>
      <c r="H43" s="10" t="str">
        <f aca="false">City</f>
        <v>Lahore</v>
      </c>
      <c r="I43" s="9" t="s">
        <v>110</v>
      </c>
      <c r="J43" s="9" t="s">
        <v>1476</v>
      </c>
      <c r="K43" s="9" t="s">
        <v>1632</v>
      </c>
      <c r="L43" s="5" t="s">
        <v>1633</v>
      </c>
      <c r="M43" s="10" t="n">
        <f aca="false">IF(NOT(ISNUMBER(E43)),0,IF(OR(J43="OLD SOURCE",J43="UNDATED SOURCE"),2,1))</f>
        <v>1</v>
      </c>
      <c r="N43" s="30" t="n">
        <v>2850</v>
      </c>
      <c r="O43" s="9" t="s">
        <v>1479</v>
      </c>
    </row>
    <row r="44" customFormat="false" ht="32.25" hidden="false" customHeight="true" outlineLevel="0" collapsed="false">
      <c r="A44" s="9" t="s">
        <v>1003</v>
      </c>
      <c r="B44" s="9" t="s">
        <v>1634</v>
      </c>
      <c r="C44" s="5" t="s">
        <v>1635</v>
      </c>
      <c r="D44" s="9" t="s">
        <v>995</v>
      </c>
      <c r="E44" s="13" t="n">
        <f aca="false">IF(INDEX('08 LOCATION RATE LIBRARY'!$D$44:$N$44,MATCH(City,'08 LOCATION RATE LIBRARY'!$D$4:$N$4,0))="","",INDEX('08 LOCATION RATE LIBRARY'!$D$44:$N$44,MATCH(City,'08 LOCATION RATE LIBRARY'!$D$4:$N$4,0)))</f>
        <v>5987.8</v>
      </c>
      <c r="F44" s="29"/>
      <c r="G44" s="29"/>
      <c r="H44" s="10" t="str">
        <f aca="false">City</f>
        <v>Lahore</v>
      </c>
      <c r="I44" s="9" t="s">
        <v>110</v>
      </c>
      <c r="J44" s="9" t="s">
        <v>1476</v>
      </c>
      <c r="K44" s="9" t="s">
        <v>1636</v>
      </c>
      <c r="L44" s="5" t="s">
        <v>1637</v>
      </c>
      <c r="M44" s="10" t="n">
        <f aca="false">IF(NOT(ISNUMBER(E44)),0,IF(OR(J44="OLD SOURCE",J44="UNDATED SOURCE"),2,1))</f>
        <v>1</v>
      </c>
      <c r="N44" s="30" t="n">
        <v>5987.8</v>
      </c>
      <c r="O44" s="9" t="s">
        <v>1485</v>
      </c>
    </row>
    <row r="45" customFormat="false" ht="21.75" hidden="false" customHeight="true" outlineLevel="0" collapsed="false">
      <c r="A45" s="9" t="s">
        <v>993</v>
      </c>
      <c r="B45" s="9" t="s">
        <v>1638</v>
      </c>
      <c r="C45" s="5" t="s">
        <v>1639</v>
      </c>
      <c r="D45" s="9" t="s">
        <v>995</v>
      </c>
      <c r="E45" s="13" t="n">
        <f aca="false">IF(INDEX('08 LOCATION RATE LIBRARY'!$D$45:$N$45,MATCH(City,'08 LOCATION RATE LIBRARY'!$D$4:$N$4,0))="","",INDEX('08 LOCATION RATE LIBRARY'!$D$45:$N$45,MATCH(City,'08 LOCATION RATE LIBRARY'!$D$4:$N$4,0)))</f>
        <v>1011.11</v>
      </c>
      <c r="F45" s="29"/>
      <c r="G45" s="29"/>
      <c r="H45" s="10" t="str">
        <f aca="false">City</f>
        <v>Lahore</v>
      </c>
      <c r="I45" s="9" t="s">
        <v>1640</v>
      </c>
      <c r="J45" s="9" t="s">
        <v>1489</v>
      </c>
      <c r="K45" s="9" t="s">
        <v>1490</v>
      </c>
      <c r="L45" s="5" t="s">
        <v>1641</v>
      </c>
      <c r="M45" s="10" t="n">
        <f aca="false">IF(NOT(ISNUMBER(E45)),0,IF(OR(J45="OLD SOURCE",J45="UNDATED SOURCE"),2,1))</f>
        <v>1</v>
      </c>
      <c r="N45" s="30" t="n">
        <v>1011.11</v>
      </c>
      <c r="O45" s="9" t="s">
        <v>1485</v>
      </c>
    </row>
    <row r="46" customFormat="false" ht="21.75" hidden="false" customHeight="true" outlineLevel="0" collapsed="false">
      <c r="A46" s="9" t="s">
        <v>996</v>
      </c>
      <c r="B46" s="9" t="s">
        <v>1642</v>
      </c>
      <c r="C46" s="5" t="s">
        <v>1643</v>
      </c>
      <c r="D46" s="9" t="s">
        <v>198</v>
      </c>
      <c r="E46" s="13" t="n">
        <f aca="false">IF(INDEX('08 LOCATION RATE LIBRARY'!$D$46:$N$46,MATCH(City,'08 LOCATION RATE LIBRARY'!$D$4:$N$4,0))="","",INDEX('08 LOCATION RATE LIBRARY'!$D$46:$N$46,MATCH(City,'08 LOCATION RATE LIBRARY'!$D$4:$N$4,0)))</f>
        <v>93.33</v>
      </c>
      <c r="F46" s="29"/>
      <c r="G46" s="29"/>
      <c r="H46" s="10" t="str">
        <f aca="false">City</f>
        <v>Lahore</v>
      </c>
      <c r="I46" s="9" t="s">
        <v>1644</v>
      </c>
      <c r="J46" s="9" t="s">
        <v>1489</v>
      </c>
      <c r="K46" s="9" t="s">
        <v>1490</v>
      </c>
      <c r="L46" s="5" t="s">
        <v>1645</v>
      </c>
      <c r="M46" s="10" t="n">
        <f aca="false">IF(NOT(ISNUMBER(E46)),0,IF(OR(J46="OLD SOURCE",J46="UNDATED SOURCE"),2,1))</f>
        <v>1</v>
      </c>
      <c r="N46" s="30" t="n">
        <v>93.33</v>
      </c>
      <c r="O46" s="9" t="s">
        <v>1485</v>
      </c>
    </row>
    <row r="47" customFormat="false" ht="15" hidden="false" customHeight="true" outlineLevel="0" collapsed="false">
      <c r="A47" s="9" t="s">
        <v>1124</v>
      </c>
      <c r="B47" s="9" t="s">
        <v>1646</v>
      </c>
      <c r="C47" s="5" t="s">
        <v>1647</v>
      </c>
      <c r="D47" s="9" t="s">
        <v>386</v>
      </c>
      <c r="E47" s="13" t="n">
        <f aca="false">IF(INDEX('08 LOCATION RATE LIBRARY'!$D$47:$N$47,MATCH(City,'08 LOCATION RATE LIBRARY'!$D$4:$N$4,0))="","",INDEX('08 LOCATION RATE LIBRARY'!$D$47:$N$47,MATCH(City,'08 LOCATION RATE LIBRARY'!$D$4:$N$4,0)))</f>
        <v>98.75</v>
      </c>
      <c r="F47" s="29"/>
      <c r="G47" s="29"/>
      <c r="H47" s="10" t="str">
        <f aca="false">City</f>
        <v>Lahore</v>
      </c>
      <c r="I47" s="9" t="s">
        <v>110</v>
      </c>
      <c r="J47" s="9" t="s">
        <v>1648</v>
      </c>
      <c r="K47" s="9" t="s">
        <v>1649</v>
      </c>
      <c r="L47" s="5" t="s">
        <v>1650</v>
      </c>
      <c r="M47" s="10" t="n">
        <f aca="false">IF(NOT(ISNUMBER(E47)),0,IF(OR(J47="OLD SOURCE",J47="UNDATED SOURCE"),2,1))</f>
        <v>1</v>
      </c>
      <c r="N47" s="30" t="n">
        <v>98.75</v>
      </c>
      <c r="O47" s="9" t="s">
        <v>1479</v>
      </c>
    </row>
    <row r="48" customFormat="false" ht="15" hidden="false" customHeight="true" outlineLevel="0" collapsed="false">
      <c r="A48" s="9" t="s">
        <v>1126</v>
      </c>
      <c r="B48" s="9" t="s">
        <v>1651</v>
      </c>
      <c r="C48" s="5" t="s">
        <v>1652</v>
      </c>
      <c r="D48" s="9" t="s">
        <v>368</v>
      </c>
      <c r="E48" s="13" t="n">
        <f aca="false">IF(INDEX('08 LOCATION RATE LIBRARY'!$D$48:$N$48,MATCH(City,'08 LOCATION RATE LIBRARY'!$D$4:$N$4,0))="","",INDEX('08 LOCATION RATE LIBRARY'!$D$48:$N$48,MATCH(City,'08 LOCATION RATE LIBRARY'!$D$4:$N$4,0)))</f>
        <v>38</v>
      </c>
      <c r="F48" s="29"/>
      <c r="G48" s="29"/>
      <c r="H48" s="10" t="str">
        <f aca="false">City</f>
        <v>Lahore</v>
      </c>
      <c r="I48" s="9" t="s">
        <v>110</v>
      </c>
      <c r="J48" s="10" t="str">
        <f aca="false">IF(ISNUMBER('16 VENDOR ENQUIRY (RFQ)'!H55),"Vendor quote","ASSUMED")</f>
        <v>ASSUMED</v>
      </c>
      <c r="K48" s="9" t="s">
        <v>1494</v>
      </c>
      <c r="L48" s="5" t="s">
        <v>1653</v>
      </c>
      <c r="M48" s="10" t="n">
        <f aca="false">IF(NOT(ISNUMBER(E48)),0,IF(OR(J48="OLD SOURCE",J48="UNDATED SOURCE"),2,1))</f>
        <v>1</v>
      </c>
      <c r="N48" s="31" t="n">
        <f aca="false">IF(ISNUMBER('16 VENDOR ENQUIRY (RFQ)'!H55),'16 VENDOR ENQUIRY (RFQ)'!H55,38)</f>
        <v>38</v>
      </c>
      <c r="O48" s="9" t="s">
        <v>1479</v>
      </c>
    </row>
    <row r="49" customFormat="false" ht="15" hidden="false" customHeight="true" outlineLevel="0" collapsed="false">
      <c r="A49" s="9" t="s">
        <v>1128</v>
      </c>
      <c r="B49" s="9" t="s">
        <v>1654</v>
      </c>
      <c r="C49" s="5" t="s">
        <v>1655</v>
      </c>
      <c r="D49" s="9" t="s">
        <v>368</v>
      </c>
      <c r="E49" s="13" t="n">
        <f aca="false">IF(INDEX('08 LOCATION RATE LIBRARY'!$D$49:$N$49,MATCH(City,'08 LOCATION RATE LIBRARY'!$D$4:$N$4,0))="","",INDEX('08 LOCATION RATE LIBRARY'!$D$49:$N$49,MATCH(City,'08 LOCATION RATE LIBRARY'!$D$4:$N$4,0)))</f>
        <v>27</v>
      </c>
      <c r="F49" s="29"/>
      <c r="G49" s="29"/>
      <c r="H49" s="10" t="str">
        <f aca="false">City</f>
        <v>Lahore</v>
      </c>
      <c r="I49" s="9" t="s">
        <v>110</v>
      </c>
      <c r="J49" s="10" t="str">
        <f aca="false">IF(ISNUMBER('16 VENDOR ENQUIRY (RFQ)'!H56),"Vendor quote","ASSUMED")</f>
        <v>ASSUMED</v>
      </c>
      <c r="K49" s="9" t="s">
        <v>1494</v>
      </c>
      <c r="L49" s="5" t="s">
        <v>1656</v>
      </c>
      <c r="M49" s="10" t="n">
        <f aca="false">IF(NOT(ISNUMBER(E49)),0,IF(OR(J49="OLD SOURCE",J49="UNDATED SOURCE"),2,1))</f>
        <v>1</v>
      </c>
      <c r="N49" s="31" t="n">
        <f aca="false">IF(ISNUMBER('16 VENDOR ENQUIRY (RFQ)'!H56),'16 VENDOR ENQUIRY (RFQ)'!H56,27)</f>
        <v>27</v>
      </c>
      <c r="O49" s="9" t="s">
        <v>1479</v>
      </c>
    </row>
    <row r="50" customFormat="false" ht="15" hidden="false" customHeight="true" outlineLevel="0" collapsed="false">
      <c r="A50" s="9" t="s">
        <v>1130</v>
      </c>
      <c r="B50" s="9" t="s">
        <v>1657</v>
      </c>
      <c r="C50" s="5" t="s">
        <v>1658</v>
      </c>
      <c r="D50" s="9" t="s">
        <v>368</v>
      </c>
      <c r="E50" s="13" t="n">
        <f aca="false">IF(INDEX('08 LOCATION RATE LIBRARY'!$D$50:$N$50,MATCH(City,'08 LOCATION RATE LIBRARY'!$D$4:$N$4,0))="","",INDEX('08 LOCATION RATE LIBRARY'!$D$50:$N$50,MATCH(City,'08 LOCATION RATE LIBRARY'!$D$4:$N$4,0)))</f>
        <v>50</v>
      </c>
      <c r="F50" s="29"/>
      <c r="G50" s="29"/>
      <c r="H50" s="10" t="str">
        <f aca="false">City</f>
        <v>Lahore</v>
      </c>
      <c r="I50" s="9" t="s">
        <v>110</v>
      </c>
      <c r="J50" s="10" t="str">
        <f aca="false">IF(ISNUMBER('16 VENDOR ENQUIRY (RFQ)'!H57),"Vendor quote","ASSUMED")</f>
        <v>ASSUMED</v>
      </c>
      <c r="K50" s="9" t="s">
        <v>1494</v>
      </c>
      <c r="L50" s="5" t="s">
        <v>1659</v>
      </c>
      <c r="M50" s="10" t="n">
        <f aca="false">IF(NOT(ISNUMBER(E50)),0,IF(OR(J50="OLD SOURCE",J50="UNDATED SOURCE"),2,1))</f>
        <v>1</v>
      </c>
      <c r="N50" s="31" t="n">
        <f aca="false">IF(ISNUMBER('16 VENDOR ENQUIRY (RFQ)'!H57),'16 VENDOR ENQUIRY (RFQ)'!H57,50)</f>
        <v>50</v>
      </c>
      <c r="O50" s="9" t="s">
        <v>1479</v>
      </c>
    </row>
    <row r="51" customFormat="false" ht="15" hidden="false" customHeight="true" outlineLevel="0" collapsed="false">
      <c r="A51" s="9" t="s">
        <v>1137</v>
      </c>
      <c r="B51" s="9" t="s">
        <v>1660</v>
      </c>
      <c r="C51" s="5" t="s">
        <v>1647</v>
      </c>
      <c r="D51" s="9" t="s">
        <v>386</v>
      </c>
      <c r="E51" s="13" t="n">
        <f aca="false">IF(INDEX('08 LOCATION RATE LIBRARY'!$D$51:$N$51,MATCH(City,'08 LOCATION RATE LIBRARY'!$D$4:$N$4,0))="","",INDEX('08 LOCATION RATE LIBRARY'!$D$51:$N$51,MATCH(City,'08 LOCATION RATE LIBRARY'!$D$4:$N$4,0)))</f>
        <v>145.38</v>
      </c>
      <c r="F51" s="29"/>
      <c r="G51" s="29"/>
      <c r="H51" s="10" t="str">
        <f aca="false">City</f>
        <v>Lahore</v>
      </c>
      <c r="I51" s="9" t="s">
        <v>110</v>
      </c>
      <c r="J51" s="9" t="s">
        <v>1648</v>
      </c>
      <c r="K51" s="9" t="s">
        <v>1649</v>
      </c>
      <c r="L51" s="5" t="s">
        <v>1650</v>
      </c>
      <c r="M51" s="10" t="n">
        <f aca="false">IF(NOT(ISNUMBER(E51)),0,IF(OR(J51="OLD SOURCE",J51="UNDATED SOURCE"),2,1))</f>
        <v>1</v>
      </c>
      <c r="N51" s="30" t="n">
        <v>145.38</v>
      </c>
      <c r="O51" s="9" t="s">
        <v>1479</v>
      </c>
    </row>
    <row r="52" customFormat="false" ht="15" hidden="false" customHeight="true" outlineLevel="0" collapsed="false">
      <c r="A52" s="9" t="s">
        <v>1139</v>
      </c>
      <c r="B52" s="9" t="s">
        <v>1661</v>
      </c>
      <c r="C52" s="5" t="s">
        <v>1662</v>
      </c>
      <c r="D52" s="9" t="s">
        <v>368</v>
      </c>
      <c r="E52" s="13" t="n">
        <f aca="false">IF(INDEX('08 LOCATION RATE LIBRARY'!$D$52:$N$52,MATCH(City,'08 LOCATION RATE LIBRARY'!$D$4:$N$4,0))="","",INDEX('08 LOCATION RATE LIBRARY'!$D$52:$N$52,MATCH(City,'08 LOCATION RATE LIBRARY'!$D$4:$N$4,0)))</f>
        <v>54.5</v>
      </c>
      <c r="F52" s="29"/>
      <c r="G52" s="29"/>
      <c r="H52" s="10" t="str">
        <f aca="false">City</f>
        <v>Lahore</v>
      </c>
      <c r="I52" s="9" t="s">
        <v>110</v>
      </c>
      <c r="J52" s="9" t="s">
        <v>1648</v>
      </c>
      <c r="K52" s="9" t="s">
        <v>1649</v>
      </c>
      <c r="L52" s="5" t="s">
        <v>1663</v>
      </c>
      <c r="M52" s="10" t="n">
        <f aca="false">IF(NOT(ISNUMBER(E52)),0,IF(OR(J52="OLD SOURCE",J52="UNDATED SOURCE"),2,1))</f>
        <v>1</v>
      </c>
      <c r="N52" s="30" t="n">
        <v>54.5</v>
      </c>
      <c r="O52" s="9" t="s">
        <v>1479</v>
      </c>
    </row>
    <row r="53" customFormat="false" ht="15" hidden="false" customHeight="true" outlineLevel="0" collapsed="false">
      <c r="A53" s="9" t="s">
        <v>1140</v>
      </c>
      <c r="B53" s="9" t="s">
        <v>1664</v>
      </c>
      <c r="C53" s="5" t="s">
        <v>1665</v>
      </c>
      <c r="D53" s="9" t="s">
        <v>368</v>
      </c>
      <c r="E53" s="13" t="n">
        <f aca="false">IF(INDEX('08 LOCATION RATE LIBRARY'!$D$53:$N$53,MATCH(City,'08 LOCATION RATE LIBRARY'!$D$4:$N$4,0))="","",INDEX('08 LOCATION RATE LIBRARY'!$D$53:$N$53,MATCH(City,'08 LOCATION RATE LIBRARY'!$D$4:$N$4,0)))</f>
        <v>38.5</v>
      </c>
      <c r="F53" s="29"/>
      <c r="G53" s="29"/>
      <c r="H53" s="10" t="str">
        <f aca="false">City</f>
        <v>Lahore</v>
      </c>
      <c r="I53" s="9" t="s">
        <v>110</v>
      </c>
      <c r="J53" s="9" t="s">
        <v>1648</v>
      </c>
      <c r="K53" s="9" t="s">
        <v>1649</v>
      </c>
      <c r="L53" s="5" t="s">
        <v>1663</v>
      </c>
      <c r="M53" s="10" t="n">
        <f aca="false">IF(NOT(ISNUMBER(E53)),0,IF(OR(J53="OLD SOURCE",J53="UNDATED SOURCE"),2,1))</f>
        <v>1</v>
      </c>
      <c r="N53" s="30" t="n">
        <v>38.5</v>
      </c>
      <c r="O53" s="9" t="s">
        <v>1479</v>
      </c>
    </row>
    <row r="54" customFormat="false" ht="15" hidden="false" customHeight="true" outlineLevel="0" collapsed="false">
      <c r="A54" s="9" t="s">
        <v>1141</v>
      </c>
      <c r="B54" s="9" t="s">
        <v>1666</v>
      </c>
      <c r="C54" s="5" t="s">
        <v>1667</v>
      </c>
      <c r="D54" s="9" t="s">
        <v>368</v>
      </c>
      <c r="E54" s="13" t="n">
        <f aca="false">IF(INDEX('08 LOCATION RATE LIBRARY'!$D$54:$N$54,MATCH(City,'08 LOCATION RATE LIBRARY'!$D$4:$N$4,0))="","",INDEX('08 LOCATION RATE LIBRARY'!$D$54:$N$54,MATCH(City,'08 LOCATION RATE LIBRARY'!$D$4:$N$4,0)))</f>
        <v>71.5</v>
      </c>
      <c r="F54" s="29"/>
      <c r="G54" s="29"/>
      <c r="H54" s="10" t="str">
        <f aca="false">City</f>
        <v>Lahore</v>
      </c>
      <c r="I54" s="9" t="s">
        <v>110</v>
      </c>
      <c r="J54" s="9" t="s">
        <v>1648</v>
      </c>
      <c r="K54" s="9" t="s">
        <v>1649</v>
      </c>
      <c r="L54" s="5" t="s">
        <v>1663</v>
      </c>
      <c r="M54" s="10" t="n">
        <f aca="false">IF(NOT(ISNUMBER(E54)),0,IF(OR(J54="OLD SOURCE",J54="UNDATED SOURCE"),2,1))</f>
        <v>1</v>
      </c>
      <c r="N54" s="30" t="n">
        <v>71.5</v>
      </c>
      <c r="O54" s="9" t="s">
        <v>1479</v>
      </c>
    </row>
    <row r="55" customFormat="false" ht="15" hidden="false" customHeight="true" outlineLevel="0" collapsed="false">
      <c r="A55" s="9" t="s">
        <v>1142</v>
      </c>
      <c r="B55" s="9" t="s">
        <v>1668</v>
      </c>
      <c r="C55" s="5" t="s">
        <v>1647</v>
      </c>
      <c r="D55" s="9" t="s">
        <v>386</v>
      </c>
      <c r="E55" s="13" t="n">
        <f aca="false">IF(INDEX('08 LOCATION RATE LIBRARY'!$D$55:$N$55,MATCH(City,'08 LOCATION RATE LIBRARY'!$D$4:$N$4,0))="","",INDEX('08 LOCATION RATE LIBRARY'!$D$55:$N$55,MATCH(City,'08 LOCATION RATE LIBRARY'!$D$4:$N$4,0)))</f>
        <v>242.61</v>
      </c>
      <c r="F55" s="29"/>
      <c r="G55" s="29"/>
      <c r="H55" s="10" t="str">
        <f aca="false">City</f>
        <v>Lahore</v>
      </c>
      <c r="I55" s="9" t="s">
        <v>110</v>
      </c>
      <c r="J55" s="9" t="s">
        <v>1648</v>
      </c>
      <c r="K55" s="9" t="s">
        <v>1649</v>
      </c>
      <c r="L55" s="5" t="s">
        <v>1650</v>
      </c>
      <c r="M55" s="10" t="n">
        <f aca="false">IF(NOT(ISNUMBER(E55)),0,IF(OR(J55="OLD SOURCE",J55="UNDATED SOURCE"),2,1))</f>
        <v>1</v>
      </c>
      <c r="N55" s="30" t="n">
        <v>242.61</v>
      </c>
      <c r="O55" s="9" t="s">
        <v>1479</v>
      </c>
    </row>
    <row r="56" customFormat="false" ht="15" hidden="false" customHeight="true" outlineLevel="0" collapsed="false">
      <c r="A56" s="9" t="s">
        <v>1144</v>
      </c>
      <c r="B56" s="9" t="s">
        <v>1669</v>
      </c>
      <c r="C56" s="5" t="s">
        <v>1670</v>
      </c>
      <c r="D56" s="9" t="s">
        <v>368</v>
      </c>
      <c r="E56" s="13" t="n">
        <f aca="false">IF(INDEX('08 LOCATION RATE LIBRARY'!$D$56:$N$56,MATCH(City,'08 LOCATION RATE LIBRARY'!$D$4:$N$4,0))="","",INDEX('08 LOCATION RATE LIBRARY'!$D$56:$N$56,MATCH(City,'08 LOCATION RATE LIBRARY'!$D$4:$N$4,0)))</f>
        <v>93</v>
      </c>
      <c r="F56" s="29"/>
      <c r="G56" s="29"/>
      <c r="H56" s="10" t="str">
        <f aca="false">City</f>
        <v>Lahore</v>
      </c>
      <c r="I56" s="9" t="s">
        <v>110</v>
      </c>
      <c r="J56" s="9" t="s">
        <v>1648</v>
      </c>
      <c r="K56" s="9" t="s">
        <v>1649</v>
      </c>
      <c r="L56" s="5" t="s">
        <v>1663</v>
      </c>
      <c r="M56" s="10" t="n">
        <f aca="false">IF(NOT(ISNUMBER(E56)),0,IF(OR(J56="OLD SOURCE",J56="UNDATED SOURCE"),2,1))</f>
        <v>1</v>
      </c>
      <c r="N56" s="30" t="n">
        <v>93</v>
      </c>
      <c r="O56" s="9" t="s">
        <v>1479</v>
      </c>
    </row>
    <row r="57" customFormat="false" ht="15" hidden="false" customHeight="true" outlineLevel="0" collapsed="false">
      <c r="A57" s="9" t="s">
        <v>1145</v>
      </c>
      <c r="B57" s="9" t="s">
        <v>1671</v>
      </c>
      <c r="C57" s="5" t="s">
        <v>1672</v>
      </c>
      <c r="D57" s="9" t="s">
        <v>368</v>
      </c>
      <c r="E57" s="13" t="n">
        <f aca="false">IF(INDEX('08 LOCATION RATE LIBRARY'!$D$57:$N$57,MATCH(City,'08 LOCATION RATE LIBRARY'!$D$4:$N$4,0))="","",INDEX('08 LOCATION RATE LIBRARY'!$D$57:$N$57,MATCH(City,'08 LOCATION RATE LIBRARY'!$D$4:$N$4,0)))</f>
        <v>64.5</v>
      </c>
      <c r="F57" s="29"/>
      <c r="G57" s="29"/>
      <c r="H57" s="10" t="str">
        <f aca="false">City</f>
        <v>Lahore</v>
      </c>
      <c r="I57" s="9" t="s">
        <v>110</v>
      </c>
      <c r="J57" s="9" t="s">
        <v>1648</v>
      </c>
      <c r="K57" s="9" t="s">
        <v>1649</v>
      </c>
      <c r="L57" s="5" t="s">
        <v>1663</v>
      </c>
      <c r="M57" s="10" t="n">
        <f aca="false">IF(NOT(ISNUMBER(E57)),0,IF(OR(J57="OLD SOURCE",J57="UNDATED SOURCE"),2,1))</f>
        <v>1</v>
      </c>
      <c r="N57" s="30" t="n">
        <v>64.5</v>
      </c>
      <c r="O57" s="9" t="s">
        <v>1479</v>
      </c>
    </row>
    <row r="58" customFormat="false" ht="15" hidden="false" customHeight="true" outlineLevel="0" collapsed="false">
      <c r="A58" s="9" t="s">
        <v>1146</v>
      </c>
      <c r="B58" s="9" t="s">
        <v>1673</v>
      </c>
      <c r="C58" s="5" t="s">
        <v>1674</v>
      </c>
      <c r="D58" s="9" t="s">
        <v>368</v>
      </c>
      <c r="E58" s="13" t="n">
        <f aca="false">IF(INDEX('08 LOCATION RATE LIBRARY'!$D$58:$N$58,MATCH(City,'08 LOCATION RATE LIBRARY'!$D$4:$N$4,0))="","",INDEX('08 LOCATION RATE LIBRARY'!$D$58:$N$58,MATCH(City,'08 LOCATION RATE LIBRARY'!$D$4:$N$4,0)))</f>
        <v>139</v>
      </c>
      <c r="F58" s="29"/>
      <c r="G58" s="29"/>
      <c r="H58" s="10" t="str">
        <f aca="false">City</f>
        <v>Lahore</v>
      </c>
      <c r="I58" s="9" t="s">
        <v>110</v>
      </c>
      <c r="J58" s="9" t="s">
        <v>1648</v>
      </c>
      <c r="K58" s="9" t="s">
        <v>1649</v>
      </c>
      <c r="L58" s="5" t="s">
        <v>1663</v>
      </c>
      <c r="M58" s="10" t="n">
        <f aca="false">IF(NOT(ISNUMBER(E58)),0,IF(OR(J58="OLD SOURCE",J58="UNDATED SOURCE"),2,1))</f>
        <v>1</v>
      </c>
      <c r="N58" s="30" t="n">
        <v>139</v>
      </c>
      <c r="O58" s="9" t="s">
        <v>1479</v>
      </c>
    </row>
    <row r="59" customFormat="false" ht="15" hidden="false" customHeight="true" outlineLevel="0" collapsed="false">
      <c r="A59" s="9" t="s">
        <v>1147</v>
      </c>
      <c r="B59" s="9" t="s">
        <v>1675</v>
      </c>
      <c r="C59" s="5" t="s">
        <v>1647</v>
      </c>
      <c r="D59" s="9" t="s">
        <v>386</v>
      </c>
      <c r="E59" s="13" t="n">
        <f aca="false">IF(INDEX('08 LOCATION RATE LIBRARY'!$D$59:$N$59,MATCH(City,'08 LOCATION RATE LIBRARY'!$D$4:$N$4,0))="","",INDEX('08 LOCATION RATE LIBRARY'!$D$59:$N$59,MATCH(City,'08 LOCATION RATE LIBRARY'!$D$4:$N$4,0)))</f>
        <v>366.96</v>
      </c>
      <c r="F59" s="29"/>
      <c r="G59" s="29"/>
      <c r="H59" s="10" t="str">
        <f aca="false">City</f>
        <v>Lahore</v>
      </c>
      <c r="I59" s="9" t="s">
        <v>110</v>
      </c>
      <c r="J59" s="9" t="s">
        <v>1648</v>
      </c>
      <c r="K59" s="9" t="s">
        <v>1649</v>
      </c>
      <c r="L59" s="5" t="s">
        <v>1650</v>
      </c>
      <c r="M59" s="10" t="n">
        <f aca="false">IF(NOT(ISNUMBER(E59)),0,IF(OR(J59="OLD SOURCE",J59="UNDATED SOURCE"),2,1))</f>
        <v>1</v>
      </c>
      <c r="N59" s="30" t="n">
        <v>366.96</v>
      </c>
      <c r="O59" s="9" t="s">
        <v>1479</v>
      </c>
    </row>
    <row r="60" customFormat="false" ht="15" hidden="false" customHeight="true" outlineLevel="0" collapsed="false">
      <c r="A60" s="9" t="s">
        <v>1149</v>
      </c>
      <c r="B60" s="9" t="s">
        <v>1676</v>
      </c>
      <c r="C60" s="5" t="s">
        <v>1677</v>
      </c>
      <c r="D60" s="9" t="s">
        <v>368</v>
      </c>
      <c r="E60" s="13" t="n">
        <f aca="false">IF(INDEX('08 LOCATION RATE LIBRARY'!$D$60:$N$60,MATCH(City,'08 LOCATION RATE LIBRARY'!$D$4:$N$4,0))="","",INDEX('08 LOCATION RATE LIBRARY'!$D$60:$N$60,MATCH(City,'08 LOCATION RATE LIBRARY'!$D$4:$N$4,0)))</f>
        <v>160</v>
      </c>
      <c r="F60" s="29"/>
      <c r="G60" s="29"/>
      <c r="H60" s="10" t="str">
        <f aca="false">City</f>
        <v>Lahore</v>
      </c>
      <c r="I60" s="9" t="s">
        <v>110</v>
      </c>
      <c r="J60" s="9" t="s">
        <v>1648</v>
      </c>
      <c r="K60" s="9" t="s">
        <v>1649</v>
      </c>
      <c r="L60" s="5" t="s">
        <v>1663</v>
      </c>
      <c r="M60" s="10" t="n">
        <f aca="false">IF(NOT(ISNUMBER(E60)),0,IF(OR(J60="OLD SOURCE",J60="UNDATED SOURCE"),2,1))</f>
        <v>1</v>
      </c>
      <c r="N60" s="30" t="n">
        <v>160</v>
      </c>
      <c r="O60" s="9" t="s">
        <v>1479</v>
      </c>
    </row>
    <row r="61" customFormat="false" ht="15" hidden="false" customHeight="true" outlineLevel="0" collapsed="false">
      <c r="A61" s="9" t="s">
        <v>1150</v>
      </c>
      <c r="B61" s="9" t="s">
        <v>1678</v>
      </c>
      <c r="C61" s="5" t="s">
        <v>1679</v>
      </c>
      <c r="D61" s="9" t="s">
        <v>368</v>
      </c>
      <c r="E61" s="13" t="n">
        <f aca="false">IF(INDEX('08 LOCATION RATE LIBRARY'!$D$61:$N$61,MATCH(City,'08 LOCATION RATE LIBRARY'!$D$4:$N$4,0))="","",INDEX('08 LOCATION RATE LIBRARY'!$D$61:$N$61,MATCH(City,'08 LOCATION RATE LIBRARY'!$D$4:$N$4,0)))</f>
        <v>111</v>
      </c>
      <c r="F61" s="29"/>
      <c r="G61" s="29"/>
      <c r="H61" s="10" t="str">
        <f aca="false">City</f>
        <v>Lahore</v>
      </c>
      <c r="I61" s="9" t="s">
        <v>110</v>
      </c>
      <c r="J61" s="9" t="s">
        <v>1648</v>
      </c>
      <c r="K61" s="9" t="s">
        <v>1649</v>
      </c>
      <c r="L61" s="5" t="s">
        <v>1663</v>
      </c>
      <c r="M61" s="10" t="n">
        <f aca="false">IF(NOT(ISNUMBER(E61)),0,IF(OR(J61="OLD SOURCE",J61="UNDATED SOURCE"),2,1))</f>
        <v>1</v>
      </c>
      <c r="N61" s="30" t="n">
        <v>111</v>
      </c>
      <c r="O61" s="9" t="s">
        <v>1479</v>
      </c>
    </row>
    <row r="62" customFormat="false" ht="15" hidden="false" customHeight="true" outlineLevel="0" collapsed="false">
      <c r="A62" s="9" t="s">
        <v>1151</v>
      </c>
      <c r="B62" s="9" t="s">
        <v>1680</v>
      </c>
      <c r="C62" s="5" t="s">
        <v>1681</v>
      </c>
      <c r="D62" s="9" t="s">
        <v>368</v>
      </c>
      <c r="E62" s="13" t="n">
        <f aca="false">IF(INDEX('08 LOCATION RATE LIBRARY'!$D$62:$N$62,MATCH(City,'08 LOCATION RATE LIBRARY'!$D$4:$N$4,0))="","",INDEX('08 LOCATION RATE LIBRARY'!$D$62:$N$62,MATCH(City,'08 LOCATION RATE LIBRARY'!$D$4:$N$4,0)))</f>
        <v>203</v>
      </c>
      <c r="F62" s="29"/>
      <c r="G62" s="29"/>
      <c r="H62" s="10" t="str">
        <f aca="false">City</f>
        <v>Lahore</v>
      </c>
      <c r="I62" s="9" t="s">
        <v>110</v>
      </c>
      <c r="J62" s="9" t="s">
        <v>1648</v>
      </c>
      <c r="K62" s="9" t="s">
        <v>1649</v>
      </c>
      <c r="L62" s="5" t="s">
        <v>1663</v>
      </c>
      <c r="M62" s="10" t="n">
        <f aca="false">IF(NOT(ISNUMBER(E62)),0,IF(OR(J62="OLD SOURCE",J62="UNDATED SOURCE"),2,1))</f>
        <v>1</v>
      </c>
      <c r="N62" s="30" t="n">
        <v>203</v>
      </c>
      <c r="O62" s="9" t="s">
        <v>1479</v>
      </c>
    </row>
    <row r="63" customFormat="false" ht="15" hidden="false" customHeight="true" outlineLevel="0" collapsed="false">
      <c r="A63" s="9" t="s">
        <v>1154</v>
      </c>
      <c r="B63" s="9" t="s">
        <v>1682</v>
      </c>
      <c r="C63" s="5" t="s">
        <v>1647</v>
      </c>
      <c r="D63" s="9" t="s">
        <v>386</v>
      </c>
      <c r="E63" s="13" t="n">
        <f aca="false">IF(INDEX('08 LOCATION RATE LIBRARY'!$D$63:$N$63,MATCH(City,'08 LOCATION RATE LIBRARY'!$D$4:$N$4,0))="","",INDEX('08 LOCATION RATE LIBRARY'!$D$63:$N$63,MATCH(City,'08 LOCATION RATE LIBRARY'!$D$4:$N$4,0)))</f>
        <v>583.05</v>
      </c>
      <c r="F63" s="29"/>
      <c r="G63" s="29"/>
      <c r="H63" s="10" t="str">
        <f aca="false">City</f>
        <v>Lahore</v>
      </c>
      <c r="I63" s="9" t="s">
        <v>110</v>
      </c>
      <c r="J63" s="9" t="s">
        <v>1648</v>
      </c>
      <c r="K63" s="9" t="s">
        <v>1649</v>
      </c>
      <c r="L63" s="5" t="s">
        <v>1650</v>
      </c>
      <c r="M63" s="10" t="n">
        <f aca="false">IF(NOT(ISNUMBER(E63)),0,IF(OR(J63="OLD SOURCE",J63="UNDATED SOURCE"),2,1))</f>
        <v>1</v>
      </c>
      <c r="N63" s="30" t="n">
        <v>583.05</v>
      </c>
      <c r="O63" s="9" t="s">
        <v>1479</v>
      </c>
    </row>
    <row r="64" customFormat="false" ht="15" hidden="false" customHeight="true" outlineLevel="0" collapsed="false">
      <c r="A64" s="9" t="s">
        <v>1156</v>
      </c>
      <c r="B64" s="9" t="s">
        <v>1683</v>
      </c>
      <c r="C64" s="5" t="s">
        <v>1684</v>
      </c>
      <c r="D64" s="9" t="s">
        <v>368</v>
      </c>
      <c r="E64" s="13" t="n">
        <f aca="false">IF(INDEX('08 LOCATION RATE LIBRARY'!$D$64:$N$64,MATCH(City,'08 LOCATION RATE LIBRARY'!$D$4:$N$4,0))="","",INDEX('08 LOCATION RATE LIBRARY'!$D$64:$N$64,MATCH(City,'08 LOCATION RATE LIBRARY'!$D$4:$N$4,0)))</f>
        <v>361</v>
      </c>
      <c r="F64" s="29"/>
      <c r="G64" s="29"/>
      <c r="H64" s="10" t="str">
        <f aca="false">City</f>
        <v>Lahore</v>
      </c>
      <c r="I64" s="9" t="s">
        <v>110</v>
      </c>
      <c r="J64" s="9" t="s">
        <v>1648</v>
      </c>
      <c r="K64" s="9" t="s">
        <v>1649</v>
      </c>
      <c r="L64" s="5" t="s">
        <v>1663</v>
      </c>
      <c r="M64" s="10" t="n">
        <f aca="false">IF(NOT(ISNUMBER(E64)),0,IF(OR(J64="OLD SOURCE",J64="UNDATED SOURCE"),2,1))</f>
        <v>1</v>
      </c>
      <c r="N64" s="30" t="n">
        <v>361</v>
      </c>
      <c r="O64" s="9" t="s">
        <v>1479</v>
      </c>
    </row>
    <row r="65" customFormat="false" ht="15" hidden="false" customHeight="true" outlineLevel="0" collapsed="false">
      <c r="A65" s="9" t="s">
        <v>1157</v>
      </c>
      <c r="B65" s="9" t="s">
        <v>1685</v>
      </c>
      <c r="C65" s="5" t="s">
        <v>1686</v>
      </c>
      <c r="D65" s="9" t="s">
        <v>368</v>
      </c>
      <c r="E65" s="13" t="n">
        <f aca="false">IF(INDEX('08 LOCATION RATE LIBRARY'!$D$65:$N$65,MATCH(City,'08 LOCATION RATE LIBRARY'!$D$4:$N$4,0))="","",INDEX('08 LOCATION RATE LIBRARY'!$D$65:$N$65,MATCH(City,'08 LOCATION RATE LIBRARY'!$D$4:$N$4,0)))</f>
        <v>256</v>
      </c>
      <c r="F65" s="29"/>
      <c r="G65" s="29"/>
      <c r="H65" s="10" t="str">
        <f aca="false">City</f>
        <v>Lahore</v>
      </c>
      <c r="I65" s="9" t="s">
        <v>110</v>
      </c>
      <c r="J65" s="9" t="s">
        <v>1648</v>
      </c>
      <c r="K65" s="9" t="s">
        <v>1649</v>
      </c>
      <c r="L65" s="5" t="s">
        <v>1663</v>
      </c>
      <c r="M65" s="10" t="n">
        <f aca="false">IF(NOT(ISNUMBER(E65)),0,IF(OR(J65="OLD SOURCE",J65="UNDATED SOURCE"),2,1))</f>
        <v>1</v>
      </c>
      <c r="N65" s="30" t="n">
        <v>256</v>
      </c>
      <c r="O65" s="9" t="s">
        <v>1479</v>
      </c>
    </row>
    <row r="66" customFormat="false" ht="15" hidden="false" customHeight="true" outlineLevel="0" collapsed="false">
      <c r="A66" s="9" t="s">
        <v>1158</v>
      </c>
      <c r="B66" s="9" t="s">
        <v>1687</v>
      </c>
      <c r="C66" s="5" t="s">
        <v>1688</v>
      </c>
      <c r="D66" s="9" t="s">
        <v>368</v>
      </c>
      <c r="E66" s="13" t="n">
        <f aca="false">IF(INDEX('08 LOCATION RATE LIBRARY'!$D$66:$N$66,MATCH(City,'08 LOCATION RATE LIBRARY'!$D$4:$N$4,0))="","",INDEX('08 LOCATION RATE LIBRARY'!$D$66:$N$66,MATCH(City,'08 LOCATION RATE LIBRARY'!$D$4:$N$4,0)))</f>
        <v>512</v>
      </c>
      <c r="F66" s="29"/>
      <c r="G66" s="29"/>
      <c r="H66" s="10" t="str">
        <f aca="false">City</f>
        <v>Lahore</v>
      </c>
      <c r="I66" s="9" t="s">
        <v>110</v>
      </c>
      <c r="J66" s="9" t="s">
        <v>1648</v>
      </c>
      <c r="K66" s="9" t="s">
        <v>1649</v>
      </c>
      <c r="L66" s="5" t="s">
        <v>1663</v>
      </c>
      <c r="M66" s="10" t="n">
        <f aca="false">IF(NOT(ISNUMBER(E66)),0,IF(OR(J66="OLD SOURCE",J66="UNDATED SOURCE"),2,1))</f>
        <v>1</v>
      </c>
      <c r="N66" s="30" t="n">
        <v>512</v>
      </c>
      <c r="O66" s="9" t="s">
        <v>1479</v>
      </c>
    </row>
    <row r="67" customFormat="false" ht="15" hidden="false" customHeight="true" outlineLevel="0" collapsed="false">
      <c r="A67" s="9" t="s">
        <v>1159</v>
      </c>
      <c r="B67" s="9" t="s">
        <v>1689</v>
      </c>
      <c r="C67" s="5" t="s">
        <v>1647</v>
      </c>
      <c r="D67" s="9" t="s">
        <v>386</v>
      </c>
      <c r="E67" s="13" t="n">
        <f aca="false">IF(INDEX('08 LOCATION RATE LIBRARY'!$D$67:$N$67,MATCH(City,'08 LOCATION RATE LIBRARY'!$D$4:$N$4,0))="","",INDEX('08 LOCATION RATE LIBRARY'!$D$67:$N$67,MATCH(City,'08 LOCATION RATE LIBRARY'!$D$4:$N$4,0)))</f>
        <v>957.63</v>
      </c>
      <c r="F67" s="29"/>
      <c r="G67" s="29"/>
      <c r="H67" s="10" t="str">
        <f aca="false">City</f>
        <v>Lahore</v>
      </c>
      <c r="I67" s="9" t="s">
        <v>110</v>
      </c>
      <c r="J67" s="9" t="s">
        <v>1648</v>
      </c>
      <c r="K67" s="9" t="s">
        <v>1649</v>
      </c>
      <c r="L67" s="5" t="s">
        <v>1650</v>
      </c>
      <c r="M67" s="10" t="n">
        <f aca="false">IF(NOT(ISNUMBER(E67)),0,IF(OR(J67="OLD SOURCE",J67="UNDATED SOURCE"),2,1))</f>
        <v>1</v>
      </c>
      <c r="N67" s="30" t="n">
        <v>957.63</v>
      </c>
      <c r="O67" s="9" t="s">
        <v>1479</v>
      </c>
    </row>
    <row r="68" customFormat="false" ht="15" hidden="false" customHeight="true" outlineLevel="0" collapsed="false">
      <c r="A68" s="9" t="s">
        <v>1161</v>
      </c>
      <c r="B68" s="9" t="s">
        <v>1690</v>
      </c>
      <c r="C68" s="5" t="s">
        <v>1691</v>
      </c>
      <c r="D68" s="9" t="s">
        <v>368</v>
      </c>
      <c r="E68" s="13" t="n">
        <f aca="false">IF(INDEX('08 LOCATION RATE LIBRARY'!$D$68:$N$68,MATCH(City,'08 LOCATION RATE LIBRARY'!$D$4:$N$4,0))="","",INDEX('08 LOCATION RATE LIBRARY'!$D$68:$N$68,MATCH(City,'08 LOCATION RATE LIBRARY'!$D$4:$N$4,0)))</f>
        <v>695</v>
      </c>
      <c r="F68" s="29"/>
      <c r="G68" s="29"/>
      <c r="H68" s="10" t="str">
        <f aca="false">City</f>
        <v>Lahore</v>
      </c>
      <c r="I68" s="9" t="s">
        <v>110</v>
      </c>
      <c r="J68" s="9" t="s">
        <v>1648</v>
      </c>
      <c r="K68" s="9" t="s">
        <v>1649</v>
      </c>
      <c r="L68" s="5" t="s">
        <v>1663</v>
      </c>
      <c r="M68" s="10" t="n">
        <f aca="false">IF(NOT(ISNUMBER(E68)),0,IF(OR(J68="OLD SOURCE",J68="UNDATED SOURCE"),2,1))</f>
        <v>1</v>
      </c>
      <c r="N68" s="30" t="n">
        <v>695</v>
      </c>
      <c r="O68" s="9" t="s">
        <v>1479</v>
      </c>
    </row>
    <row r="69" customFormat="false" ht="15" hidden="false" customHeight="true" outlineLevel="0" collapsed="false">
      <c r="A69" s="9" t="s">
        <v>1162</v>
      </c>
      <c r="B69" s="9" t="s">
        <v>1692</v>
      </c>
      <c r="C69" s="5" t="s">
        <v>1693</v>
      </c>
      <c r="D69" s="9" t="s">
        <v>368</v>
      </c>
      <c r="E69" s="13" t="n">
        <f aca="false">IF(INDEX('08 LOCATION RATE LIBRARY'!$D$69:$N$69,MATCH(City,'08 LOCATION RATE LIBRARY'!$D$4:$N$4,0))="","",INDEX('08 LOCATION RATE LIBRARY'!$D$69:$N$69,MATCH(City,'08 LOCATION RATE LIBRARY'!$D$4:$N$4,0)))</f>
        <v>422</v>
      </c>
      <c r="F69" s="29"/>
      <c r="G69" s="29"/>
      <c r="H69" s="10" t="str">
        <f aca="false">City</f>
        <v>Lahore</v>
      </c>
      <c r="I69" s="9" t="s">
        <v>110</v>
      </c>
      <c r="J69" s="9" t="s">
        <v>1648</v>
      </c>
      <c r="K69" s="9" t="s">
        <v>1649</v>
      </c>
      <c r="L69" s="5" t="s">
        <v>1663</v>
      </c>
      <c r="M69" s="10" t="n">
        <f aca="false">IF(NOT(ISNUMBER(E69)),0,IF(OR(J69="OLD SOURCE",J69="UNDATED SOURCE"),2,1))</f>
        <v>1</v>
      </c>
      <c r="N69" s="30" t="n">
        <v>422</v>
      </c>
      <c r="O69" s="9" t="s">
        <v>1479</v>
      </c>
    </row>
    <row r="70" customFormat="false" ht="15" hidden="false" customHeight="true" outlineLevel="0" collapsed="false">
      <c r="A70" s="9" t="s">
        <v>1163</v>
      </c>
      <c r="B70" s="9" t="s">
        <v>1694</v>
      </c>
      <c r="C70" s="5" t="s">
        <v>1695</v>
      </c>
      <c r="D70" s="9" t="s">
        <v>368</v>
      </c>
      <c r="E70" s="13" t="n">
        <f aca="false">IF(INDEX('08 LOCATION RATE LIBRARY'!$D$70:$N$70,MATCH(City,'08 LOCATION RATE LIBRARY'!$D$4:$N$4,0))="","",INDEX('08 LOCATION RATE LIBRARY'!$D$70:$N$70,MATCH(City,'08 LOCATION RATE LIBRARY'!$D$4:$N$4,0)))</f>
        <v>825</v>
      </c>
      <c r="F70" s="29"/>
      <c r="G70" s="29"/>
      <c r="H70" s="10" t="str">
        <f aca="false">City</f>
        <v>Lahore</v>
      </c>
      <c r="I70" s="9" t="s">
        <v>110</v>
      </c>
      <c r="J70" s="9" t="s">
        <v>1648</v>
      </c>
      <c r="K70" s="9" t="s">
        <v>1649</v>
      </c>
      <c r="L70" s="5" t="s">
        <v>1663</v>
      </c>
      <c r="M70" s="10" t="n">
        <f aca="false">IF(NOT(ISNUMBER(E70)),0,IF(OR(J70="OLD SOURCE",J70="UNDATED SOURCE"),2,1))</f>
        <v>1</v>
      </c>
      <c r="N70" s="30" t="n">
        <v>825</v>
      </c>
      <c r="O70" s="9" t="s">
        <v>1479</v>
      </c>
    </row>
    <row r="71" customFormat="false" ht="15" hidden="false" customHeight="true" outlineLevel="0" collapsed="false">
      <c r="A71" s="9" t="s">
        <v>1185</v>
      </c>
      <c r="B71" s="9" t="s">
        <v>1696</v>
      </c>
      <c r="C71" s="5" t="s">
        <v>1697</v>
      </c>
      <c r="D71" s="9" t="s">
        <v>386</v>
      </c>
      <c r="E71" s="13" t="n">
        <f aca="false">IF(INDEX('08 LOCATION RATE LIBRARY'!$D$71:$N$71,MATCH(City,'08 LOCATION RATE LIBRARY'!$D$4:$N$4,0))="","",INDEX('08 LOCATION RATE LIBRARY'!$D$71:$N$71,MATCH(City,'08 LOCATION RATE LIBRARY'!$D$4:$N$4,0)))</f>
        <v>160</v>
      </c>
      <c r="F71" s="29"/>
      <c r="G71" s="29"/>
      <c r="H71" s="10" t="str">
        <f aca="false">City</f>
        <v>Lahore</v>
      </c>
      <c r="I71" s="9" t="s">
        <v>110</v>
      </c>
      <c r="J71" s="9" t="s">
        <v>1648</v>
      </c>
      <c r="K71" s="9" t="s">
        <v>1698</v>
      </c>
      <c r="L71" s="5" t="s">
        <v>1699</v>
      </c>
      <c r="M71" s="10" t="n">
        <f aca="false">IF(NOT(ISNUMBER(E71)),0,IF(OR(J71="OLD SOURCE",J71="UNDATED SOURCE"),2,1))</f>
        <v>1</v>
      </c>
      <c r="N71" s="30" t="n">
        <v>160</v>
      </c>
      <c r="O71" s="9" t="s">
        <v>1479</v>
      </c>
    </row>
    <row r="72" customFormat="false" ht="15" hidden="false" customHeight="true" outlineLevel="0" collapsed="false">
      <c r="A72" s="9" t="s">
        <v>1195</v>
      </c>
      <c r="B72" s="9" t="s">
        <v>1700</v>
      </c>
      <c r="C72" s="5" t="s">
        <v>1697</v>
      </c>
      <c r="D72" s="9" t="s">
        <v>386</v>
      </c>
      <c r="E72" s="13" t="n">
        <f aca="false">IF(INDEX('08 LOCATION RATE LIBRARY'!$D$72:$N$72,MATCH(City,'08 LOCATION RATE LIBRARY'!$D$4:$N$4,0))="","",INDEX('08 LOCATION RATE LIBRARY'!$D$72:$N$72,MATCH(City,'08 LOCATION RATE LIBRARY'!$D$4:$N$4,0)))</f>
        <v>304</v>
      </c>
      <c r="F72" s="29"/>
      <c r="G72" s="29"/>
      <c r="H72" s="10" t="str">
        <f aca="false">City</f>
        <v>Lahore</v>
      </c>
      <c r="I72" s="9" t="s">
        <v>110</v>
      </c>
      <c r="J72" s="9" t="s">
        <v>1648</v>
      </c>
      <c r="K72" s="9" t="s">
        <v>1698</v>
      </c>
      <c r="L72" s="5" t="s">
        <v>1699</v>
      </c>
      <c r="M72" s="10" t="n">
        <f aca="false">IF(NOT(ISNUMBER(E72)),0,IF(OR(J72="OLD SOURCE",J72="UNDATED SOURCE"),2,1))</f>
        <v>1</v>
      </c>
      <c r="N72" s="30" t="n">
        <v>304</v>
      </c>
      <c r="O72" s="9" t="s">
        <v>1479</v>
      </c>
    </row>
    <row r="73" customFormat="false" ht="15" hidden="false" customHeight="true" outlineLevel="0" collapsed="false">
      <c r="A73" s="9" t="s">
        <v>1199</v>
      </c>
      <c r="B73" s="9" t="s">
        <v>1701</v>
      </c>
      <c r="C73" s="5" t="s">
        <v>1697</v>
      </c>
      <c r="D73" s="9" t="s">
        <v>386</v>
      </c>
      <c r="E73" s="13" t="n">
        <f aca="false">IF(INDEX('08 LOCATION RATE LIBRARY'!$D$73:$N$73,MATCH(City,'08 LOCATION RATE LIBRARY'!$D$4:$N$4,0))="","",INDEX('08 LOCATION RATE LIBRARY'!$D$73:$N$73,MATCH(City,'08 LOCATION RATE LIBRARY'!$D$4:$N$4,0)))</f>
        <v>497</v>
      </c>
      <c r="F73" s="29"/>
      <c r="G73" s="29"/>
      <c r="H73" s="10" t="str">
        <f aca="false">City</f>
        <v>Lahore</v>
      </c>
      <c r="I73" s="9" t="s">
        <v>110</v>
      </c>
      <c r="J73" s="9" t="s">
        <v>1648</v>
      </c>
      <c r="K73" s="9" t="s">
        <v>1698</v>
      </c>
      <c r="L73" s="5" t="s">
        <v>1699</v>
      </c>
      <c r="M73" s="10" t="n">
        <f aca="false">IF(NOT(ISNUMBER(E73)),0,IF(OR(J73="OLD SOURCE",J73="UNDATED SOURCE"),2,1))</f>
        <v>1</v>
      </c>
      <c r="N73" s="30" t="n">
        <v>497</v>
      </c>
      <c r="O73" s="9" t="s">
        <v>1479</v>
      </c>
    </row>
    <row r="74" customFormat="false" ht="15" hidden="false" customHeight="true" outlineLevel="0" collapsed="false">
      <c r="A74" s="9" t="s">
        <v>1201</v>
      </c>
      <c r="B74" s="9" t="s">
        <v>1702</v>
      </c>
      <c r="C74" s="5" t="s">
        <v>1703</v>
      </c>
      <c r="D74" s="9" t="s">
        <v>368</v>
      </c>
      <c r="E74" s="13" t="n">
        <f aca="false">IF(INDEX('08 LOCATION RATE LIBRARY'!$D$74:$N$74,MATCH(City,'08 LOCATION RATE LIBRARY'!$D$4:$N$4,0))="","",INDEX('08 LOCATION RATE LIBRARY'!$D$74:$N$74,MATCH(City,'08 LOCATION RATE LIBRARY'!$D$4:$N$4,0)))</f>
        <v>655</v>
      </c>
      <c r="F74" s="29"/>
      <c r="G74" s="29"/>
      <c r="H74" s="10" t="str">
        <f aca="false">City</f>
        <v>Lahore</v>
      </c>
      <c r="I74" s="9" t="s">
        <v>110</v>
      </c>
      <c r="J74" s="9" t="s">
        <v>1648</v>
      </c>
      <c r="K74" s="9" t="s">
        <v>1698</v>
      </c>
      <c r="L74" s="5"/>
      <c r="M74" s="10" t="n">
        <f aca="false">IF(NOT(ISNUMBER(E74)),0,IF(OR(J74="OLD SOURCE",J74="UNDATED SOURCE"),2,1))</f>
        <v>1</v>
      </c>
      <c r="N74" s="30" t="n">
        <v>655</v>
      </c>
      <c r="O74" s="9" t="s">
        <v>1479</v>
      </c>
    </row>
    <row r="75" customFormat="false" ht="15" hidden="false" customHeight="true" outlineLevel="0" collapsed="false">
      <c r="A75" s="9" t="s">
        <v>1202</v>
      </c>
      <c r="B75" s="9" t="s">
        <v>1704</v>
      </c>
      <c r="C75" s="5" t="s">
        <v>1703</v>
      </c>
      <c r="D75" s="9" t="s">
        <v>368</v>
      </c>
      <c r="E75" s="13" t="n">
        <f aca="false">IF(INDEX('08 LOCATION RATE LIBRARY'!$D$75:$N$75,MATCH(City,'08 LOCATION RATE LIBRARY'!$D$4:$N$4,0))="","",INDEX('08 LOCATION RATE LIBRARY'!$D$75:$N$75,MATCH(City,'08 LOCATION RATE LIBRARY'!$D$4:$N$4,0)))</f>
        <v>910</v>
      </c>
      <c r="F75" s="29"/>
      <c r="G75" s="29"/>
      <c r="H75" s="10" t="str">
        <f aca="false">City</f>
        <v>Lahore</v>
      </c>
      <c r="I75" s="9" t="s">
        <v>110</v>
      </c>
      <c r="J75" s="9" t="s">
        <v>1648</v>
      </c>
      <c r="K75" s="9" t="s">
        <v>1698</v>
      </c>
      <c r="L75" s="5"/>
      <c r="M75" s="10" t="n">
        <f aca="false">IF(NOT(ISNUMBER(E75)),0,IF(OR(J75="OLD SOURCE",J75="UNDATED SOURCE"),2,1))</f>
        <v>1</v>
      </c>
      <c r="N75" s="30" t="n">
        <v>910</v>
      </c>
      <c r="O75" s="9" t="s">
        <v>1479</v>
      </c>
    </row>
    <row r="76" customFormat="false" ht="21.75" hidden="false" customHeight="true" outlineLevel="0" collapsed="false">
      <c r="A76" s="9" t="s">
        <v>1187</v>
      </c>
      <c r="B76" s="9" t="s">
        <v>1705</v>
      </c>
      <c r="C76" s="5" t="s">
        <v>1703</v>
      </c>
      <c r="D76" s="9" t="s">
        <v>368</v>
      </c>
      <c r="E76" s="13" t="n">
        <f aca="false">IF(INDEX('08 LOCATION RATE LIBRARY'!$D$76:$N$76,MATCH(City,'08 LOCATION RATE LIBRARY'!$D$4:$N$4,0))="","",INDEX('08 LOCATION RATE LIBRARY'!$D$76:$N$76,MATCH(City,'08 LOCATION RATE LIBRARY'!$D$4:$N$4,0)))</f>
        <v>112.67</v>
      </c>
      <c r="F76" s="29"/>
      <c r="G76" s="29"/>
      <c r="H76" s="10" t="str">
        <f aca="false">City</f>
        <v>Lahore</v>
      </c>
      <c r="I76" s="9" t="s">
        <v>1706</v>
      </c>
      <c r="J76" s="9" t="s">
        <v>1489</v>
      </c>
      <c r="K76" s="9" t="s">
        <v>1490</v>
      </c>
      <c r="L76" s="5" t="s">
        <v>1707</v>
      </c>
      <c r="M76" s="10" t="n">
        <f aca="false">IF(NOT(ISNUMBER(E76)),0,IF(OR(J76="OLD SOURCE",J76="UNDATED SOURCE"),2,1))</f>
        <v>1</v>
      </c>
      <c r="N76" s="30" t="n">
        <v>112.67</v>
      </c>
      <c r="O76" s="9" t="s">
        <v>1479</v>
      </c>
    </row>
    <row r="77" customFormat="false" ht="21.75" hidden="false" customHeight="true" outlineLevel="0" collapsed="false">
      <c r="A77" s="9" t="s">
        <v>1190</v>
      </c>
      <c r="B77" s="9" t="s">
        <v>1708</v>
      </c>
      <c r="C77" s="5" t="s">
        <v>1709</v>
      </c>
      <c r="D77" s="9" t="s">
        <v>198</v>
      </c>
      <c r="E77" s="13" t="n">
        <f aca="false">IF(INDEX('08 LOCATION RATE LIBRARY'!$D$77:$N$77,MATCH(City,'08 LOCATION RATE LIBRARY'!$D$4:$N$4,0))="","",INDEX('08 LOCATION RATE LIBRARY'!$D$77:$N$77,MATCH(City,'08 LOCATION RATE LIBRARY'!$D$4:$N$4,0)))</f>
        <v>1700</v>
      </c>
      <c r="F77" s="29"/>
      <c r="G77" s="29"/>
      <c r="H77" s="10" t="str">
        <f aca="false">City</f>
        <v>Lahore</v>
      </c>
      <c r="I77" s="9" t="s">
        <v>1710</v>
      </c>
      <c r="J77" s="9" t="s">
        <v>1489</v>
      </c>
      <c r="K77" s="9" t="s">
        <v>1490</v>
      </c>
      <c r="L77" s="5" t="s">
        <v>1711</v>
      </c>
      <c r="M77" s="10" t="n">
        <f aca="false">IF(NOT(ISNUMBER(E77)),0,IF(OR(J77="OLD SOURCE",J77="UNDATED SOURCE"),2,1))</f>
        <v>1</v>
      </c>
      <c r="N77" s="30" t="n">
        <v>1700</v>
      </c>
      <c r="O77" s="9" t="s">
        <v>1485</v>
      </c>
    </row>
    <row r="78" customFormat="false" ht="21.75" hidden="false" customHeight="true" outlineLevel="0" collapsed="false">
      <c r="A78" s="9" t="s">
        <v>1132</v>
      </c>
      <c r="B78" s="9" t="s">
        <v>1712</v>
      </c>
      <c r="C78" s="5" t="s">
        <v>1713</v>
      </c>
      <c r="D78" s="9" t="s">
        <v>368</v>
      </c>
      <c r="E78" s="13" t="n">
        <f aca="false">IF(INDEX('08 LOCATION RATE LIBRARY'!$D$78:$N$78,MATCH(City,'08 LOCATION RATE LIBRARY'!$D$4:$N$4,0))="","",INDEX('08 LOCATION RATE LIBRARY'!$D$78:$N$78,MATCH(City,'08 LOCATION RATE LIBRARY'!$D$4:$N$4,0)))</f>
        <v>123.1</v>
      </c>
      <c r="F78" s="29"/>
      <c r="G78" s="29"/>
      <c r="H78" s="10" t="str">
        <f aca="false">City</f>
        <v>Lahore</v>
      </c>
      <c r="I78" s="9" t="s">
        <v>1714</v>
      </c>
      <c r="J78" s="10" t="str">
        <f aca="false">IF(ISNUMBER('16 VENDOR ENQUIRY (RFQ)'!H54),"Vendor quote","OLD SOURCE")</f>
        <v>OLD SOURCE</v>
      </c>
      <c r="K78" s="9" t="s">
        <v>1490</v>
      </c>
      <c r="L78" s="5" t="s">
        <v>1715</v>
      </c>
      <c r="M78" s="10" t="n">
        <f aca="false">IF(NOT(ISNUMBER(E78)),0,IF(OR(J78="OLD SOURCE",J78="UNDATED SOURCE"),2,1))</f>
        <v>2</v>
      </c>
      <c r="N78" s="31" t="n">
        <f aca="false">IF(ISNUMBER('16 VENDOR ENQUIRY (RFQ)'!H54),'16 VENDOR ENQUIRY (RFQ)'!H54,123.1)</f>
        <v>123.1</v>
      </c>
      <c r="O78" s="9" t="s">
        <v>1485</v>
      </c>
    </row>
    <row r="79" customFormat="false" ht="15" hidden="false" customHeight="true" outlineLevel="0" collapsed="false">
      <c r="A79" s="9" t="s">
        <v>1243</v>
      </c>
      <c r="B79" s="9" t="s">
        <v>1716</v>
      </c>
      <c r="C79" s="5" t="s">
        <v>1717</v>
      </c>
      <c r="D79" s="9" t="s">
        <v>386</v>
      </c>
      <c r="E79" s="13" t="n">
        <f aca="false">IF(INDEX('08 LOCATION RATE LIBRARY'!$D$79:$N$79,MATCH(City,'08 LOCATION RATE LIBRARY'!$D$4:$N$4,0))="","",INDEX('08 LOCATION RATE LIBRARY'!$D$79:$N$79,MATCH(City,'08 LOCATION RATE LIBRARY'!$D$4:$N$4,0)))</f>
        <v>44</v>
      </c>
      <c r="F79" s="29"/>
      <c r="G79" s="29"/>
      <c r="H79" s="10" t="str">
        <f aca="false">City</f>
        <v>Lahore</v>
      </c>
      <c r="I79" s="9" t="s">
        <v>110</v>
      </c>
      <c r="J79" s="9" t="s">
        <v>1648</v>
      </c>
      <c r="K79" s="9" t="s">
        <v>1718</v>
      </c>
      <c r="L79" s="5"/>
      <c r="M79" s="10" t="n">
        <f aca="false">IF(NOT(ISNUMBER(E79)),0,IF(OR(J79="OLD SOURCE",J79="UNDATED SOURCE"),2,1))</f>
        <v>1</v>
      </c>
      <c r="N79" s="30" t="n">
        <v>44</v>
      </c>
      <c r="O79" s="9" t="s">
        <v>1479</v>
      </c>
    </row>
    <row r="80" customFormat="false" ht="15" hidden="false" customHeight="true" outlineLevel="0" collapsed="false">
      <c r="A80" s="9" t="s">
        <v>1252</v>
      </c>
      <c r="B80" s="9" t="s">
        <v>1719</v>
      </c>
      <c r="C80" s="5" t="s">
        <v>1720</v>
      </c>
      <c r="D80" s="9" t="s">
        <v>386</v>
      </c>
      <c r="E80" s="13" t="n">
        <f aca="false">IF(INDEX('08 LOCATION RATE LIBRARY'!$D$80:$N$80,MATCH(City,'08 LOCATION RATE LIBRARY'!$D$4:$N$4,0))="","",INDEX('08 LOCATION RATE LIBRARY'!$D$80:$N$80,MATCH(City,'08 LOCATION RATE LIBRARY'!$D$4:$N$4,0)))</f>
        <v>60.4</v>
      </c>
      <c r="F80" s="29"/>
      <c r="G80" s="29"/>
      <c r="H80" s="10" t="str">
        <f aca="false">City</f>
        <v>Lahore</v>
      </c>
      <c r="I80" s="9" t="s">
        <v>110</v>
      </c>
      <c r="J80" s="9" t="s">
        <v>1648</v>
      </c>
      <c r="K80" s="9" t="s">
        <v>1718</v>
      </c>
      <c r="L80" s="5"/>
      <c r="M80" s="10" t="n">
        <f aca="false">IF(NOT(ISNUMBER(E80)),0,IF(OR(J80="OLD SOURCE",J80="UNDATED SOURCE"),2,1))</f>
        <v>1</v>
      </c>
      <c r="N80" s="30" t="n">
        <v>60.4</v>
      </c>
      <c r="O80" s="9" t="s">
        <v>1479</v>
      </c>
    </row>
    <row r="81" customFormat="false" ht="15" hidden="false" customHeight="true" outlineLevel="0" collapsed="false">
      <c r="A81" s="9" t="s">
        <v>1245</v>
      </c>
      <c r="B81" s="9" t="s">
        <v>1721</v>
      </c>
      <c r="C81" s="5"/>
      <c r="D81" s="9" t="s">
        <v>368</v>
      </c>
      <c r="E81" s="13" t="n">
        <f aca="false">IF(INDEX('08 LOCATION RATE LIBRARY'!$D$81:$N$81,MATCH(City,'08 LOCATION RATE LIBRARY'!$D$4:$N$4,0))="","",INDEX('08 LOCATION RATE LIBRARY'!$D$81:$N$81,MATCH(City,'08 LOCATION RATE LIBRARY'!$D$4:$N$4,0)))</f>
        <v>10.8</v>
      </c>
      <c r="F81" s="29"/>
      <c r="G81" s="29"/>
      <c r="H81" s="10" t="str">
        <f aca="false">City</f>
        <v>Lahore</v>
      </c>
      <c r="I81" s="9" t="s">
        <v>110</v>
      </c>
      <c r="J81" s="9" t="s">
        <v>1648</v>
      </c>
      <c r="K81" s="9" t="s">
        <v>1718</v>
      </c>
      <c r="L81" s="5"/>
      <c r="M81" s="10" t="n">
        <f aca="false">IF(NOT(ISNUMBER(E81)),0,IF(OR(J81="OLD SOURCE",J81="UNDATED SOURCE"),2,1))</f>
        <v>1</v>
      </c>
      <c r="N81" s="30" t="n">
        <v>10.8</v>
      </c>
      <c r="O81" s="9" t="s">
        <v>1479</v>
      </c>
    </row>
    <row r="82" customFormat="false" ht="15" hidden="false" customHeight="true" outlineLevel="0" collapsed="false">
      <c r="A82" s="9" t="s">
        <v>1247</v>
      </c>
      <c r="B82" s="9" t="s">
        <v>1722</v>
      </c>
      <c r="C82" s="5"/>
      <c r="D82" s="9" t="s">
        <v>368</v>
      </c>
      <c r="E82" s="13" t="n">
        <f aca="false">IF(INDEX('08 LOCATION RATE LIBRARY'!$D$82:$N$82,MATCH(City,'08 LOCATION RATE LIBRARY'!$D$4:$N$4,0))="","",INDEX('08 LOCATION RATE LIBRARY'!$D$82:$N$82,MATCH(City,'08 LOCATION RATE LIBRARY'!$D$4:$N$4,0)))</f>
        <v>35</v>
      </c>
      <c r="F82" s="29"/>
      <c r="G82" s="29"/>
      <c r="H82" s="10" t="str">
        <f aca="false">City</f>
        <v>Lahore</v>
      </c>
      <c r="I82" s="9" t="s">
        <v>110</v>
      </c>
      <c r="J82" s="9" t="s">
        <v>1648</v>
      </c>
      <c r="K82" s="9" t="s">
        <v>1718</v>
      </c>
      <c r="L82" s="5"/>
      <c r="M82" s="10" t="n">
        <f aca="false">IF(NOT(ISNUMBER(E82)),0,IF(OR(J82="OLD SOURCE",J82="UNDATED SOURCE"),2,1))</f>
        <v>1</v>
      </c>
      <c r="N82" s="30" t="n">
        <v>35</v>
      </c>
      <c r="O82" s="9" t="s">
        <v>1479</v>
      </c>
    </row>
    <row r="83" customFormat="false" ht="15" hidden="false" customHeight="true" outlineLevel="0" collapsed="false">
      <c r="A83" s="9" t="s">
        <v>1253</v>
      </c>
      <c r="B83" s="9" t="s">
        <v>1723</v>
      </c>
      <c r="C83" s="5"/>
      <c r="D83" s="9" t="s">
        <v>368</v>
      </c>
      <c r="E83" s="13" t="n">
        <f aca="false">IF(INDEX('08 LOCATION RATE LIBRARY'!$D$83:$N$83,MATCH(City,'08 LOCATION RATE LIBRARY'!$D$4:$N$4,0))="","",INDEX('08 LOCATION RATE LIBRARY'!$D$83:$N$83,MATCH(City,'08 LOCATION RATE LIBRARY'!$D$4:$N$4,0)))</f>
        <v>20</v>
      </c>
      <c r="F83" s="29"/>
      <c r="G83" s="29"/>
      <c r="H83" s="10" t="str">
        <f aca="false">City</f>
        <v>Lahore</v>
      </c>
      <c r="I83" s="9" t="s">
        <v>110</v>
      </c>
      <c r="J83" s="9" t="s">
        <v>1648</v>
      </c>
      <c r="K83" s="9" t="s">
        <v>1718</v>
      </c>
      <c r="L83" s="5"/>
      <c r="M83" s="10" t="n">
        <f aca="false">IF(NOT(ISNUMBER(E83)),0,IF(OR(J83="OLD SOURCE",J83="UNDATED SOURCE"),2,1))</f>
        <v>1</v>
      </c>
      <c r="N83" s="30" t="n">
        <v>20</v>
      </c>
      <c r="O83" s="9" t="s">
        <v>1479</v>
      </c>
    </row>
    <row r="84" customFormat="false" ht="15" hidden="false" customHeight="true" outlineLevel="0" collapsed="false">
      <c r="A84" s="9" t="s">
        <v>1254</v>
      </c>
      <c r="B84" s="9" t="s">
        <v>1724</v>
      </c>
      <c r="C84" s="5"/>
      <c r="D84" s="9" t="s">
        <v>368</v>
      </c>
      <c r="E84" s="13" t="n">
        <f aca="false">IF(INDEX('08 LOCATION RATE LIBRARY'!$D$84:$N$84,MATCH(City,'08 LOCATION RATE LIBRARY'!$D$4:$N$4,0))="","",INDEX('08 LOCATION RATE LIBRARY'!$D$84:$N$84,MATCH(City,'08 LOCATION RATE LIBRARY'!$D$4:$N$4,0)))</f>
        <v>47</v>
      </c>
      <c r="F84" s="29"/>
      <c r="G84" s="29"/>
      <c r="H84" s="10" t="str">
        <f aca="false">City</f>
        <v>Lahore</v>
      </c>
      <c r="I84" s="9" t="s">
        <v>110</v>
      </c>
      <c r="J84" s="9" t="s">
        <v>1648</v>
      </c>
      <c r="K84" s="9" t="s">
        <v>1718</v>
      </c>
      <c r="L84" s="5"/>
      <c r="M84" s="10" t="n">
        <f aca="false">IF(NOT(ISNUMBER(E84)),0,IF(OR(J84="OLD SOURCE",J84="UNDATED SOURCE"),2,1))</f>
        <v>1</v>
      </c>
      <c r="N84" s="30" t="n">
        <v>47</v>
      </c>
      <c r="O84" s="9" t="s">
        <v>1479</v>
      </c>
    </row>
    <row r="85" customFormat="false" ht="15" hidden="false" customHeight="true" outlineLevel="0" collapsed="false">
      <c r="A85" s="9" t="s">
        <v>1266</v>
      </c>
      <c r="B85" s="9" t="s">
        <v>1725</v>
      </c>
      <c r="C85" s="5" t="s">
        <v>1726</v>
      </c>
      <c r="D85" s="9" t="s">
        <v>368</v>
      </c>
      <c r="E85" s="13" t="n">
        <f aca="false">IF(INDEX('08 LOCATION RATE LIBRARY'!$D$85:$N$85,MATCH(City,'08 LOCATION RATE LIBRARY'!$D$4:$N$4,0))="","",INDEX('08 LOCATION RATE LIBRARY'!$D$85:$N$85,MATCH(City,'08 LOCATION RATE LIBRARY'!$D$4:$N$4,0)))</f>
        <v>120</v>
      </c>
      <c r="F85" s="29"/>
      <c r="G85" s="29"/>
      <c r="H85" s="10" t="str">
        <f aca="false">City</f>
        <v>Lahore</v>
      </c>
      <c r="I85" s="9" t="s">
        <v>110</v>
      </c>
      <c r="J85" s="9" t="s">
        <v>1648</v>
      </c>
      <c r="K85" s="9" t="s">
        <v>1718</v>
      </c>
      <c r="L85" s="5"/>
      <c r="M85" s="10" t="n">
        <f aca="false">IF(NOT(ISNUMBER(E85)),0,IF(OR(J85="OLD SOURCE",J85="UNDATED SOURCE"),2,1))</f>
        <v>1</v>
      </c>
      <c r="N85" s="30" t="n">
        <v>120</v>
      </c>
      <c r="O85" s="9" t="s">
        <v>1479</v>
      </c>
    </row>
    <row r="86" customFormat="false" ht="15" hidden="false" customHeight="true" outlineLevel="0" collapsed="false">
      <c r="A86" s="9" t="s">
        <v>1276</v>
      </c>
      <c r="B86" s="9" t="s">
        <v>1727</v>
      </c>
      <c r="C86" s="5" t="s">
        <v>1726</v>
      </c>
      <c r="D86" s="9" t="s">
        <v>368</v>
      </c>
      <c r="E86" s="13" t="n">
        <f aca="false">IF(INDEX('08 LOCATION RATE LIBRARY'!$D$86:$N$86,MATCH(City,'08 LOCATION RATE LIBRARY'!$D$4:$N$4,0))="","",INDEX('08 LOCATION RATE LIBRARY'!$D$86:$N$86,MATCH(City,'08 LOCATION RATE LIBRARY'!$D$4:$N$4,0)))</f>
        <v>185</v>
      </c>
      <c r="F86" s="29"/>
      <c r="G86" s="29"/>
      <c r="H86" s="10" t="str">
        <f aca="false">City</f>
        <v>Lahore</v>
      </c>
      <c r="I86" s="9" t="s">
        <v>110</v>
      </c>
      <c r="J86" s="9" t="s">
        <v>1648</v>
      </c>
      <c r="K86" s="9" t="s">
        <v>1718</v>
      </c>
      <c r="L86" s="5"/>
      <c r="M86" s="10" t="n">
        <f aca="false">IF(NOT(ISNUMBER(E86)),0,IF(OR(J86="OLD SOURCE",J86="UNDATED SOURCE"),2,1))</f>
        <v>1</v>
      </c>
      <c r="N86" s="30" t="n">
        <v>185</v>
      </c>
      <c r="O86" s="9" t="s">
        <v>1479</v>
      </c>
    </row>
    <row r="87" customFormat="false" ht="15" hidden="false" customHeight="true" outlineLevel="0" collapsed="false">
      <c r="A87" s="9" t="s">
        <v>1268</v>
      </c>
      <c r="B87" s="9" t="s">
        <v>1728</v>
      </c>
      <c r="C87" s="5" t="s">
        <v>1726</v>
      </c>
      <c r="D87" s="9" t="s">
        <v>368</v>
      </c>
      <c r="E87" s="13" t="n">
        <f aca="false">IF(INDEX('08 LOCATION RATE LIBRARY'!$D$87:$N$87,MATCH(City,'08 LOCATION RATE LIBRARY'!$D$4:$N$4,0))="","",INDEX('08 LOCATION RATE LIBRARY'!$D$87:$N$87,MATCH(City,'08 LOCATION RATE LIBRARY'!$D$4:$N$4,0)))</f>
        <v>72</v>
      </c>
      <c r="F87" s="29"/>
      <c r="G87" s="29"/>
      <c r="H87" s="10" t="str">
        <f aca="false">City</f>
        <v>Lahore</v>
      </c>
      <c r="I87" s="9" t="s">
        <v>110</v>
      </c>
      <c r="J87" s="9" t="s">
        <v>1648</v>
      </c>
      <c r="K87" s="9" t="s">
        <v>1718</v>
      </c>
      <c r="L87" s="5"/>
      <c r="M87" s="10" t="n">
        <f aca="false">IF(NOT(ISNUMBER(E87)),0,IF(OR(J87="OLD SOURCE",J87="UNDATED SOURCE"),2,1))</f>
        <v>1</v>
      </c>
      <c r="N87" s="30" t="n">
        <v>72</v>
      </c>
      <c r="O87" s="9" t="s">
        <v>1479</v>
      </c>
    </row>
    <row r="88" customFormat="false" ht="15" hidden="false" customHeight="true" outlineLevel="0" collapsed="false">
      <c r="A88" s="9" t="s">
        <v>1255</v>
      </c>
      <c r="B88" s="9" t="s">
        <v>1729</v>
      </c>
      <c r="C88" s="5" t="s">
        <v>1730</v>
      </c>
      <c r="D88" s="9" t="s">
        <v>386</v>
      </c>
      <c r="E88" s="13" t="n">
        <f aca="false">IF(INDEX('08 LOCATION RATE LIBRARY'!$D$88:$N$88,MATCH(City,'08 LOCATION RATE LIBRARY'!$D$4:$N$4,0))="","",INDEX('08 LOCATION RATE LIBRARY'!$D$88:$N$88,MATCH(City,'08 LOCATION RATE LIBRARY'!$D$4:$N$4,0)))</f>
        <v>25.56</v>
      </c>
      <c r="F88" s="29"/>
      <c r="G88" s="29"/>
      <c r="H88" s="10" t="str">
        <f aca="false">City</f>
        <v>Lahore</v>
      </c>
      <c r="I88" s="9" t="s">
        <v>110</v>
      </c>
      <c r="J88" s="9" t="s">
        <v>1648</v>
      </c>
      <c r="K88" s="9" t="s">
        <v>1731</v>
      </c>
      <c r="L88" s="5" t="s">
        <v>1732</v>
      </c>
      <c r="M88" s="10" t="n">
        <f aca="false">IF(NOT(ISNUMBER(E88)),0,IF(OR(J88="OLD SOURCE",J88="UNDATED SOURCE"),2,1))</f>
        <v>1</v>
      </c>
      <c r="N88" s="30" t="n">
        <v>25.56</v>
      </c>
      <c r="O88" s="9" t="s">
        <v>1479</v>
      </c>
    </row>
    <row r="89" customFormat="false" ht="15" hidden="false" customHeight="true" outlineLevel="0" collapsed="false">
      <c r="A89" s="9" t="s">
        <v>1259</v>
      </c>
      <c r="B89" s="9" t="s">
        <v>1733</v>
      </c>
      <c r="C89" s="5" t="s">
        <v>1734</v>
      </c>
      <c r="D89" s="9" t="s">
        <v>386</v>
      </c>
      <c r="E89" s="13" t="n">
        <f aca="false">IF(INDEX('08 LOCATION RATE LIBRARY'!$D$89:$N$89,MATCH(City,'08 LOCATION RATE LIBRARY'!$D$4:$N$4,0))="","",INDEX('08 LOCATION RATE LIBRARY'!$D$89:$N$89,MATCH(City,'08 LOCATION RATE LIBRARY'!$D$4:$N$4,0)))</f>
        <v>39.66</v>
      </c>
      <c r="F89" s="29"/>
      <c r="G89" s="29"/>
      <c r="H89" s="10" t="str">
        <f aca="false">City</f>
        <v>Lahore</v>
      </c>
      <c r="I89" s="9" t="s">
        <v>110</v>
      </c>
      <c r="J89" s="9" t="s">
        <v>1648</v>
      </c>
      <c r="K89" s="9" t="s">
        <v>1731</v>
      </c>
      <c r="L89" s="5" t="s">
        <v>1735</v>
      </c>
      <c r="M89" s="10" t="n">
        <f aca="false">IF(NOT(ISNUMBER(E89)),0,IF(OR(J89="OLD SOURCE",J89="UNDATED SOURCE"),2,1))</f>
        <v>1</v>
      </c>
      <c r="N89" s="30" t="n">
        <v>39.66</v>
      </c>
      <c r="O89" s="9" t="s">
        <v>1479</v>
      </c>
    </row>
    <row r="90" customFormat="false" ht="15" hidden="false" customHeight="true" outlineLevel="0" collapsed="false">
      <c r="A90" s="9" t="s">
        <v>1260</v>
      </c>
      <c r="B90" s="9" t="s">
        <v>1736</v>
      </c>
      <c r="C90" s="5" t="s">
        <v>1734</v>
      </c>
      <c r="D90" s="9" t="s">
        <v>386</v>
      </c>
      <c r="E90" s="13" t="n">
        <f aca="false">IF(INDEX('08 LOCATION RATE LIBRARY'!$D$90:$N$90,MATCH(City,'08 LOCATION RATE LIBRARY'!$D$4:$N$4,0))="","",INDEX('08 LOCATION RATE LIBRARY'!$D$90:$N$90,MATCH(City,'08 LOCATION RATE LIBRARY'!$D$4:$N$4,0)))</f>
        <v>63.19</v>
      </c>
      <c r="F90" s="29"/>
      <c r="G90" s="29"/>
      <c r="H90" s="10" t="str">
        <f aca="false">City</f>
        <v>Lahore</v>
      </c>
      <c r="I90" s="9" t="s">
        <v>110</v>
      </c>
      <c r="J90" s="9" t="s">
        <v>1648</v>
      </c>
      <c r="K90" s="9" t="s">
        <v>1731</v>
      </c>
      <c r="L90" s="5" t="s">
        <v>1735</v>
      </c>
      <c r="M90" s="10" t="n">
        <f aca="false">IF(NOT(ISNUMBER(E90)),0,IF(OR(J90="OLD SOURCE",J90="UNDATED SOURCE"),2,1))</f>
        <v>1</v>
      </c>
      <c r="N90" s="30" t="n">
        <v>63.19</v>
      </c>
      <c r="O90" s="9" t="s">
        <v>1479</v>
      </c>
    </row>
    <row r="91" customFormat="false" ht="15" hidden="false" customHeight="true" outlineLevel="0" collapsed="false">
      <c r="A91" s="9" t="s">
        <v>1264</v>
      </c>
      <c r="B91" s="9" t="s">
        <v>1737</v>
      </c>
      <c r="C91" s="5" t="s">
        <v>1738</v>
      </c>
      <c r="D91" s="9" t="s">
        <v>368</v>
      </c>
      <c r="E91" s="13" t="n">
        <f aca="false">IF(INDEX('08 LOCATION RATE LIBRARY'!$D$91:$N$91,MATCH(City,'08 LOCATION RATE LIBRARY'!$D$4:$N$4,0))="","",INDEX('08 LOCATION RATE LIBRARY'!$D$91:$N$91,MATCH(City,'08 LOCATION RATE LIBRARY'!$D$4:$N$4,0)))</f>
        <v>336</v>
      </c>
      <c r="F91" s="29"/>
      <c r="G91" s="29"/>
      <c r="H91" s="10" t="str">
        <f aca="false">City</f>
        <v>Lahore</v>
      </c>
      <c r="I91" s="9" t="s">
        <v>1554</v>
      </c>
      <c r="J91" s="9" t="s">
        <v>1489</v>
      </c>
      <c r="K91" s="9" t="s">
        <v>1490</v>
      </c>
      <c r="L91" s="5" t="s">
        <v>1739</v>
      </c>
      <c r="M91" s="10" t="n">
        <f aca="false">IF(NOT(ISNUMBER(E91)),0,IF(OR(J91="OLD SOURCE",J91="UNDATED SOURCE"),2,1))</f>
        <v>1</v>
      </c>
      <c r="N91" s="30" t="n">
        <v>336</v>
      </c>
      <c r="O91" s="9" t="s">
        <v>1485</v>
      </c>
    </row>
    <row r="92" customFormat="false" ht="21.75" hidden="false" customHeight="true" outlineLevel="0" collapsed="false">
      <c r="A92" s="9" t="s">
        <v>1274</v>
      </c>
      <c r="B92" s="9" t="s">
        <v>1740</v>
      </c>
      <c r="C92" s="5" t="s">
        <v>1738</v>
      </c>
      <c r="D92" s="9" t="s">
        <v>368</v>
      </c>
      <c r="E92" s="13" t="n">
        <f aca="false">IF(INDEX('08 LOCATION RATE LIBRARY'!$D$92:$N$92,MATCH(City,'08 LOCATION RATE LIBRARY'!$D$4:$N$4,0))="","",INDEX('08 LOCATION RATE LIBRARY'!$D$92:$N$92,MATCH(City,'08 LOCATION RATE LIBRARY'!$D$4:$N$4,0)))</f>
        <v>891</v>
      </c>
      <c r="F92" s="29"/>
      <c r="G92" s="29"/>
      <c r="H92" s="10" t="str">
        <f aca="false">City</f>
        <v>Lahore</v>
      </c>
      <c r="I92" s="9" t="s">
        <v>1741</v>
      </c>
      <c r="J92" s="9" t="s">
        <v>1489</v>
      </c>
      <c r="K92" s="9" t="s">
        <v>1490</v>
      </c>
      <c r="L92" s="5" t="s">
        <v>1742</v>
      </c>
      <c r="M92" s="10" t="n">
        <f aca="false">IF(NOT(ISNUMBER(E92)),0,IF(OR(J92="OLD SOURCE",J92="UNDATED SOURCE"),2,1))</f>
        <v>1</v>
      </c>
      <c r="N92" s="30" t="n">
        <v>891</v>
      </c>
      <c r="O92" s="9" t="s">
        <v>1485</v>
      </c>
    </row>
    <row r="93" customFormat="false" ht="21.75" hidden="false" customHeight="true" outlineLevel="0" collapsed="false">
      <c r="A93" s="9" t="s">
        <v>1289</v>
      </c>
      <c r="B93" s="9" t="s">
        <v>1743</v>
      </c>
      <c r="C93" s="5" t="s">
        <v>1744</v>
      </c>
      <c r="D93" s="9" t="s">
        <v>386</v>
      </c>
      <c r="E93" s="13" t="n">
        <f aca="false">IF(INDEX('08 LOCATION RATE LIBRARY'!$D$93:$N$93,MATCH(City,'08 LOCATION RATE LIBRARY'!$D$4:$N$4,0))="","",INDEX('08 LOCATION RATE LIBRARY'!$D$93:$N$93,MATCH(City,'08 LOCATION RATE LIBRARY'!$D$4:$N$4,0)))</f>
        <v>56.41</v>
      </c>
      <c r="F93" s="29"/>
      <c r="G93" s="29"/>
      <c r="H93" s="10" t="str">
        <f aca="false">City</f>
        <v>Lahore</v>
      </c>
      <c r="I93" s="9" t="s">
        <v>1745</v>
      </c>
      <c r="J93" s="9" t="s">
        <v>1489</v>
      </c>
      <c r="K93" s="9" t="s">
        <v>1490</v>
      </c>
      <c r="L93" s="5" t="s">
        <v>1746</v>
      </c>
      <c r="M93" s="10" t="n">
        <f aca="false">IF(NOT(ISNUMBER(E93)),0,IF(OR(J93="OLD SOURCE",J93="UNDATED SOURCE"),2,1))</f>
        <v>1</v>
      </c>
      <c r="N93" s="30" t="n">
        <v>56.41</v>
      </c>
      <c r="O93" s="9" t="s">
        <v>1485</v>
      </c>
    </row>
    <row r="94" customFormat="false" ht="21.75" hidden="false" customHeight="true" outlineLevel="0" collapsed="false">
      <c r="A94" s="9" t="s">
        <v>1295</v>
      </c>
      <c r="B94" s="9" t="s">
        <v>1747</v>
      </c>
      <c r="C94" s="5" t="s">
        <v>1748</v>
      </c>
      <c r="D94" s="9" t="s">
        <v>386</v>
      </c>
      <c r="E94" s="13" t="n">
        <f aca="false">IF(INDEX('08 LOCATION RATE LIBRARY'!$D$94:$N$94,MATCH(City,'08 LOCATION RATE LIBRARY'!$D$4:$N$4,0))="","",INDEX('08 LOCATION RATE LIBRARY'!$D$94:$N$94,MATCH(City,'08 LOCATION RATE LIBRARY'!$D$4:$N$4,0)))</f>
        <v>131</v>
      </c>
      <c r="F94" s="29"/>
      <c r="G94" s="29"/>
      <c r="H94" s="10" t="str">
        <f aca="false">City</f>
        <v>Lahore</v>
      </c>
      <c r="I94" s="9" t="s">
        <v>1749</v>
      </c>
      <c r="J94" s="9" t="s">
        <v>1489</v>
      </c>
      <c r="K94" s="9" t="s">
        <v>1490</v>
      </c>
      <c r="L94" s="5" t="s">
        <v>1750</v>
      </c>
      <c r="M94" s="10" t="n">
        <f aca="false">IF(NOT(ISNUMBER(E94)),0,IF(OR(J94="OLD SOURCE",J94="UNDATED SOURCE"),2,1))</f>
        <v>1</v>
      </c>
      <c r="N94" s="30" t="n">
        <v>131</v>
      </c>
      <c r="O94" s="9" t="s">
        <v>1485</v>
      </c>
    </row>
    <row r="95" customFormat="false" ht="15" hidden="false" customHeight="true" outlineLevel="0" collapsed="false">
      <c r="A95" s="9" t="s">
        <v>1024</v>
      </c>
      <c r="B95" s="9" t="s">
        <v>1751</v>
      </c>
      <c r="C95" s="5" t="s">
        <v>1752</v>
      </c>
      <c r="D95" s="9" t="s">
        <v>109</v>
      </c>
      <c r="E95" s="13" t="n">
        <f aca="false">IF(INDEX('08 LOCATION RATE LIBRARY'!$D$95:$N$95,MATCH(City,'08 LOCATION RATE LIBRARY'!$D$4:$N$4,0))="","",INDEX('08 LOCATION RATE LIBRARY'!$D$95:$N$95,MATCH(City,'08 LOCATION RATE LIBRARY'!$D$4:$N$4,0)))</f>
        <v>52</v>
      </c>
      <c r="F95" s="29" t="n">
        <v>35</v>
      </c>
      <c r="G95" s="29" t="n">
        <v>55</v>
      </c>
      <c r="H95" s="10" t="str">
        <f aca="false">City</f>
        <v>Lahore</v>
      </c>
      <c r="I95" s="9" t="s">
        <v>1753</v>
      </c>
      <c r="J95" s="9" t="s">
        <v>1489</v>
      </c>
      <c r="K95" s="9" t="s">
        <v>1490</v>
      </c>
      <c r="L95" s="5" t="s">
        <v>1754</v>
      </c>
      <c r="M95" s="10" t="n">
        <f aca="false">IF(NOT(ISNUMBER(E95)),0,IF(OR(J95="OLD SOURCE",J95="UNDATED SOURCE"),2,1))</f>
        <v>1</v>
      </c>
      <c r="N95" s="30" t="n">
        <v>52</v>
      </c>
      <c r="O95" s="9" t="s">
        <v>1485</v>
      </c>
    </row>
    <row r="96" customFormat="false" ht="15" hidden="false" customHeight="true" outlineLevel="0" collapsed="false">
      <c r="A96" s="9" t="s">
        <v>1093</v>
      </c>
      <c r="B96" s="9" t="s">
        <v>1755</v>
      </c>
      <c r="C96" s="5" t="s">
        <v>1756</v>
      </c>
      <c r="D96" s="9" t="s">
        <v>212</v>
      </c>
      <c r="E96" s="13" t="n">
        <f aca="false">IF(INDEX('08 LOCATION RATE LIBRARY'!$D$96:$N$96,MATCH(City,'08 LOCATION RATE LIBRARY'!$D$4:$N$4,0))="","",INDEX('08 LOCATION RATE LIBRARY'!$D$96:$N$96,MATCH(City,'08 LOCATION RATE LIBRARY'!$D$4:$N$4,0)))</f>
        <v>150</v>
      </c>
      <c r="F96" s="29" t="n">
        <v>120</v>
      </c>
      <c r="G96" s="29" t="n">
        <v>190</v>
      </c>
      <c r="H96" s="10" t="str">
        <f aca="false">City</f>
        <v>Lahore</v>
      </c>
      <c r="I96" s="9" t="s">
        <v>110</v>
      </c>
      <c r="J96" s="9" t="s">
        <v>1476</v>
      </c>
      <c r="K96" s="9" t="s">
        <v>1757</v>
      </c>
      <c r="L96" s="5"/>
      <c r="M96" s="10" t="n">
        <f aca="false">IF(NOT(ISNUMBER(E96)),0,IF(OR(J96="OLD SOURCE",J96="UNDATED SOURCE"),2,1))</f>
        <v>1</v>
      </c>
      <c r="N96" s="30" t="n">
        <v>150</v>
      </c>
      <c r="O96" s="9" t="s">
        <v>1479</v>
      </c>
    </row>
    <row r="97" customFormat="false" ht="21.75" hidden="false" customHeight="true" outlineLevel="0" collapsed="false">
      <c r="A97" s="9" t="s">
        <v>1029</v>
      </c>
      <c r="B97" s="9" t="s">
        <v>1758</v>
      </c>
      <c r="C97" s="5" t="s">
        <v>1759</v>
      </c>
      <c r="D97" s="9" t="s">
        <v>811</v>
      </c>
      <c r="E97" s="13" t="n">
        <f aca="false">IF(INDEX('08 LOCATION RATE LIBRARY'!$D$97:$N$97,MATCH(City,'08 LOCATION RATE LIBRARY'!$D$4:$N$4,0))="","",INDEX('08 LOCATION RATE LIBRARY'!$D$97:$N$97,MATCH(City,'08 LOCATION RATE LIBRARY'!$D$4:$N$4,0)))</f>
        <v>1500</v>
      </c>
      <c r="F97" s="29"/>
      <c r="G97" s="29"/>
      <c r="H97" s="10" t="str">
        <f aca="false">City</f>
        <v>Lahore</v>
      </c>
      <c r="I97" s="9" t="s">
        <v>1760</v>
      </c>
      <c r="J97" s="9" t="s">
        <v>1489</v>
      </c>
      <c r="K97" s="9" t="s">
        <v>1490</v>
      </c>
      <c r="L97" s="5" t="s">
        <v>1761</v>
      </c>
      <c r="M97" s="10" t="n">
        <f aca="false">IF(NOT(ISNUMBER(E97)),0,IF(OR(J97="OLD SOURCE",J97="UNDATED SOURCE"),2,1))</f>
        <v>1</v>
      </c>
      <c r="N97" s="30" t="n">
        <v>1500</v>
      </c>
      <c r="O97" s="9" t="s">
        <v>1485</v>
      </c>
    </row>
    <row r="98" customFormat="false" ht="21.75" hidden="false" customHeight="true" outlineLevel="0" collapsed="false">
      <c r="A98" s="9" t="s">
        <v>1106</v>
      </c>
      <c r="B98" s="9" t="s">
        <v>1762</v>
      </c>
      <c r="C98" s="5" t="s">
        <v>1763</v>
      </c>
      <c r="D98" s="9" t="s">
        <v>109</v>
      </c>
      <c r="E98" s="13" t="n">
        <f aca="false">IF(INDEX('08 LOCATION RATE LIBRARY'!$D$98:$N$98,MATCH(City,'08 LOCATION RATE LIBRARY'!$D$4:$N$4,0))="","",INDEX('08 LOCATION RATE LIBRARY'!$D$98:$N$98,MATCH(City,'08 LOCATION RATE LIBRARY'!$D$4:$N$4,0)))</f>
        <v>100</v>
      </c>
      <c r="F98" s="29"/>
      <c r="G98" s="29"/>
      <c r="H98" s="10" t="str">
        <f aca="false">City</f>
        <v>Lahore</v>
      </c>
      <c r="I98" s="9" t="s">
        <v>1764</v>
      </c>
      <c r="J98" s="9" t="s">
        <v>1476</v>
      </c>
      <c r="K98" s="9" t="s">
        <v>1765</v>
      </c>
      <c r="L98" s="5" t="s">
        <v>1766</v>
      </c>
      <c r="M98" s="10" t="n">
        <f aca="false">IF(NOT(ISNUMBER(E98)),0,IF(OR(J98="OLD SOURCE",J98="UNDATED SOURCE"),2,1))</f>
        <v>1</v>
      </c>
      <c r="N98" s="30" t="n">
        <v>100</v>
      </c>
      <c r="O98" s="9" t="s">
        <v>1485</v>
      </c>
    </row>
    <row r="99" customFormat="false" ht="32.25" hidden="false" customHeight="true" outlineLevel="0" collapsed="false">
      <c r="A99" s="9" t="s">
        <v>1111</v>
      </c>
      <c r="B99" s="9" t="s">
        <v>1767</v>
      </c>
      <c r="C99" s="5" t="s">
        <v>1768</v>
      </c>
      <c r="D99" s="9" t="s">
        <v>212</v>
      </c>
      <c r="E99" s="13" t="n">
        <f aca="false">IF(INDEX('08 LOCATION RATE LIBRARY'!$D$99:$N$99,MATCH(City,'08 LOCATION RATE LIBRARY'!$D$4:$N$4,0))="","",INDEX('08 LOCATION RATE LIBRARY'!$D$99:$N$99,MATCH(City,'08 LOCATION RATE LIBRARY'!$D$4:$N$4,0)))</f>
        <v>142.31</v>
      </c>
      <c r="F99" s="29"/>
      <c r="G99" s="29"/>
      <c r="H99" s="10" t="str">
        <f aca="false">City</f>
        <v>Lahore</v>
      </c>
      <c r="I99" s="9" t="s">
        <v>1498</v>
      </c>
      <c r="J99" s="9" t="s">
        <v>1769</v>
      </c>
      <c r="K99" s="9" t="s">
        <v>1770</v>
      </c>
      <c r="L99" s="5" t="s">
        <v>1771</v>
      </c>
      <c r="M99" s="10" t="n">
        <f aca="false">IF(NOT(ISNUMBER(E99)),0,IF(OR(J99="OLD SOURCE",J99="UNDATED SOURCE"),2,1))</f>
        <v>1</v>
      </c>
      <c r="N99" s="30" t="n">
        <v>142.31</v>
      </c>
      <c r="O99" s="9" t="s">
        <v>1485</v>
      </c>
    </row>
    <row r="100" customFormat="false" ht="53.25" hidden="false" customHeight="true" outlineLevel="0" collapsed="false">
      <c r="A100" s="9" t="s">
        <v>1099</v>
      </c>
      <c r="B100" s="9" t="s">
        <v>1772</v>
      </c>
      <c r="C100" s="5" t="s">
        <v>1773</v>
      </c>
      <c r="D100" s="9" t="s">
        <v>386</v>
      </c>
      <c r="E100" s="13" t="n">
        <f aca="false">IF(INDEX('08 LOCATION RATE LIBRARY'!$D$100:$N$100,MATCH(City,'08 LOCATION RATE LIBRARY'!$D$4:$N$4,0))="","",INDEX('08 LOCATION RATE LIBRARY'!$D$100:$N$100,MATCH(City,'08 LOCATION RATE LIBRARY'!$D$4:$N$4,0)))</f>
        <v>468.5</v>
      </c>
      <c r="F100" s="29"/>
      <c r="G100" s="29"/>
      <c r="H100" s="10" t="str">
        <f aca="false">City</f>
        <v>Lahore</v>
      </c>
      <c r="I100" s="9" t="s">
        <v>1498</v>
      </c>
      <c r="J100" s="9" t="s">
        <v>1769</v>
      </c>
      <c r="K100" s="9" t="s">
        <v>1770</v>
      </c>
      <c r="L100" s="5" t="s">
        <v>1774</v>
      </c>
      <c r="M100" s="10" t="n">
        <f aca="false">IF(NOT(ISNUMBER(E100)),0,IF(OR(J100="OLD SOURCE",J100="UNDATED SOURCE"),2,1))</f>
        <v>1</v>
      </c>
      <c r="N100" s="30" t="n">
        <v>468.5</v>
      </c>
      <c r="O100" s="9" t="s">
        <v>1485</v>
      </c>
    </row>
    <row r="101" customFormat="false" ht="21.75" hidden="false" customHeight="true" outlineLevel="0" collapsed="false">
      <c r="A101" s="9" t="s">
        <v>1117</v>
      </c>
      <c r="B101" s="9" t="s">
        <v>1775</v>
      </c>
      <c r="C101" s="5" t="s">
        <v>1776</v>
      </c>
      <c r="D101" s="9" t="s">
        <v>368</v>
      </c>
      <c r="E101" s="13" t="n">
        <f aca="false">IF(INDEX('08 LOCATION RATE LIBRARY'!$D$101:$N$101,MATCH(City,'08 LOCATION RATE LIBRARY'!$D$4:$N$4,0))="","",INDEX('08 LOCATION RATE LIBRARY'!$D$101:$N$101,MATCH(City,'08 LOCATION RATE LIBRARY'!$D$4:$N$4,0)))</f>
        <v>6089.85</v>
      </c>
      <c r="F101" s="29"/>
      <c r="G101" s="29"/>
      <c r="H101" s="10" t="str">
        <f aca="false">City</f>
        <v>Lahore</v>
      </c>
      <c r="I101" s="9" t="s">
        <v>1777</v>
      </c>
      <c r="J101" s="9" t="s">
        <v>1769</v>
      </c>
      <c r="K101" s="9" t="s">
        <v>1778</v>
      </c>
      <c r="L101" s="5" t="s">
        <v>1779</v>
      </c>
      <c r="M101" s="10" t="n">
        <f aca="false">IF(NOT(ISNUMBER(E101)),0,IF(OR(J101="OLD SOURCE",J101="UNDATED SOURCE"),2,1))</f>
        <v>1</v>
      </c>
      <c r="N101" s="30" t="n">
        <v>6089.85</v>
      </c>
      <c r="O101" s="9" t="s">
        <v>1485</v>
      </c>
    </row>
    <row r="102" customFormat="false" ht="15" hidden="false" customHeight="true" outlineLevel="0" collapsed="false">
      <c r="A102" s="9" t="s">
        <v>1121</v>
      </c>
      <c r="B102" s="9" t="s">
        <v>1780</v>
      </c>
      <c r="C102" s="5" t="s">
        <v>1781</v>
      </c>
      <c r="D102" s="9" t="s">
        <v>212</v>
      </c>
      <c r="E102" s="13" t="n">
        <f aca="false">IF(INDEX('08 LOCATION RATE LIBRARY'!$D$102:$N$102,MATCH(City,'08 LOCATION RATE LIBRARY'!$D$4:$N$4,0))="","",INDEX('08 LOCATION RATE LIBRARY'!$D$102:$N$102,MATCH(City,'08 LOCATION RATE LIBRARY'!$D$4:$N$4,0)))</f>
        <v>9</v>
      </c>
      <c r="F102" s="29"/>
      <c r="G102" s="29"/>
      <c r="H102" s="10" t="str">
        <f aca="false">City</f>
        <v>Lahore</v>
      </c>
      <c r="I102" s="9" t="s">
        <v>1522</v>
      </c>
      <c r="J102" s="9" t="s">
        <v>1476</v>
      </c>
      <c r="K102" s="9" t="s">
        <v>1562</v>
      </c>
      <c r="L102" s="5" t="s">
        <v>1782</v>
      </c>
      <c r="M102" s="10" t="n">
        <f aca="false">IF(NOT(ISNUMBER(E102)),0,IF(OR(J102="OLD SOURCE",J102="UNDATED SOURCE"),2,1))</f>
        <v>1</v>
      </c>
      <c r="N102" s="30" t="n">
        <v>9</v>
      </c>
      <c r="O102" s="9" t="s">
        <v>1485</v>
      </c>
    </row>
    <row r="103" customFormat="false" ht="32.25" hidden="false" customHeight="true" outlineLevel="0" collapsed="false">
      <c r="A103" s="9" t="s">
        <v>1033</v>
      </c>
      <c r="B103" s="9" t="s">
        <v>1783</v>
      </c>
      <c r="C103" s="5" t="s">
        <v>1784</v>
      </c>
      <c r="D103" s="9" t="s">
        <v>212</v>
      </c>
      <c r="E103" s="13" t="n">
        <f aca="false">IF(INDEX('08 LOCATION RATE LIBRARY'!$D$103:$N$103,MATCH(City,'08 LOCATION RATE LIBRARY'!$D$4:$N$4,0))="","",INDEX('08 LOCATION RATE LIBRARY'!$D$103:$N$103,MATCH(City,'08 LOCATION RATE LIBRARY'!$D$4:$N$4,0)))</f>
        <v>568.55</v>
      </c>
      <c r="F103" s="29"/>
      <c r="G103" s="29"/>
      <c r="H103" s="10" t="str">
        <f aca="false">City</f>
        <v>Lahore</v>
      </c>
      <c r="I103" s="9" t="s">
        <v>1498</v>
      </c>
      <c r="J103" s="9" t="s">
        <v>1769</v>
      </c>
      <c r="K103" s="9" t="s">
        <v>1770</v>
      </c>
      <c r="L103" s="5" t="s">
        <v>1785</v>
      </c>
      <c r="M103" s="10" t="n">
        <f aca="false">IF(NOT(ISNUMBER(E103)),0,IF(OR(J103="OLD SOURCE",J103="UNDATED SOURCE"),2,1))</f>
        <v>1</v>
      </c>
      <c r="N103" s="30" t="n">
        <v>568.55</v>
      </c>
      <c r="O103" s="9" t="s">
        <v>1485</v>
      </c>
    </row>
    <row r="104" customFormat="false" ht="32.25" hidden="false" customHeight="true" outlineLevel="0" collapsed="false">
      <c r="A104" s="9" t="s">
        <v>1035</v>
      </c>
      <c r="B104" s="9" t="s">
        <v>1786</v>
      </c>
      <c r="C104" s="5" t="s">
        <v>1787</v>
      </c>
      <c r="D104" s="9" t="s">
        <v>109</v>
      </c>
      <c r="E104" s="13" t="n">
        <f aca="false">IF(INDEX('08 LOCATION RATE LIBRARY'!$D$104:$N$104,MATCH(City,'08 LOCATION RATE LIBRARY'!$D$4:$N$4,0))="","",INDEX('08 LOCATION RATE LIBRARY'!$D$104:$N$104,MATCH(City,'08 LOCATION RATE LIBRARY'!$D$4:$N$4,0)))</f>
        <v>10304.2</v>
      </c>
      <c r="F104" s="29"/>
      <c r="G104" s="29"/>
      <c r="H104" s="10" t="str">
        <f aca="false">City</f>
        <v>Lahore</v>
      </c>
      <c r="I104" s="9" t="s">
        <v>1498</v>
      </c>
      <c r="J104" s="9" t="s">
        <v>1769</v>
      </c>
      <c r="K104" s="9" t="s">
        <v>1770</v>
      </c>
      <c r="L104" s="5" t="s">
        <v>1788</v>
      </c>
      <c r="M104" s="10" t="n">
        <f aca="false">IF(NOT(ISNUMBER(E104)),0,IF(OR(J104="OLD SOURCE",J104="UNDATED SOURCE"),2,1))</f>
        <v>1</v>
      </c>
      <c r="N104" s="30" t="n">
        <v>10304.2</v>
      </c>
      <c r="O104" s="9" t="s">
        <v>1485</v>
      </c>
    </row>
    <row r="105" customFormat="false" ht="32.25" hidden="false" customHeight="true" outlineLevel="0" collapsed="false">
      <c r="A105" s="9" t="s">
        <v>1037</v>
      </c>
      <c r="B105" s="9" t="s">
        <v>1789</v>
      </c>
      <c r="C105" s="5"/>
      <c r="D105" s="9" t="s">
        <v>368</v>
      </c>
      <c r="E105" s="13" t="n">
        <f aca="false">IF(INDEX('08 LOCATION RATE LIBRARY'!$D$105:$N$105,MATCH(City,'08 LOCATION RATE LIBRARY'!$D$4:$N$4,0))="","",INDEX('08 LOCATION RATE LIBRARY'!$D$105:$N$105,MATCH(City,'08 LOCATION RATE LIBRARY'!$D$4:$N$4,0)))</f>
        <v>974.4</v>
      </c>
      <c r="F105" s="29"/>
      <c r="G105" s="29"/>
      <c r="H105" s="10" t="str">
        <f aca="false">City</f>
        <v>Lahore</v>
      </c>
      <c r="I105" s="9" t="s">
        <v>1498</v>
      </c>
      <c r="J105" s="9" t="s">
        <v>1769</v>
      </c>
      <c r="K105" s="9" t="s">
        <v>1770</v>
      </c>
      <c r="L105" s="5" t="s">
        <v>1790</v>
      </c>
      <c r="M105" s="10" t="n">
        <f aca="false">IF(NOT(ISNUMBER(E105)),0,IF(OR(J105="OLD SOURCE",J105="UNDATED SOURCE"),2,1))</f>
        <v>1</v>
      </c>
      <c r="N105" s="30" t="n">
        <v>974.4</v>
      </c>
      <c r="O105" s="9" t="s">
        <v>1485</v>
      </c>
    </row>
    <row r="106" customFormat="false" ht="32.25" hidden="false" customHeight="true" outlineLevel="0" collapsed="false">
      <c r="A106" s="9" t="s">
        <v>1039</v>
      </c>
      <c r="B106" s="9" t="s">
        <v>1791</v>
      </c>
      <c r="C106" s="5" t="s">
        <v>1792</v>
      </c>
      <c r="D106" s="9" t="s">
        <v>368</v>
      </c>
      <c r="E106" s="13" t="n">
        <f aca="false">IF(INDEX('08 LOCATION RATE LIBRARY'!$D$106:$N$106,MATCH(City,'08 LOCATION RATE LIBRARY'!$D$4:$N$4,0))="","",INDEX('08 LOCATION RATE LIBRARY'!$D$106:$N$106,MATCH(City,'08 LOCATION RATE LIBRARY'!$D$4:$N$4,0)))</f>
        <v>2742</v>
      </c>
      <c r="F106" s="29"/>
      <c r="G106" s="29"/>
      <c r="H106" s="10" t="str">
        <f aca="false">City</f>
        <v>Lahore</v>
      </c>
      <c r="I106" s="9" t="s">
        <v>1498</v>
      </c>
      <c r="J106" s="9" t="s">
        <v>1769</v>
      </c>
      <c r="K106" s="9" t="s">
        <v>1770</v>
      </c>
      <c r="L106" s="5" t="s">
        <v>1793</v>
      </c>
      <c r="M106" s="10" t="n">
        <f aca="false">IF(NOT(ISNUMBER(E106)),0,IF(OR(J106="OLD SOURCE",J106="UNDATED SOURCE"),2,1))</f>
        <v>1</v>
      </c>
      <c r="N106" s="30" t="n">
        <v>2742</v>
      </c>
      <c r="O106" s="9" t="s">
        <v>1485</v>
      </c>
    </row>
    <row r="107" customFormat="false" ht="21.75" hidden="false" customHeight="true" outlineLevel="0" collapsed="false">
      <c r="A107" s="9" t="s">
        <v>1041</v>
      </c>
      <c r="B107" s="9" t="s">
        <v>1794</v>
      </c>
      <c r="C107" s="5"/>
      <c r="D107" s="9" t="s">
        <v>368</v>
      </c>
      <c r="E107" s="13" t="n">
        <f aca="false">IF(INDEX('08 LOCATION RATE LIBRARY'!$D$107:$N$107,MATCH(City,'08 LOCATION RATE LIBRARY'!$D$4:$N$4,0))="","",INDEX('08 LOCATION RATE LIBRARY'!$D$107:$N$107,MATCH(City,'08 LOCATION RATE LIBRARY'!$D$4:$N$4,0)))</f>
        <v>900</v>
      </c>
      <c r="F107" s="29"/>
      <c r="G107" s="29"/>
      <c r="H107" s="10" t="str">
        <f aca="false">City</f>
        <v>Lahore</v>
      </c>
      <c r="I107" s="9" t="s">
        <v>1498</v>
      </c>
      <c r="J107" s="9" t="s">
        <v>1769</v>
      </c>
      <c r="K107" s="9" t="s">
        <v>1770</v>
      </c>
      <c r="L107" s="5" t="s">
        <v>1795</v>
      </c>
      <c r="M107" s="10" t="n">
        <f aca="false">IF(NOT(ISNUMBER(E107)),0,IF(OR(J107="OLD SOURCE",J107="UNDATED SOURCE"),2,1))</f>
        <v>1</v>
      </c>
      <c r="N107" s="30" t="n">
        <v>900</v>
      </c>
      <c r="O107" s="9" t="s">
        <v>1485</v>
      </c>
    </row>
    <row r="108" customFormat="false" ht="21.75" hidden="false" customHeight="true" outlineLevel="0" collapsed="false">
      <c r="A108" s="9" t="s">
        <v>1043</v>
      </c>
      <c r="B108" s="9" t="s">
        <v>1796</v>
      </c>
      <c r="C108" s="5" t="s">
        <v>1797</v>
      </c>
      <c r="D108" s="9" t="s">
        <v>212</v>
      </c>
      <c r="E108" s="13" t="n">
        <f aca="false">IF(INDEX('08 LOCATION RATE LIBRARY'!$D$108:$N$108,MATCH(City,'08 LOCATION RATE LIBRARY'!$D$4:$N$4,0))="","",INDEX('08 LOCATION RATE LIBRARY'!$D$108:$N$108,MATCH(City,'08 LOCATION RATE LIBRARY'!$D$4:$N$4,0)))</f>
        <v>120</v>
      </c>
      <c r="F108" s="29"/>
      <c r="G108" s="29"/>
      <c r="H108" s="10" t="str">
        <f aca="false">City</f>
        <v>Lahore</v>
      </c>
      <c r="I108" s="9" t="s">
        <v>110</v>
      </c>
      <c r="J108" s="10" t="str">
        <f aca="false">IF(ISNUMBER('16 VENDOR ENQUIRY (RFQ)'!H23),"Vendor quote","ASSUMED")</f>
        <v>ASSUMED</v>
      </c>
      <c r="K108" s="9" t="s">
        <v>1562</v>
      </c>
      <c r="L108" s="5" t="s">
        <v>1798</v>
      </c>
      <c r="M108" s="10" t="n">
        <f aca="false">IF(NOT(ISNUMBER(E108)),0,IF(OR(J108="OLD SOURCE",J108="UNDATED SOURCE"),2,1))</f>
        <v>1</v>
      </c>
      <c r="N108" s="31" t="n">
        <f aca="false">IF(ISNUMBER('16 VENDOR ENQUIRY (RFQ)'!H23),'16 VENDOR ENQUIRY (RFQ)'!H23,120)</f>
        <v>120</v>
      </c>
      <c r="O108" s="9" t="s">
        <v>1485</v>
      </c>
    </row>
    <row r="109" customFormat="false" ht="32.25" hidden="false" customHeight="true" outlineLevel="0" collapsed="false">
      <c r="A109" s="9" t="s">
        <v>1049</v>
      </c>
      <c r="B109" s="9" t="s">
        <v>1799</v>
      </c>
      <c r="C109" s="5" t="s">
        <v>1800</v>
      </c>
      <c r="D109" s="9" t="s">
        <v>368</v>
      </c>
      <c r="E109" s="13" t="n">
        <f aca="false">IF(INDEX('08 LOCATION RATE LIBRARY'!$D$109:$N$109,MATCH(City,'08 LOCATION RATE LIBRARY'!$D$4:$N$4,0))="","",INDEX('08 LOCATION RATE LIBRARY'!$D$109:$N$109,MATCH(City,'08 LOCATION RATE LIBRARY'!$D$4:$N$4,0)))</f>
        <v>59000</v>
      </c>
      <c r="F109" s="29"/>
      <c r="G109" s="29"/>
      <c r="H109" s="10" t="str">
        <f aca="false">City</f>
        <v>Lahore</v>
      </c>
      <c r="I109" s="9" t="s">
        <v>1522</v>
      </c>
      <c r="J109" s="10" t="str">
        <f aca="false">IF(ISNUMBER('16 VENDOR ENQUIRY (RFQ)'!H21),"Vendor quote","ASSUMED")</f>
        <v>ASSUMED</v>
      </c>
      <c r="K109" s="9" t="s">
        <v>1562</v>
      </c>
      <c r="L109" s="5" t="s">
        <v>1801</v>
      </c>
      <c r="M109" s="10" t="n">
        <f aca="false">IF(NOT(ISNUMBER(E109)),0,IF(OR(J109="OLD SOURCE",J109="UNDATED SOURCE"),2,1))</f>
        <v>1</v>
      </c>
      <c r="N109" s="31" t="n">
        <f aca="false">IF(ISNUMBER('16 VENDOR ENQUIRY (RFQ)'!H21),'16 VENDOR ENQUIRY (RFQ)'!H21,59000)</f>
        <v>59000</v>
      </c>
      <c r="O109" s="9" t="s">
        <v>1485</v>
      </c>
    </row>
    <row r="110" customFormat="false" ht="32.25" hidden="false" customHeight="true" outlineLevel="0" collapsed="false">
      <c r="A110" s="9" t="s">
        <v>1053</v>
      </c>
      <c r="B110" s="9" t="s">
        <v>1802</v>
      </c>
      <c r="C110" s="5" t="s">
        <v>1803</v>
      </c>
      <c r="D110" s="9" t="s">
        <v>212</v>
      </c>
      <c r="E110" s="13" t="n">
        <f aca="false">IF(INDEX('08 LOCATION RATE LIBRARY'!$D$110:$N$110,MATCH(City,'08 LOCATION RATE LIBRARY'!$D$4:$N$4,0))="","",INDEX('08 LOCATION RATE LIBRARY'!$D$110:$N$110,MATCH(City,'08 LOCATION RATE LIBRARY'!$D$4:$N$4,0)))</f>
        <v>1400</v>
      </c>
      <c r="F110" s="29"/>
      <c r="G110" s="29"/>
      <c r="H110" s="10" t="str">
        <f aca="false">City</f>
        <v>Lahore</v>
      </c>
      <c r="I110" s="9" t="s">
        <v>1522</v>
      </c>
      <c r="J110" s="10" t="str">
        <f aca="false">IF(ISNUMBER('16 VENDOR ENQUIRY (RFQ)'!H27),"Vendor quote","ASSUMED")</f>
        <v>ASSUMED</v>
      </c>
      <c r="K110" s="9" t="s">
        <v>1562</v>
      </c>
      <c r="L110" s="5" t="s">
        <v>1804</v>
      </c>
      <c r="M110" s="10" t="n">
        <f aca="false">IF(NOT(ISNUMBER(E110)),0,IF(OR(J110="OLD SOURCE",J110="UNDATED SOURCE"),2,1))</f>
        <v>1</v>
      </c>
      <c r="N110" s="31" t="n">
        <f aca="false">IF(ISNUMBER('16 VENDOR ENQUIRY (RFQ)'!H27),'16 VENDOR ENQUIRY (RFQ)'!H27,1400)</f>
        <v>1400</v>
      </c>
      <c r="O110" s="9" t="s">
        <v>1485</v>
      </c>
    </row>
    <row r="111" customFormat="false" ht="32.25" hidden="false" customHeight="true" outlineLevel="0" collapsed="false">
      <c r="A111" s="9" t="s">
        <v>1060</v>
      </c>
      <c r="B111" s="9" t="s">
        <v>1805</v>
      </c>
      <c r="C111" s="5" t="s">
        <v>1806</v>
      </c>
      <c r="D111" s="9" t="s">
        <v>212</v>
      </c>
      <c r="E111" s="13" t="n">
        <f aca="false">IF(INDEX('08 LOCATION RATE LIBRARY'!$D$111:$N$111,MATCH(City,'08 LOCATION RATE LIBRARY'!$D$4:$N$4,0))="","",INDEX('08 LOCATION RATE LIBRARY'!$D$111:$N$111,MATCH(City,'08 LOCATION RATE LIBRARY'!$D$4:$N$4,0)))</f>
        <v>2850</v>
      </c>
      <c r="F111" s="29"/>
      <c r="G111" s="29"/>
      <c r="H111" s="10" t="str">
        <f aca="false">City</f>
        <v>Lahore</v>
      </c>
      <c r="I111" s="9" t="s">
        <v>1522</v>
      </c>
      <c r="J111" s="9" t="s">
        <v>1476</v>
      </c>
      <c r="K111" s="9" t="s">
        <v>1562</v>
      </c>
      <c r="L111" s="5" t="s">
        <v>1807</v>
      </c>
      <c r="M111" s="10" t="n">
        <f aca="false">IF(NOT(ISNUMBER(E111)),0,IF(OR(J111="OLD SOURCE",J111="UNDATED SOURCE"),2,1))</f>
        <v>1</v>
      </c>
      <c r="N111" s="30" t="n">
        <v>2850</v>
      </c>
      <c r="O111" s="9" t="s">
        <v>1485</v>
      </c>
    </row>
    <row r="112" customFormat="false" ht="15" hidden="false" customHeight="true" outlineLevel="0" collapsed="false">
      <c r="A112" s="9" t="s">
        <v>1055</v>
      </c>
      <c r="B112" s="9" t="s">
        <v>1808</v>
      </c>
      <c r="C112" s="5" t="s">
        <v>1809</v>
      </c>
      <c r="D112" s="9" t="s">
        <v>368</v>
      </c>
      <c r="E112" s="13" t="n">
        <f aca="false">IF(INDEX('08 LOCATION RATE LIBRARY'!$D$112:$N$112,MATCH(City,'08 LOCATION RATE LIBRARY'!$D$4:$N$4,0))="","",INDEX('08 LOCATION RATE LIBRARY'!$D$112:$N$112,MATCH(City,'08 LOCATION RATE LIBRARY'!$D$4:$N$4,0)))</f>
        <v>445</v>
      </c>
      <c r="F112" s="29"/>
      <c r="G112" s="29"/>
      <c r="H112" s="10" t="str">
        <f aca="false">City</f>
        <v>Lahore</v>
      </c>
      <c r="I112" s="9" t="s">
        <v>1810</v>
      </c>
      <c r="J112" s="9" t="s">
        <v>1489</v>
      </c>
      <c r="K112" s="9" t="s">
        <v>1490</v>
      </c>
      <c r="L112" s="5" t="s">
        <v>1811</v>
      </c>
      <c r="M112" s="10" t="n">
        <f aca="false">IF(NOT(ISNUMBER(E112)),0,IF(OR(J112="OLD SOURCE",J112="UNDATED SOURCE"),2,1))</f>
        <v>1</v>
      </c>
      <c r="N112" s="30" t="n">
        <v>445</v>
      </c>
      <c r="O112" s="9" t="s">
        <v>1485</v>
      </c>
    </row>
    <row r="113" customFormat="false" ht="15" hidden="false" customHeight="true" outlineLevel="0" collapsed="false">
      <c r="A113" s="9" t="s">
        <v>1062</v>
      </c>
      <c r="B113" s="9" t="s">
        <v>1812</v>
      </c>
      <c r="C113" s="5" t="s">
        <v>1813</v>
      </c>
      <c r="D113" s="9" t="s">
        <v>900</v>
      </c>
      <c r="E113" s="13" t="n">
        <f aca="false">IF(INDEX('08 LOCATION RATE LIBRARY'!$D$113:$N$113,MATCH(City,'08 LOCATION RATE LIBRARY'!$D$4:$N$4,0))="","",INDEX('08 LOCATION RATE LIBRARY'!$D$113:$N$113,MATCH(City,'08 LOCATION RATE LIBRARY'!$D$4:$N$4,0)))</f>
        <v>11000</v>
      </c>
      <c r="F113" s="29"/>
      <c r="G113" s="29"/>
      <c r="H113" s="10" t="str">
        <f aca="false">City</f>
        <v>Lahore</v>
      </c>
      <c r="I113" s="9" t="s">
        <v>110</v>
      </c>
      <c r="J113" s="10" t="str">
        <f aca="false">IF(ISNUMBER('16 VENDOR ENQUIRY (RFQ)'!H22),"Vendor quote","ASSUMED")</f>
        <v>ASSUMED</v>
      </c>
      <c r="K113" s="9" t="s">
        <v>1494</v>
      </c>
      <c r="L113" s="5" t="s">
        <v>1814</v>
      </c>
      <c r="M113" s="10" t="n">
        <f aca="false">IF(NOT(ISNUMBER(E113)),0,IF(OR(J113="OLD SOURCE",J113="UNDATED SOURCE"),2,1))</f>
        <v>1</v>
      </c>
      <c r="N113" s="31" t="n">
        <f aca="false">IF(ISNUMBER('16 VENDOR ENQUIRY (RFQ)'!H22),'16 VENDOR ENQUIRY (RFQ)'!H22,11000)</f>
        <v>11000</v>
      </c>
      <c r="O113" s="9" t="s">
        <v>1485</v>
      </c>
    </row>
    <row r="114" customFormat="false" ht="32.25" hidden="false" customHeight="true" outlineLevel="0" collapsed="false">
      <c r="A114" s="9" t="s">
        <v>1064</v>
      </c>
      <c r="B114" s="9" t="s">
        <v>1815</v>
      </c>
      <c r="C114" s="5" t="s">
        <v>1816</v>
      </c>
      <c r="D114" s="9" t="s">
        <v>1066</v>
      </c>
      <c r="E114" s="13" t="n">
        <f aca="false">IF(INDEX('08 LOCATION RATE LIBRARY'!$D$114:$N$114,MATCH(City,'08 LOCATION RATE LIBRARY'!$D$4:$N$4,0))="","",INDEX('08 LOCATION RATE LIBRARY'!$D$114:$N$114,MATCH(City,'08 LOCATION RATE LIBRARY'!$D$4:$N$4,0)))</f>
        <v>546</v>
      </c>
      <c r="F114" s="29"/>
      <c r="G114" s="29"/>
      <c r="H114" s="10" t="str">
        <f aca="false">City</f>
        <v>Lahore</v>
      </c>
      <c r="I114" s="9" t="s">
        <v>1498</v>
      </c>
      <c r="J114" s="10" t="str">
        <f aca="false">IF(ISNUMBER('16 VENDOR ENQUIRY (RFQ)'!H20),"Vendor quote","ASSUMED")</f>
        <v>ASSUMED</v>
      </c>
      <c r="K114" s="9" t="s">
        <v>1770</v>
      </c>
      <c r="L114" s="5" t="s">
        <v>1817</v>
      </c>
      <c r="M114" s="10" t="n">
        <f aca="false">IF(NOT(ISNUMBER(E114)),0,IF(OR(J114="OLD SOURCE",J114="UNDATED SOURCE"),2,1))</f>
        <v>1</v>
      </c>
      <c r="N114" s="31" t="n">
        <f aca="false">IF(ISNUMBER('16 VENDOR ENQUIRY (RFQ)'!H20),'16 VENDOR ENQUIRY (RFQ)'!H20,546)</f>
        <v>546</v>
      </c>
      <c r="O114" s="9" t="s">
        <v>1485</v>
      </c>
    </row>
    <row r="115" customFormat="false" ht="21.75" hidden="false" customHeight="true" outlineLevel="0" collapsed="false">
      <c r="A115" s="9" t="s">
        <v>1070</v>
      </c>
      <c r="B115" s="9" t="s">
        <v>1818</v>
      </c>
      <c r="C115" s="5" t="s">
        <v>1819</v>
      </c>
      <c r="D115" s="9" t="s">
        <v>212</v>
      </c>
      <c r="E115" s="13" t="n">
        <f aca="false">IF(INDEX('08 LOCATION RATE LIBRARY'!$D$115:$N$115,MATCH(City,'08 LOCATION RATE LIBRARY'!$D$4:$N$4,0))="","",INDEX('08 LOCATION RATE LIBRARY'!$D$115:$N$115,MATCH(City,'08 LOCATION RATE LIBRARY'!$D$4:$N$4,0)))</f>
        <v>4500</v>
      </c>
      <c r="F115" s="29"/>
      <c r="G115" s="29"/>
      <c r="H115" s="10" t="str">
        <f aca="false">City</f>
        <v>Lahore</v>
      </c>
      <c r="I115" s="9" t="s">
        <v>110</v>
      </c>
      <c r="J115" s="10" t="str">
        <f aca="false">IF(ISNUMBER('16 VENDOR ENQUIRY (RFQ)'!H29),"Vendor quote","ASSUMED")</f>
        <v>ASSUMED</v>
      </c>
      <c r="K115" s="9" t="s">
        <v>1562</v>
      </c>
      <c r="L115" s="5" t="s">
        <v>1820</v>
      </c>
      <c r="M115" s="10" t="n">
        <f aca="false">IF(NOT(ISNUMBER(E115)),0,IF(OR(J115="OLD SOURCE",J115="UNDATED SOURCE"),2,1))</f>
        <v>1</v>
      </c>
      <c r="N115" s="31" t="n">
        <f aca="false">IF(ISNUMBER('16 VENDOR ENQUIRY (RFQ)'!H29),'16 VENDOR ENQUIRY (RFQ)'!H29,4500)</f>
        <v>4500</v>
      </c>
      <c r="O115" s="9" t="s">
        <v>1485</v>
      </c>
    </row>
    <row r="116" customFormat="false" ht="15" hidden="false" customHeight="true" outlineLevel="0" collapsed="false">
      <c r="A116" s="9" t="s">
        <v>1076</v>
      </c>
      <c r="B116" s="9" t="s">
        <v>1821</v>
      </c>
      <c r="C116" s="5" t="s">
        <v>1822</v>
      </c>
      <c r="D116" s="9" t="s">
        <v>212</v>
      </c>
      <c r="E116" s="13" t="n">
        <f aca="false">IF(INDEX('08 LOCATION RATE LIBRARY'!$D$116:$N$116,MATCH(City,'08 LOCATION RATE LIBRARY'!$D$4:$N$4,0))="","",INDEX('08 LOCATION RATE LIBRARY'!$D$116:$N$116,MATCH(City,'08 LOCATION RATE LIBRARY'!$D$4:$N$4,0)))</f>
        <v>500</v>
      </c>
      <c r="F116" s="29"/>
      <c r="G116" s="29"/>
      <c r="H116" s="10" t="str">
        <f aca="false">City</f>
        <v>Lahore</v>
      </c>
      <c r="I116" s="9" t="s">
        <v>110</v>
      </c>
      <c r="J116" s="10" t="str">
        <f aca="false">IF(ISNUMBER('16 VENDOR ENQUIRY (RFQ)'!H25),"Vendor quote","ASSUMED")</f>
        <v>ASSUMED</v>
      </c>
      <c r="K116" s="9" t="s">
        <v>1494</v>
      </c>
      <c r="L116" s="5" t="s">
        <v>1823</v>
      </c>
      <c r="M116" s="10" t="n">
        <f aca="false">IF(NOT(ISNUMBER(E116)),0,IF(OR(J116="OLD SOURCE",J116="UNDATED SOURCE"),2,1))</f>
        <v>1</v>
      </c>
      <c r="N116" s="31" t="n">
        <f aca="false">IF(ISNUMBER('16 VENDOR ENQUIRY (RFQ)'!H25),'16 VENDOR ENQUIRY (RFQ)'!H25,500)</f>
        <v>500</v>
      </c>
      <c r="O116" s="9" t="s">
        <v>1485</v>
      </c>
    </row>
    <row r="117" customFormat="false" ht="15" hidden="false" customHeight="true" outlineLevel="0" collapsed="false">
      <c r="A117" s="9" t="s">
        <v>1078</v>
      </c>
      <c r="B117" s="9" t="s">
        <v>1824</v>
      </c>
      <c r="C117" s="5"/>
      <c r="D117" s="9" t="s">
        <v>198</v>
      </c>
      <c r="E117" s="13" t="n">
        <f aca="false">IF(INDEX('08 LOCATION RATE LIBRARY'!$D$117:$N$117,MATCH(City,'08 LOCATION RATE LIBRARY'!$D$4:$N$4,0))="","",INDEX('08 LOCATION RATE LIBRARY'!$D$117:$N$117,MATCH(City,'08 LOCATION RATE LIBRARY'!$D$4:$N$4,0)))</f>
        <v>1300</v>
      </c>
      <c r="F117" s="29"/>
      <c r="G117" s="29"/>
      <c r="H117" s="10" t="str">
        <f aca="false">City</f>
        <v>Lahore</v>
      </c>
      <c r="I117" s="9" t="s">
        <v>110</v>
      </c>
      <c r="J117" s="10" t="str">
        <f aca="false">IF(ISNUMBER('16 VENDOR ENQUIRY (RFQ)'!H26),"Vendor quote","ASSUMED")</f>
        <v>ASSUMED</v>
      </c>
      <c r="K117" s="9" t="s">
        <v>1494</v>
      </c>
      <c r="L117" s="5" t="s">
        <v>1825</v>
      </c>
      <c r="M117" s="10" t="n">
        <f aca="false">IF(NOT(ISNUMBER(E117)),0,IF(OR(J117="OLD SOURCE",J117="UNDATED SOURCE"),2,1))</f>
        <v>1</v>
      </c>
      <c r="N117" s="31" t="n">
        <f aca="false">IF(ISNUMBER('16 VENDOR ENQUIRY (RFQ)'!H26),'16 VENDOR ENQUIRY (RFQ)'!H26,1300)</f>
        <v>1300</v>
      </c>
      <c r="O117" s="9" t="s">
        <v>1485</v>
      </c>
    </row>
    <row r="118" customFormat="false" ht="15" hidden="false" customHeight="true" outlineLevel="0" collapsed="false">
      <c r="A118" s="9" t="s">
        <v>1080</v>
      </c>
      <c r="B118" s="9" t="s">
        <v>1826</v>
      </c>
      <c r="C118" s="5" t="s">
        <v>1827</v>
      </c>
      <c r="D118" s="9" t="s">
        <v>368</v>
      </c>
      <c r="E118" s="13" t="n">
        <f aca="false">IF(INDEX('08 LOCATION RATE LIBRARY'!$D$118:$N$118,MATCH(City,'08 LOCATION RATE LIBRARY'!$D$4:$N$4,0))="","",INDEX('08 LOCATION RATE LIBRARY'!$D$118:$N$118,MATCH(City,'08 LOCATION RATE LIBRARY'!$D$4:$N$4,0)))</f>
        <v>350</v>
      </c>
      <c r="F118" s="29"/>
      <c r="G118" s="29"/>
      <c r="H118" s="10" t="str">
        <f aca="false">City</f>
        <v>Lahore</v>
      </c>
      <c r="I118" s="9" t="s">
        <v>110</v>
      </c>
      <c r="J118" s="10" t="str">
        <f aca="false">IF(ISNUMBER('16 VENDOR ENQUIRY (RFQ)'!H28),"Vendor quote","ASSUMED")</f>
        <v>ASSUMED</v>
      </c>
      <c r="K118" s="9" t="s">
        <v>1494</v>
      </c>
      <c r="L118" s="5" t="s">
        <v>1828</v>
      </c>
      <c r="M118" s="10" t="n">
        <f aca="false">IF(NOT(ISNUMBER(E118)),0,IF(OR(J118="OLD SOURCE",J118="UNDATED SOURCE"),2,1))</f>
        <v>1</v>
      </c>
      <c r="N118" s="31" t="n">
        <f aca="false">IF(ISNUMBER('16 VENDOR ENQUIRY (RFQ)'!H28),'16 VENDOR ENQUIRY (RFQ)'!H28,350)</f>
        <v>350</v>
      </c>
      <c r="O118" s="9" t="s">
        <v>1485</v>
      </c>
    </row>
    <row r="119" customFormat="false" ht="32.25" hidden="false" customHeight="true" outlineLevel="0" collapsed="false">
      <c r="A119" s="9" t="s">
        <v>1086</v>
      </c>
      <c r="B119" s="9" t="s">
        <v>1829</v>
      </c>
      <c r="C119" s="5" t="s">
        <v>1830</v>
      </c>
      <c r="D119" s="9" t="s">
        <v>212</v>
      </c>
      <c r="E119" s="13" t="n">
        <f aca="false">IF(INDEX('08 LOCATION RATE LIBRARY'!$D$119:$N$119,MATCH(City,'08 LOCATION RATE LIBRARY'!$D$4:$N$4,0))="","",INDEX('08 LOCATION RATE LIBRARY'!$D$119:$N$119,MATCH(City,'08 LOCATION RATE LIBRARY'!$D$4:$N$4,0)))</f>
        <v>1055.2</v>
      </c>
      <c r="F119" s="29"/>
      <c r="G119" s="29"/>
      <c r="H119" s="10" t="str">
        <f aca="false">City</f>
        <v>Lahore</v>
      </c>
      <c r="I119" s="9" t="s">
        <v>1498</v>
      </c>
      <c r="J119" s="10" t="str">
        <f aca="false">IF(ISNUMBER('16 VENDOR ENQUIRY (RFQ)'!H31),"Vendor quote","ASSUMED")</f>
        <v>ASSUMED</v>
      </c>
      <c r="K119" s="9" t="s">
        <v>1770</v>
      </c>
      <c r="L119" s="5" t="s">
        <v>1831</v>
      </c>
      <c r="M119" s="10" t="n">
        <f aca="false">IF(NOT(ISNUMBER(E119)),0,IF(OR(J119="OLD SOURCE",J119="UNDATED SOURCE"),2,1))</f>
        <v>1</v>
      </c>
      <c r="N119" s="31" t="n">
        <f aca="false">IF(ISNUMBER('16 VENDOR ENQUIRY (RFQ)'!H31),'16 VENDOR ENQUIRY (RFQ)'!H31,1055.2)</f>
        <v>1055.2</v>
      </c>
      <c r="O119" s="9" t="s">
        <v>1485</v>
      </c>
    </row>
    <row r="120" customFormat="false" ht="15" hidden="false" customHeight="true" outlineLevel="0" collapsed="false">
      <c r="A120" s="9" t="s">
        <v>1088</v>
      </c>
      <c r="B120" s="9" t="s">
        <v>1832</v>
      </c>
      <c r="C120" s="5"/>
      <c r="D120" s="9" t="s">
        <v>368</v>
      </c>
      <c r="E120" s="13" t="n">
        <f aca="false">IF(INDEX('08 LOCATION RATE LIBRARY'!$D$120:$N$120,MATCH(City,'08 LOCATION RATE LIBRARY'!$D$4:$N$4,0))="","",INDEX('08 LOCATION RATE LIBRARY'!$D$120:$N$120,MATCH(City,'08 LOCATION RATE LIBRARY'!$D$4:$N$4,0)))</f>
        <v>450</v>
      </c>
      <c r="F120" s="29"/>
      <c r="G120" s="29"/>
      <c r="H120" s="10" t="str">
        <f aca="false">City</f>
        <v>Lahore</v>
      </c>
      <c r="I120" s="9" t="s">
        <v>110</v>
      </c>
      <c r="J120" s="10" t="str">
        <f aca="false">IF(ISNUMBER('16 VENDOR ENQUIRY (RFQ)'!H32),"Vendor quote","ASSUMED")</f>
        <v>ASSUMED</v>
      </c>
      <c r="K120" s="9" t="s">
        <v>1494</v>
      </c>
      <c r="L120" s="5" t="s">
        <v>1833</v>
      </c>
      <c r="M120" s="10" t="n">
        <f aca="false">IF(NOT(ISNUMBER(E120)),0,IF(OR(J120="OLD SOURCE",J120="UNDATED SOURCE"),2,1))</f>
        <v>1</v>
      </c>
      <c r="N120" s="31" t="n">
        <f aca="false">IF(ISNUMBER('16 VENDOR ENQUIRY (RFQ)'!H32),'16 VENDOR ENQUIRY (RFQ)'!H32,450)</f>
        <v>450</v>
      </c>
      <c r="O120" s="9" t="s">
        <v>1485</v>
      </c>
    </row>
    <row r="121" customFormat="false" ht="15" hidden="false" customHeight="true" outlineLevel="0" collapsed="false">
      <c r="A121" s="9" t="s">
        <v>1072</v>
      </c>
      <c r="B121" s="9" t="s">
        <v>1834</v>
      </c>
      <c r="C121" s="5"/>
      <c r="D121" s="9" t="s">
        <v>386</v>
      </c>
      <c r="E121" s="13" t="n">
        <f aca="false">IF(INDEX('08 LOCATION RATE LIBRARY'!$D$121:$N$121,MATCH(City,'08 LOCATION RATE LIBRARY'!$D$4:$N$4,0))="","",INDEX('08 LOCATION RATE LIBRARY'!$D$121:$N$121,MATCH(City,'08 LOCATION RATE LIBRARY'!$D$4:$N$4,0)))</f>
        <v>350</v>
      </c>
      <c r="F121" s="29"/>
      <c r="G121" s="29"/>
      <c r="H121" s="10" t="str">
        <f aca="false">City</f>
        <v>Lahore</v>
      </c>
      <c r="I121" s="9" t="s">
        <v>110</v>
      </c>
      <c r="J121" s="10" t="str">
        <f aca="false">IF(ISNUMBER('16 VENDOR ENQUIRY (RFQ)'!H30),"Vendor quote","ASSUMED")</f>
        <v>ASSUMED</v>
      </c>
      <c r="K121" s="9" t="s">
        <v>1494</v>
      </c>
      <c r="L121" s="5" t="s">
        <v>1835</v>
      </c>
      <c r="M121" s="10" t="n">
        <f aca="false">IF(NOT(ISNUMBER(E121)),0,IF(OR(J121="OLD SOURCE",J121="UNDATED SOURCE"),2,1))</f>
        <v>1</v>
      </c>
      <c r="N121" s="31" t="n">
        <f aca="false">IF(ISNUMBER('16 VENDOR ENQUIRY (RFQ)'!H30),'16 VENDOR ENQUIRY (RFQ)'!H30,350)</f>
        <v>350</v>
      </c>
      <c r="O121" s="9" t="s">
        <v>1485</v>
      </c>
    </row>
    <row r="122" customFormat="false" ht="32.25" hidden="false" customHeight="true" outlineLevel="0" collapsed="false">
      <c r="A122" s="9" t="s">
        <v>1205</v>
      </c>
      <c r="B122" s="9" t="s">
        <v>1836</v>
      </c>
      <c r="C122" s="5" t="s">
        <v>1738</v>
      </c>
      <c r="D122" s="9" t="s">
        <v>368</v>
      </c>
      <c r="E122" s="13" t="n">
        <f aca="false">IF(INDEX('08 LOCATION RATE LIBRARY'!$D$122:$N$122,MATCH(City,'08 LOCATION RATE LIBRARY'!$D$4:$N$4,0))="","",INDEX('08 LOCATION RATE LIBRARY'!$D$122:$N$122,MATCH(City,'08 LOCATION RATE LIBRARY'!$D$4:$N$4,0)))</f>
        <v>29916</v>
      </c>
      <c r="F122" s="29"/>
      <c r="G122" s="29"/>
      <c r="H122" s="10" t="str">
        <f aca="false">City</f>
        <v>Lahore</v>
      </c>
      <c r="I122" s="9" t="s">
        <v>1498</v>
      </c>
      <c r="J122" s="9" t="s">
        <v>1769</v>
      </c>
      <c r="K122" s="9" t="s">
        <v>1770</v>
      </c>
      <c r="L122" s="5" t="s">
        <v>1837</v>
      </c>
      <c r="M122" s="10" t="n">
        <f aca="false">IF(NOT(ISNUMBER(E122)),0,IF(OR(J122="OLD SOURCE",J122="UNDATED SOURCE"),2,1))</f>
        <v>1</v>
      </c>
      <c r="N122" s="30" t="n">
        <v>29916</v>
      </c>
      <c r="O122" s="9" t="s">
        <v>1485</v>
      </c>
    </row>
    <row r="123" customFormat="false" ht="32.25" hidden="false" customHeight="true" outlineLevel="0" collapsed="false">
      <c r="A123" s="9" t="s">
        <v>1211</v>
      </c>
      <c r="B123" s="9" t="s">
        <v>1838</v>
      </c>
      <c r="C123" s="5" t="s">
        <v>1738</v>
      </c>
      <c r="D123" s="9" t="s">
        <v>368</v>
      </c>
      <c r="E123" s="13" t="n">
        <f aca="false">IF(INDEX('08 LOCATION RATE LIBRARY'!$D$123:$N$123,MATCH(City,'08 LOCATION RATE LIBRARY'!$D$4:$N$4,0))="","",INDEX('08 LOCATION RATE LIBRARY'!$D$123:$N$123,MATCH(City,'08 LOCATION RATE LIBRARY'!$D$4:$N$4,0)))</f>
        <v>14384</v>
      </c>
      <c r="F123" s="29"/>
      <c r="G123" s="29"/>
      <c r="H123" s="10" t="str">
        <f aca="false">City</f>
        <v>Lahore</v>
      </c>
      <c r="I123" s="9" t="s">
        <v>1498</v>
      </c>
      <c r="J123" s="9" t="s">
        <v>1769</v>
      </c>
      <c r="K123" s="9" t="s">
        <v>1770</v>
      </c>
      <c r="L123" s="5" t="s">
        <v>1839</v>
      </c>
      <c r="M123" s="10" t="n">
        <f aca="false">IF(NOT(ISNUMBER(E123)),0,IF(OR(J123="OLD SOURCE",J123="UNDATED SOURCE"),2,1))</f>
        <v>1</v>
      </c>
      <c r="N123" s="30" t="n">
        <v>14384</v>
      </c>
      <c r="O123" s="9" t="s">
        <v>1485</v>
      </c>
    </row>
    <row r="124" customFormat="false" ht="32.25" hidden="false" customHeight="true" outlineLevel="0" collapsed="false">
      <c r="A124" s="9" t="s">
        <v>1207</v>
      </c>
      <c r="B124" s="9" t="s">
        <v>1840</v>
      </c>
      <c r="C124" s="5"/>
      <c r="D124" s="9" t="s">
        <v>1066</v>
      </c>
      <c r="E124" s="13" t="n">
        <f aca="false">IF(INDEX('08 LOCATION RATE LIBRARY'!$D$124:$N$124,MATCH(City,'08 LOCATION RATE LIBRARY'!$D$4:$N$4,0))="","",INDEX('08 LOCATION RATE LIBRARY'!$D$124:$N$124,MATCH(City,'08 LOCATION RATE LIBRARY'!$D$4:$N$4,0)))</f>
        <v>1980</v>
      </c>
      <c r="F124" s="29"/>
      <c r="G124" s="29"/>
      <c r="H124" s="10" t="str">
        <f aca="false">City</f>
        <v>Lahore</v>
      </c>
      <c r="I124" s="9" t="s">
        <v>1498</v>
      </c>
      <c r="J124" s="9" t="s">
        <v>1769</v>
      </c>
      <c r="K124" s="9" t="s">
        <v>1770</v>
      </c>
      <c r="L124" s="5" t="s">
        <v>1841</v>
      </c>
      <c r="M124" s="10" t="n">
        <f aca="false">IF(NOT(ISNUMBER(E124)),0,IF(OR(J124="OLD SOURCE",J124="UNDATED SOURCE"),2,1))</f>
        <v>1</v>
      </c>
      <c r="N124" s="30" t="n">
        <v>1980</v>
      </c>
      <c r="O124" s="9" t="s">
        <v>1485</v>
      </c>
    </row>
    <row r="125" customFormat="false" ht="21.75" hidden="false" customHeight="true" outlineLevel="0" collapsed="false">
      <c r="A125" s="9" t="s">
        <v>1215</v>
      </c>
      <c r="B125" s="9" t="s">
        <v>1842</v>
      </c>
      <c r="C125" s="5" t="s">
        <v>1843</v>
      </c>
      <c r="D125" s="9" t="s">
        <v>386</v>
      </c>
      <c r="E125" s="13" t="n">
        <f aca="false">IF(INDEX('08 LOCATION RATE LIBRARY'!$D$125:$N$125,MATCH(City,'08 LOCATION RATE LIBRARY'!$D$4:$N$4,0))="","",INDEX('08 LOCATION RATE LIBRARY'!$D$125:$N$125,MATCH(City,'08 LOCATION RATE LIBRARY'!$D$4:$N$4,0)))</f>
        <v>309.6</v>
      </c>
      <c r="F125" s="29"/>
      <c r="G125" s="29"/>
      <c r="H125" s="10" t="str">
        <f aca="false">City</f>
        <v>Lahore</v>
      </c>
      <c r="I125" s="9" t="s">
        <v>1844</v>
      </c>
      <c r="J125" s="10" t="str">
        <f aca="false">IF(ISNUMBER('16 VENDOR ENQUIRY (RFQ)'!H33),"Vendor quote","OLD SOURCE")</f>
        <v>OLD SOURCE</v>
      </c>
      <c r="K125" s="9" t="s">
        <v>1490</v>
      </c>
      <c r="L125" s="5" t="s">
        <v>1845</v>
      </c>
      <c r="M125" s="10" t="n">
        <f aca="false">IF(NOT(ISNUMBER(E125)),0,IF(OR(J125="OLD SOURCE",J125="UNDATED SOURCE"),2,1))</f>
        <v>2</v>
      </c>
      <c r="N125" s="31" t="n">
        <f aca="false">IF(ISNUMBER('16 VENDOR ENQUIRY (RFQ)'!H33),'16 VENDOR ENQUIRY (RFQ)'!H33,309.6)</f>
        <v>309.6</v>
      </c>
      <c r="O125" s="9" t="s">
        <v>1485</v>
      </c>
    </row>
    <row r="126" customFormat="false" ht="21.75" hidden="false" customHeight="true" outlineLevel="0" collapsed="false">
      <c r="A126" s="9" t="s">
        <v>1225</v>
      </c>
      <c r="B126" s="9" t="s">
        <v>1846</v>
      </c>
      <c r="C126" s="5" t="s">
        <v>1843</v>
      </c>
      <c r="D126" s="9" t="s">
        <v>386</v>
      </c>
      <c r="E126" s="13" t="n">
        <f aca="false">IF(INDEX('08 LOCATION RATE LIBRARY'!$D$126:$N$126,MATCH(City,'08 LOCATION RATE LIBRARY'!$D$4:$N$4,0))="","",INDEX('08 LOCATION RATE LIBRARY'!$D$126:$N$126,MATCH(City,'08 LOCATION RATE LIBRARY'!$D$4:$N$4,0)))</f>
        <v>651.92</v>
      </c>
      <c r="F126" s="29"/>
      <c r="G126" s="29"/>
      <c r="H126" s="10" t="str">
        <f aca="false">City</f>
        <v>Lahore</v>
      </c>
      <c r="I126" s="9" t="s">
        <v>1844</v>
      </c>
      <c r="J126" s="10" t="str">
        <f aca="false">IF(ISNUMBER('16 VENDOR ENQUIRY (RFQ)'!H34),"Vendor quote","OLD SOURCE")</f>
        <v>OLD SOURCE</v>
      </c>
      <c r="K126" s="9" t="s">
        <v>1490</v>
      </c>
      <c r="L126" s="5" t="s">
        <v>1847</v>
      </c>
      <c r="M126" s="10" t="n">
        <f aca="false">IF(NOT(ISNUMBER(E126)),0,IF(OR(J126="OLD SOURCE",J126="UNDATED SOURCE"),2,1))</f>
        <v>2</v>
      </c>
      <c r="N126" s="31" t="n">
        <f aca="false">IF(ISNUMBER('16 VENDOR ENQUIRY (RFQ)'!H34),'16 VENDOR ENQUIRY (RFQ)'!H34,651.92)</f>
        <v>651.92</v>
      </c>
      <c r="O126" s="9" t="s">
        <v>1485</v>
      </c>
    </row>
    <row r="127" customFormat="false" ht="21.75" hidden="false" customHeight="true" outlineLevel="0" collapsed="false">
      <c r="A127" s="9" t="s">
        <v>1230</v>
      </c>
      <c r="B127" s="9" t="s">
        <v>1848</v>
      </c>
      <c r="C127" s="5" t="s">
        <v>1843</v>
      </c>
      <c r="D127" s="9" t="s">
        <v>386</v>
      </c>
      <c r="E127" s="13" t="n">
        <f aca="false">IF(INDEX('08 LOCATION RATE LIBRARY'!$D$127:$N$127,MATCH(City,'08 LOCATION RATE LIBRARY'!$D$4:$N$4,0))="","",INDEX('08 LOCATION RATE LIBRARY'!$D$127:$N$127,MATCH(City,'08 LOCATION RATE LIBRARY'!$D$4:$N$4,0)))</f>
        <v>1878.66</v>
      </c>
      <c r="F127" s="29"/>
      <c r="G127" s="29"/>
      <c r="H127" s="10" t="str">
        <f aca="false">City</f>
        <v>Lahore</v>
      </c>
      <c r="I127" s="9" t="s">
        <v>1844</v>
      </c>
      <c r="J127" s="10" t="str">
        <f aca="false">IF(ISNUMBER('16 VENDOR ENQUIRY (RFQ)'!H35),"Vendor quote","OLD SOURCE")</f>
        <v>OLD SOURCE</v>
      </c>
      <c r="K127" s="9" t="s">
        <v>1490</v>
      </c>
      <c r="L127" s="5" t="s">
        <v>1849</v>
      </c>
      <c r="M127" s="10" t="n">
        <f aca="false">IF(NOT(ISNUMBER(E127)),0,IF(OR(J127="OLD SOURCE",J127="UNDATED SOURCE"),2,1))</f>
        <v>2</v>
      </c>
      <c r="N127" s="31" t="n">
        <f aca="false">IF(ISNUMBER('16 VENDOR ENQUIRY (RFQ)'!H35),'16 VENDOR ENQUIRY (RFQ)'!H35,1878.66)</f>
        <v>1878.66</v>
      </c>
      <c r="O127" s="9" t="s">
        <v>1485</v>
      </c>
    </row>
    <row r="128" customFormat="false" ht="15" hidden="false" customHeight="true" outlineLevel="0" collapsed="false">
      <c r="A128" s="9" t="s">
        <v>1850</v>
      </c>
      <c r="B128" s="9" t="s">
        <v>1851</v>
      </c>
      <c r="C128" s="5" t="s">
        <v>1852</v>
      </c>
      <c r="D128" s="9" t="s">
        <v>386</v>
      </c>
      <c r="E128" s="13" t="n">
        <f aca="false">IF(INDEX('08 LOCATION RATE LIBRARY'!$D$128:$N$128,MATCH(City,'08 LOCATION RATE LIBRARY'!$D$4:$N$4,0))="","",INDEX('08 LOCATION RATE LIBRARY'!$D$128:$N$128,MATCH(City,'08 LOCATION RATE LIBRARY'!$D$4:$N$4,0)))</f>
        <v>0</v>
      </c>
      <c r="F128" s="29"/>
      <c r="G128" s="29"/>
      <c r="H128" s="10" t="str">
        <f aca="false">City</f>
        <v>Lahore</v>
      </c>
      <c r="I128" s="9" t="s">
        <v>110</v>
      </c>
      <c r="J128" s="10" t="str">
        <f aca="false">IF(ISNUMBER('16 VENDOR ENQUIRY (RFQ)'!H36),"Vendor quote","ASSUMED")</f>
        <v>ASSUMED</v>
      </c>
      <c r="K128" s="9" t="s">
        <v>1494</v>
      </c>
      <c r="L128" s="5" t="s">
        <v>1853</v>
      </c>
      <c r="M128" s="10" t="n">
        <f aca="false">IF(NOT(ISNUMBER(E128)),0,IF(OR(J128="OLD SOURCE",J128="UNDATED SOURCE"),2,1))</f>
        <v>1</v>
      </c>
      <c r="N128" s="31" t="n">
        <f aca="false">IF(ISNUMBER('16 VENDOR ENQUIRY (RFQ)'!H36),'16 VENDOR ENQUIRY (RFQ)'!H36,0)</f>
        <v>0</v>
      </c>
      <c r="O128" s="9" t="s">
        <v>1485</v>
      </c>
    </row>
    <row r="129" customFormat="false" ht="32.25" hidden="false" customHeight="true" outlineLevel="0" collapsed="false">
      <c r="A129" s="9" t="s">
        <v>1220</v>
      </c>
      <c r="B129" s="9" t="s">
        <v>1854</v>
      </c>
      <c r="C129" s="5"/>
      <c r="D129" s="9" t="s">
        <v>386</v>
      </c>
      <c r="E129" s="13" t="n">
        <f aca="false">IF(INDEX('08 LOCATION RATE LIBRARY'!$D$129:$N$129,MATCH(City,'08 LOCATION RATE LIBRARY'!$D$4:$N$4,0))="","",INDEX('08 LOCATION RATE LIBRARY'!$D$129:$N$129,MATCH(City,'08 LOCATION RATE LIBRARY'!$D$4:$N$4,0)))</f>
        <v>14.57</v>
      </c>
      <c r="F129" s="29"/>
      <c r="G129" s="29"/>
      <c r="H129" s="10" t="str">
        <f aca="false">City</f>
        <v>Lahore</v>
      </c>
      <c r="I129" s="9" t="s">
        <v>1855</v>
      </c>
      <c r="J129" s="9" t="s">
        <v>1489</v>
      </c>
      <c r="K129" s="9" t="s">
        <v>1490</v>
      </c>
      <c r="L129" s="5" t="s">
        <v>1856</v>
      </c>
      <c r="M129" s="10" t="n">
        <f aca="false">IF(NOT(ISNUMBER(E129)),0,IF(OR(J129="OLD SOURCE",J129="UNDATED SOURCE"),2,1))</f>
        <v>1</v>
      </c>
      <c r="N129" s="30" t="n">
        <v>14.57</v>
      </c>
      <c r="O129" s="9" t="s">
        <v>1485</v>
      </c>
    </row>
    <row r="130" customFormat="false" ht="21.75" hidden="false" customHeight="true" outlineLevel="0" collapsed="false">
      <c r="A130" s="9" t="s">
        <v>1235</v>
      </c>
      <c r="B130" s="9" t="s">
        <v>1857</v>
      </c>
      <c r="C130" s="5" t="s">
        <v>1858</v>
      </c>
      <c r="D130" s="9" t="s">
        <v>368</v>
      </c>
      <c r="E130" s="13" t="n">
        <f aca="false">IF(INDEX('08 LOCATION RATE LIBRARY'!$D$130:$N$130,MATCH(City,'08 LOCATION RATE LIBRARY'!$D$4:$N$4,0))="","",INDEX('08 LOCATION RATE LIBRARY'!$D$130:$N$130,MATCH(City,'08 LOCATION RATE LIBRARY'!$D$4:$N$4,0)))</f>
        <v>1935</v>
      </c>
      <c r="F130" s="29"/>
      <c r="G130" s="29"/>
      <c r="H130" s="10" t="str">
        <f aca="false">City</f>
        <v>Lahore</v>
      </c>
      <c r="I130" s="9" t="s">
        <v>1859</v>
      </c>
      <c r="J130" s="9" t="s">
        <v>1489</v>
      </c>
      <c r="K130" s="9" t="s">
        <v>1490</v>
      </c>
      <c r="L130" s="5" t="s">
        <v>1860</v>
      </c>
      <c r="M130" s="10" t="n">
        <f aca="false">IF(NOT(ISNUMBER(E130)),0,IF(OR(J130="OLD SOURCE",J130="UNDATED SOURCE"),2,1))</f>
        <v>1</v>
      </c>
      <c r="N130" s="30" t="n">
        <v>1935</v>
      </c>
      <c r="O130" s="9" t="s">
        <v>1485</v>
      </c>
    </row>
    <row r="131" customFormat="false" ht="21.75" hidden="false" customHeight="true" outlineLevel="0" collapsed="false">
      <c r="A131" s="9" t="s">
        <v>1240</v>
      </c>
      <c r="B131" s="9" t="s">
        <v>1861</v>
      </c>
      <c r="C131" s="5"/>
      <c r="D131" s="9" t="s">
        <v>368</v>
      </c>
      <c r="E131" s="13" t="n">
        <f aca="false">IF(INDEX('08 LOCATION RATE LIBRARY'!$D$131:$N$131,MATCH(City,'08 LOCATION RATE LIBRARY'!$D$4:$N$4,0))="","",INDEX('08 LOCATION RATE LIBRARY'!$D$131:$N$131,MATCH(City,'08 LOCATION RATE LIBRARY'!$D$4:$N$4,0)))</f>
        <v>103085</v>
      </c>
      <c r="F131" s="29"/>
      <c r="G131" s="29"/>
      <c r="H131" s="10" t="str">
        <f aca="false">City</f>
        <v>Lahore</v>
      </c>
      <c r="I131" s="9" t="s">
        <v>1862</v>
      </c>
      <c r="J131" s="9" t="s">
        <v>1489</v>
      </c>
      <c r="K131" s="9" t="s">
        <v>1490</v>
      </c>
      <c r="L131" s="5" t="s">
        <v>1863</v>
      </c>
      <c r="M131" s="10" t="n">
        <f aca="false">IF(NOT(ISNUMBER(E131)),0,IF(OR(J131="OLD SOURCE",J131="UNDATED SOURCE"),2,1))</f>
        <v>1</v>
      </c>
      <c r="N131" s="30" t="n">
        <v>103085</v>
      </c>
      <c r="O131" s="9" t="s">
        <v>1485</v>
      </c>
    </row>
    <row r="132" customFormat="false" ht="32.25" hidden="false" customHeight="true" outlineLevel="0" collapsed="false">
      <c r="A132" s="9" t="s">
        <v>1280</v>
      </c>
      <c r="B132" s="9" t="s">
        <v>1864</v>
      </c>
      <c r="C132" s="5"/>
      <c r="D132" s="9" t="s">
        <v>1066</v>
      </c>
      <c r="E132" s="13" t="n">
        <f aca="false">IF(INDEX('08 LOCATION RATE LIBRARY'!$D$132:$N$132,MATCH(City,'08 LOCATION RATE LIBRARY'!$D$4:$N$4,0))="","",INDEX('08 LOCATION RATE LIBRARY'!$D$132:$N$132,MATCH(City,'08 LOCATION RATE LIBRARY'!$D$4:$N$4,0)))</f>
        <v>43731.2</v>
      </c>
      <c r="F132" s="29"/>
      <c r="G132" s="29"/>
      <c r="H132" s="10" t="str">
        <f aca="false">City</f>
        <v>Lahore</v>
      </c>
      <c r="I132" s="9" t="s">
        <v>1640</v>
      </c>
      <c r="J132" s="9" t="s">
        <v>1489</v>
      </c>
      <c r="K132" s="9" t="s">
        <v>1490</v>
      </c>
      <c r="L132" s="5" t="s">
        <v>1865</v>
      </c>
      <c r="M132" s="10" t="n">
        <f aca="false">IF(NOT(ISNUMBER(E132)),0,IF(OR(J132="OLD SOURCE",J132="UNDATED SOURCE"),2,1))</f>
        <v>1</v>
      </c>
      <c r="N132" s="30" t="n">
        <v>43731.2</v>
      </c>
      <c r="O132" s="9" t="s">
        <v>1485</v>
      </c>
    </row>
    <row r="133" customFormat="false" ht="21.75" hidden="false" customHeight="true" outlineLevel="0" collapsed="false">
      <c r="A133" s="9" t="s">
        <v>1284</v>
      </c>
      <c r="B133" s="9" t="s">
        <v>1866</v>
      </c>
      <c r="C133" s="5"/>
      <c r="D133" s="9" t="s">
        <v>368</v>
      </c>
      <c r="E133" s="13" t="n">
        <f aca="false">IF(INDEX('08 LOCATION RATE LIBRARY'!$D$133:$N$133,MATCH(City,'08 LOCATION RATE LIBRARY'!$D$4:$N$4,0))="","",INDEX('08 LOCATION RATE LIBRARY'!$D$133:$N$133,MATCH(City,'08 LOCATION RATE LIBRARY'!$D$4:$N$4,0)))</f>
        <v>59777.62</v>
      </c>
      <c r="F133" s="29"/>
      <c r="G133" s="29"/>
      <c r="H133" s="10" t="str">
        <f aca="false">City</f>
        <v>Lahore</v>
      </c>
      <c r="I133" s="9" t="s">
        <v>1867</v>
      </c>
      <c r="J133" s="10" t="str">
        <f aca="false">IF(ISNUMBER('16 VENDOR ENQUIRY (RFQ)'!H24),"Vendor quote","OLD SOURCE")</f>
        <v>OLD SOURCE</v>
      </c>
      <c r="K133" s="9" t="s">
        <v>1490</v>
      </c>
      <c r="L133" s="5" t="s">
        <v>1868</v>
      </c>
      <c r="M133" s="10" t="n">
        <f aca="false">IF(NOT(ISNUMBER(E133)),0,IF(OR(J133="OLD SOURCE",J133="UNDATED SOURCE"),2,1))</f>
        <v>2</v>
      </c>
      <c r="N133" s="31" t="n">
        <f aca="false">IF(ISNUMBER('16 VENDOR ENQUIRY (RFQ)'!H24),'16 VENDOR ENQUIRY (RFQ)'!H24,59777.62)</f>
        <v>59777.62</v>
      </c>
      <c r="O133" s="9" t="s">
        <v>1485</v>
      </c>
    </row>
    <row r="134" customFormat="false" ht="21.75" hidden="false" customHeight="true" outlineLevel="0" collapsed="false">
      <c r="A134" s="9" t="s">
        <v>1287</v>
      </c>
      <c r="B134" s="9" t="s">
        <v>1869</v>
      </c>
      <c r="C134" s="5"/>
      <c r="D134" s="9" t="s">
        <v>368</v>
      </c>
      <c r="E134" s="13" t="n">
        <f aca="false">IF(INDEX('08 LOCATION RATE LIBRARY'!$D$134:$N$134,MATCH(City,'08 LOCATION RATE LIBRARY'!$D$4:$N$4,0))="","",INDEX('08 LOCATION RATE LIBRARY'!$D$134:$N$134,MATCH(City,'08 LOCATION RATE LIBRARY'!$D$4:$N$4,0)))</f>
        <v>9200</v>
      </c>
      <c r="F134" s="29"/>
      <c r="G134" s="29"/>
      <c r="H134" s="10" t="str">
        <f aca="false">City</f>
        <v>Lahore</v>
      </c>
      <c r="I134" s="9" t="s">
        <v>1870</v>
      </c>
      <c r="J134" s="9" t="s">
        <v>1489</v>
      </c>
      <c r="K134" s="9" t="s">
        <v>1490</v>
      </c>
      <c r="L134" s="5" t="s">
        <v>1871</v>
      </c>
      <c r="M134" s="10" t="n">
        <f aca="false">IF(NOT(ISNUMBER(E134)),0,IF(OR(J134="OLD SOURCE",J134="UNDATED SOURCE"),2,1))</f>
        <v>1</v>
      </c>
      <c r="N134" s="30" t="n">
        <v>9200</v>
      </c>
      <c r="O134" s="9" t="s">
        <v>1485</v>
      </c>
    </row>
    <row r="135" customFormat="false" ht="21.75" hidden="false" customHeight="true" outlineLevel="0" collapsed="false">
      <c r="A135" s="9" t="s">
        <v>1293</v>
      </c>
      <c r="B135" s="9" t="s">
        <v>1872</v>
      </c>
      <c r="C135" s="5"/>
      <c r="D135" s="9" t="s">
        <v>368</v>
      </c>
      <c r="E135" s="13" t="n">
        <f aca="false">IF(INDEX('08 LOCATION RATE LIBRARY'!$D$135:$N$135,MATCH(City,'08 LOCATION RATE LIBRARY'!$D$4:$N$4,0))="","",INDEX('08 LOCATION RATE LIBRARY'!$D$135:$N$135,MATCH(City,'08 LOCATION RATE LIBRARY'!$D$4:$N$4,0)))</f>
        <v>7740</v>
      </c>
      <c r="F135" s="29"/>
      <c r="G135" s="29"/>
      <c r="H135" s="10" t="str">
        <f aca="false">City</f>
        <v>Lahore</v>
      </c>
      <c r="I135" s="9" t="s">
        <v>1873</v>
      </c>
      <c r="J135" s="9" t="s">
        <v>1489</v>
      </c>
      <c r="K135" s="9" t="s">
        <v>1490</v>
      </c>
      <c r="L135" s="5" t="s">
        <v>1874</v>
      </c>
      <c r="M135" s="10" t="n">
        <f aca="false">IF(NOT(ISNUMBER(E135)),0,IF(OR(J135="OLD SOURCE",J135="UNDATED SOURCE"),2,1))</f>
        <v>1</v>
      </c>
      <c r="N135" s="30" t="n">
        <v>7740</v>
      </c>
      <c r="O135" s="9" t="s">
        <v>1485</v>
      </c>
    </row>
    <row r="136" customFormat="false" ht="15" hidden="false" customHeight="true" outlineLevel="0" collapsed="false">
      <c r="A136" s="9" t="s">
        <v>1298</v>
      </c>
      <c r="B136" s="9" t="s">
        <v>1875</v>
      </c>
      <c r="C136" s="5"/>
      <c r="D136" s="9" t="s">
        <v>198</v>
      </c>
      <c r="E136" s="13" t="n">
        <f aca="false">IF(INDEX('08 LOCATION RATE LIBRARY'!$D$136:$N$136,MATCH(City,'08 LOCATION RATE LIBRARY'!$D$4:$N$4,0))="","",INDEX('08 LOCATION RATE LIBRARY'!$D$136:$N$136,MATCH(City,'08 LOCATION RATE LIBRARY'!$D$4:$N$4,0)))</f>
        <v>345</v>
      </c>
      <c r="F136" s="29"/>
      <c r="G136" s="29"/>
      <c r="H136" s="10" t="str">
        <f aca="false">City</f>
        <v>Lahore</v>
      </c>
      <c r="I136" s="9" t="s">
        <v>1876</v>
      </c>
      <c r="J136" s="9" t="s">
        <v>1489</v>
      </c>
      <c r="K136" s="9" t="s">
        <v>1490</v>
      </c>
      <c r="L136" s="5" t="s">
        <v>1877</v>
      </c>
      <c r="M136" s="10" t="n">
        <f aca="false">IF(NOT(ISNUMBER(E136)),0,IF(OR(J136="OLD SOURCE",J136="UNDATED SOURCE"),2,1))</f>
        <v>1</v>
      </c>
      <c r="N136" s="30" t="n">
        <v>345</v>
      </c>
      <c r="O136" s="9" t="s">
        <v>1485</v>
      </c>
    </row>
    <row r="137" customFormat="false" ht="32.25" hidden="false" customHeight="true" outlineLevel="0" collapsed="false">
      <c r="A137" s="9" t="s">
        <v>1305</v>
      </c>
      <c r="B137" s="9" t="s">
        <v>1878</v>
      </c>
      <c r="C137" s="5"/>
      <c r="D137" s="9" t="s">
        <v>212</v>
      </c>
      <c r="E137" s="13" t="n">
        <f aca="false">IF(INDEX('08 LOCATION RATE LIBRARY'!$D$137:$N$137,MATCH(City,'08 LOCATION RATE LIBRARY'!$D$4:$N$4,0))="","",INDEX('08 LOCATION RATE LIBRARY'!$D$137:$N$137,MATCH(City,'08 LOCATION RATE LIBRARY'!$D$4:$N$4,0)))</f>
        <v>327.9</v>
      </c>
      <c r="F137" s="29"/>
      <c r="G137" s="29"/>
      <c r="H137" s="10" t="str">
        <f aca="false">City</f>
        <v>Lahore</v>
      </c>
      <c r="I137" s="9" t="s">
        <v>1498</v>
      </c>
      <c r="J137" s="9" t="s">
        <v>1769</v>
      </c>
      <c r="K137" s="9" t="s">
        <v>1770</v>
      </c>
      <c r="L137" s="5" t="s">
        <v>1879</v>
      </c>
      <c r="M137" s="10" t="n">
        <f aca="false">IF(NOT(ISNUMBER(E137)),0,IF(OR(J137="OLD SOURCE",J137="UNDATED SOURCE"),2,1))</f>
        <v>1</v>
      </c>
      <c r="N137" s="30" t="n">
        <v>327.9</v>
      </c>
      <c r="O137" s="9" t="s">
        <v>1485</v>
      </c>
    </row>
    <row r="138" customFormat="false" ht="21.75" hidden="false" customHeight="true" outlineLevel="0" collapsed="false">
      <c r="A138" s="9" t="s">
        <v>1300</v>
      </c>
      <c r="B138" s="9" t="s">
        <v>1880</v>
      </c>
      <c r="C138" s="5"/>
      <c r="D138" s="9" t="s">
        <v>368</v>
      </c>
      <c r="E138" s="13" t="n">
        <f aca="false">IF(INDEX('08 LOCATION RATE LIBRARY'!$D$138:$N$138,MATCH(City,'08 LOCATION RATE LIBRARY'!$D$4:$N$4,0))="","",INDEX('08 LOCATION RATE LIBRARY'!$D$138:$N$138,MATCH(City,'08 LOCATION RATE LIBRARY'!$D$4:$N$4,0)))</f>
        <v>217.76</v>
      </c>
      <c r="F138" s="29"/>
      <c r="G138" s="29"/>
      <c r="H138" s="10" t="str">
        <f aca="false">City</f>
        <v>Lahore</v>
      </c>
      <c r="I138" s="9" t="s">
        <v>1617</v>
      </c>
      <c r="J138" s="9" t="s">
        <v>1489</v>
      </c>
      <c r="K138" s="9" t="s">
        <v>1490</v>
      </c>
      <c r="L138" s="5" t="s">
        <v>1881</v>
      </c>
      <c r="M138" s="10" t="n">
        <f aca="false">IF(NOT(ISNUMBER(E138)),0,IF(OR(J138="OLD SOURCE",J138="UNDATED SOURCE"),2,1))</f>
        <v>1</v>
      </c>
      <c r="N138" s="30" t="n">
        <v>217.76</v>
      </c>
      <c r="O138" s="9" t="s">
        <v>1485</v>
      </c>
    </row>
    <row r="139" customFormat="false" ht="21.75" hidden="false" customHeight="true" outlineLevel="0" collapsed="false">
      <c r="A139" s="9" t="s">
        <v>1309</v>
      </c>
      <c r="B139" s="9" t="s">
        <v>1882</v>
      </c>
      <c r="C139" s="5"/>
      <c r="D139" s="9" t="s">
        <v>368</v>
      </c>
      <c r="E139" s="13" t="n">
        <f aca="false">IF(INDEX('08 LOCATION RATE LIBRARY'!$D$139:$N$139,MATCH(City,'08 LOCATION RATE LIBRARY'!$D$4:$N$4,0))="","",INDEX('08 LOCATION RATE LIBRARY'!$D$139:$N$139,MATCH(City,'08 LOCATION RATE LIBRARY'!$D$4:$N$4,0)))</f>
        <v>126000</v>
      </c>
      <c r="F139" s="29"/>
      <c r="G139" s="29"/>
      <c r="H139" s="10" t="str">
        <f aca="false">City</f>
        <v>Lahore</v>
      </c>
      <c r="I139" s="9" t="s">
        <v>1883</v>
      </c>
      <c r="J139" s="9" t="s">
        <v>1489</v>
      </c>
      <c r="K139" s="9" t="s">
        <v>1490</v>
      </c>
      <c r="L139" s="5" t="s">
        <v>1884</v>
      </c>
      <c r="M139" s="10" t="n">
        <f aca="false">IF(NOT(ISNUMBER(E139)),0,IF(OR(J139="OLD SOURCE",J139="UNDATED SOURCE"),2,1))</f>
        <v>1</v>
      </c>
      <c r="N139" s="30" t="n">
        <v>126000</v>
      </c>
      <c r="O139" s="9" t="s">
        <v>1485</v>
      </c>
    </row>
    <row r="140" customFormat="false" ht="21.75" hidden="false" customHeight="true" outlineLevel="0" collapsed="false">
      <c r="A140" s="9" t="s">
        <v>1311</v>
      </c>
      <c r="B140" s="9" t="s">
        <v>1885</v>
      </c>
      <c r="C140" s="5"/>
      <c r="D140" s="9" t="s">
        <v>386</v>
      </c>
      <c r="E140" s="13" t="n">
        <f aca="false">IF(INDEX('08 LOCATION RATE LIBRARY'!$D$140:$N$140,MATCH(City,'08 LOCATION RATE LIBRARY'!$D$4:$N$4,0))="","",INDEX('08 LOCATION RATE LIBRARY'!$D$140:$N$140,MATCH(City,'08 LOCATION RATE LIBRARY'!$D$4:$N$4,0)))</f>
        <v>934.01</v>
      </c>
      <c r="F140" s="29"/>
      <c r="G140" s="29"/>
      <c r="H140" s="10" t="str">
        <f aca="false">City</f>
        <v>Lahore</v>
      </c>
      <c r="I140" s="9" t="s">
        <v>1886</v>
      </c>
      <c r="J140" s="9" t="s">
        <v>1489</v>
      </c>
      <c r="K140" s="9" t="s">
        <v>1490</v>
      </c>
      <c r="L140" s="5" t="s">
        <v>1887</v>
      </c>
      <c r="M140" s="10" t="n">
        <f aca="false">IF(NOT(ISNUMBER(E140)),0,IF(OR(J140="OLD SOURCE",J140="UNDATED SOURCE"),2,1))</f>
        <v>1</v>
      </c>
      <c r="N140" s="30" t="n">
        <v>934.01</v>
      </c>
      <c r="O140" s="9" t="s">
        <v>1485</v>
      </c>
    </row>
    <row r="141" customFormat="false" ht="15" hidden="false" customHeight="true" outlineLevel="0" collapsed="false">
      <c r="A141" s="9" t="s">
        <v>1315</v>
      </c>
      <c r="B141" s="9" t="s">
        <v>1888</v>
      </c>
      <c r="C141" s="5"/>
      <c r="D141" s="9" t="s">
        <v>368</v>
      </c>
      <c r="E141" s="13" t="n">
        <f aca="false">IF(INDEX('08 LOCATION RATE LIBRARY'!$D$141:$N$141,MATCH(City,'08 LOCATION RATE LIBRARY'!$D$4:$N$4,0))="","",INDEX('08 LOCATION RATE LIBRARY'!$D$141:$N$141,MATCH(City,'08 LOCATION RATE LIBRARY'!$D$4:$N$4,0)))</f>
        <v>8500000</v>
      </c>
      <c r="F141" s="29"/>
      <c r="G141" s="29"/>
      <c r="H141" s="10" t="str">
        <f aca="false">City</f>
        <v>Lahore</v>
      </c>
      <c r="I141" s="9" t="s">
        <v>110</v>
      </c>
      <c r="J141" s="10" t="str">
        <f aca="false">IF(ISNUMBER('16 VENDOR ENQUIRY (RFQ)'!H45),"Vendor quote","ASSUMED")</f>
        <v>ASSUMED</v>
      </c>
      <c r="K141" s="9" t="s">
        <v>1494</v>
      </c>
      <c r="L141" s="5" t="s">
        <v>1889</v>
      </c>
      <c r="M141" s="10" t="n">
        <f aca="false">IF(NOT(ISNUMBER(E141)),0,IF(OR(J141="OLD SOURCE",J141="UNDATED SOURCE"),2,1))</f>
        <v>1</v>
      </c>
      <c r="N141" s="31" t="n">
        <f aca="false">IF(ISNUMBER('16 VENDOR ENQUIRY (RFQ)'!H45),'16 VENDOR ENQUIRY (RFQ)'!H45,8500000)</f>
        <v>8500000</v>
      </c>
      <c r="O141" s="9" t="s">
        <v>1485</v>
      </c>
    </row>
    <row r="142" customFormat="false" ht="32.25" hidden="false" customHeight="true" outlineLevel="0" collapsed="false">
      <c r="A142" s="9" t="s">
        <v>1317</v>
      </c>
      <c r="B142" s="9" t="s">
        <v>1890</v>
      </c>
      <c r="C142" s="5"/>
      <c r="D142" s="9" t="s">
        <v>386</v>
      </c>
      <c r="E142" s="13" t="n">
        <f aca="false">IF(INDEX('08 LOCATION RATE LIBRARY'!$D$142:$N$142,MATCH(City,'08 LOCATION RATE LIBRARY'!$D$4:$N$4,0))="","",INDEX('08 LOCATION RATE LIBRARY'!$D$142:$N$142,MATCH(City,'08 LOCATION RATE LIBRARY'!$D$4:$N$4,0)))</f>
        <v>2920.45</v>
      </c>
      <c r="F142" s="29"/>
      <c r="G142" s="29"/>
      <c r="H142" s="10" t="str">
        <f aca="false">City</f>
        <v>Lahore</v>
      </c>
      <c r="I142" s="9" t="s">
        <v>1498</v>
      </c>
      <c r="J142" s="9" t="s">
        <v>1769</v>
      </c>
      <c r="K142" s="9" t="s">
        <v>1770</v>
      </c>
      <c r="L142" s="5" t="s">
        <v>1891</v>
      </c>
      <c r="M142" s="10" t="n">
        <f aca="false">IF(NOT(ISNUMBER(E142)),0,IF(OR(J142="OLD SOURCE",J142="UNDATED SOURCE"),2,1))</f>
        <v>1</v>
      </c>
      <c r="N142" s="30" t="n">
        <v>2920.45</v>
      </c>
      <c r="O142" s="9" t="s">
        <v>1485</v>
      </c>
    </row>
    <row r="143" customFormat="false" ht="15" hidden="false" customHeight="true" outlineLevel="0" collapsed="false">
      <c r="A143" s="9" t="s">
        <v>1319</v>
      </c>
      <c r="B143" s="9" t="s">
        <v>1892</v>
      </c>
      <c r="C143" s="5"/>
      <c r="D143" s="9" t="s">
        <v>368</v>
      </c>
      <c r="E143" s="13" t="n">
        <f aca="false">IF(INDEX('08 LOCATION RATE LIBRARY'!$D$143:$N$143,MATCH(City,'08 LOCATION RATE LIBRARY'!$D$4:$N$4,0))="","",INDEX('08 LOCATION RATE LIBRARY'!$D$143:$N$143,MATCH(City,'08 LOCATION RATE LIBRARY'!$D$4:$N$4,0)))</f>
        <v>0</v>
      </c>
      <c r="F143" s="29"/>
      <c r="G143" s="29"/>
      <c r="H143" s="10" t="str">
        <f aca="false">City</f>
        <v>Lahore</v>
      </c>
      <c r="I143" s="9" t="s">
        <v>1498</v>
      </c>
      <c r="J143" s="9" t="s">
        <v>1893</v>
      </c>
      <c r="K143" s="9" t="s">
        <v>1770</v>
      </c>
      <c r="L143" s="5" t="s">
        <v>1894</v>
      </c>
      <c r="M143" s="10" t="n">
        <f aca="false">IF(NOT(ISNUMBER(E143)),0,IF(OR(J143="OLD SOURCE",J143="UNDATED SOURCE"),2,1))</f>
        <v>1</v>
      </c>
      <c r="N143" s="30" t="n">
        <v>0</v>
      </c>
      <c r="O143" s="9" t="s">
        <v>1485</v>
      </c>
    </row>
    <row r="144" customFormat="false" ht="32.25" hidden="false" customHeight="true" outlineLevel="0" collapsed="false">
      <c r="A144" s="9" t="s">
        <v>1324</v>
      </c>
      <c r="B144" s="9" t="s">
        <v>1895</v>
      </c>
      <c r="C144" s="5"/>
      <c r="D144" s="9" t="s">
        <v>212</v>
      </c>
      <c r="E144" s="13" t="n">
        <f aca="false">IF(INDEX('08 LOCATION RATE LIBRARY'!$D$144:$N$144,MATCH(City,'08 LOCATION RATE LIBRARY'!$D$4:$N$4,0))="","",INDEX('08 LOCATION RATE LIBRARY'!$D$144:$N$144,MATCH(City,'08 LOCATION RATE LIBRARY'!$D$4:$N$4,0)))</f>
        <v>1714.29</v>
      </c>
      <c r="F144" s="29"/>
      <c r="G144" s="29"/>
      <c r="H144" s="10" t="str">
        <f aca="false">City</f>
        <v>Lahore</v>
      </c>
      <c r="I144" s="9" t="s">
        <v>1522</v>
      </c>
      <c r="J144" s="9" t="s">
        <v>1476</v>
      </c>
      <c r="K144" s="9" t="s">
        <v>1562</v>
      </c>
      <c r="L144" s="5" t="s">
        <v>1896</v>
      </c>
      <c r="M144" s="10" t="n">
        <f aca="false">IF(NOT(ISNUMBER(E144)),0,IF(OR(J144="OLD SOURCE",J144="UNDATED SOURCE"),2,1))</f>
        <v>1</v>
      </c>
      <c r="N144" s="30" t="n">
        <v>1714.29</v>
      </c>
      <c r="O144" s="9" t="s">
        <v>1485</v>
      </c>
    </row>
    <row r="145" customFormat="false" ht="15" hidden="false" customHeight="true" outlineLevel="0" collapsed="false">
      <c r="A145" s="9" t="s">
        <v>1326</v>
      </c>
      <c r="B145" s="9" t="s">
        <v>1897</v>
      </c>
      <c r="C145" s="5"/>
      <c r="D145" s="9" t="s">
        <v>368</v>
      </c>
      <c r="E145" s="13" t="n">
        <f aca="false">IF(INDEX('08 LOCATION RATE LIBRARY'!$D$145:$N$145,MATCH(City,'08 LOCATION RATE LIBRARY'!$D$4:$N$4,0))="","",INDEX('08 LOCATION RATE LIBRARY'!$D$145:$N$145,MATCH(City,'08 LOCATION RATE LIBRARY'!$D$4:$N$4,0)))</f>
        <v>0</v>
      </c>
      <c r="F145" s="29"/>
      <c r="G145" s="29"/>
      <c r="H145" s="10" t="str">
        <f aca="false">City</f>
        <v>Lahore</v>
      </c>
      <c r="I145" s="9" t="s">
        <v>1522</v>
      </c>
      <c r="J145" s="9" t="s">
        <v>1893</v>
      </c>
      <c r="K145" s="9" t="s">
        <v>1562</v>
      </c>
      <c r="L145" s="5" t="s">
        <v>1898</v>
      </c>
      <c r="M145" s="10" t="n">
        <f aca="false">IF(NOT(ISNUMBER(E145)),0,IF(OR(J145="OLD SOURCE",J145="UNDATED SOURCE"),2,1))</f>
        <v>1</v>
      </c>
      <c r="N145" s="30" t="n">
        <v>0</v>
      </c>
      <c r="O145" s="9" t="s">
        <v>1485</v>
      </c>
    </row>
    <row r="146" customFormat="false" ht="15" hidden="false" customHeight="true" outlineLevel="0" collapsed="false">
      <c r="A146" s="9" t="s">
        <v>1164</v>
      </c>
      <c r="B146" s="9" t="s">
        <v>1899</v>
      </c>
      <c r="C146" s="5" t="s">
        <v>1647</v>
      </c>
      <c r="D146" s="9" t="s">
        <v>386</v>
      </c>
      <c r="E146" s="13" t="n">
        <f aca="false">IF(INDEX('08 LOCATION RATE LIBRARY'!$D$146:$N$146,MATCH(City,'08 LOCATION RATE LIBRARY'!$D$4:$N$4,0))="","",INDEX('08 LOCATION RATE LIBRARY'!$D$146:$N$146,MATCH(City,'08 LOCATION RATE LIBRARY'!$D$4:$N$4,0)))</f>
        <v>1346.85</v>
      </c>
      <c r="F146" s="29"/>
      <c r="G146" s="29"/>
      <c r="H146" s="10" t="str">
        <f aca="false">City</f>
        <v>Lahore</v>
      </c>
      <c r="I146" s="9" t="s">
        <v>110</v>
      </c>
      <c r="J146" s="9" t="s">
        <v>1648</v>
      </c>
      <c r="K146" s="9" t="s">
        <v>1649</v>
      </c>
      <c r="L146" s="5" t="s">
        <v>1650</v>
      </c>
      <c r="M146" s="10" t="n">
        <f aca="false">IF(NOT(ISNUMBER(E146)),0,IF(OR(J146="OLD SOURCE",J146="UNDATED SOURCE"),2,1))</f>
        <v>1</v>
      </c>
      <c r="N146" s="30" t="n">
        <v>1346.85</v>
      </c>
      <c r="O146" s="9" t="s">
        <v>1479</v>
      </c>
    </row>
    <row r="147" customFormat="false" ht="15" hidden="false" customHeight="true" outlineLevel="0" collapsed="false">
      <c r="A147" s="9" t="s">
        <v>1166</v>
      </c>
      <c r="B147" s="9" t="s">
        <v>1900</v>
      </c>
      <c r="C147" s="5" t="s">
        <v>1901</v>
      </c>
      <c r="D147" s="9" t="s">
        <v>368</v>
      </c>
      <c r="E147" s="13" t="n">
        <f aca="false">IF(INDEX('08 LOCATION RATE LIBRARY'!$D$147:$N$147,MATCH(City,'08 LOCATION RATE LIBRARY'!$D$4:$N$4,0))="","",INDEX('08 LOCATION RATE LIBRARY'!$D$147:$N$147,MATCH(City,'08 LOCATION RATE LIBRARY'!$D$4:$N$4,0)))</f>
        <v>1341</v>
      </c>
      <c r="F147" s="29"/>
      <c r="G147" s="29"/>
      <c r="H147" s="10" t="str">
        <f aca="false">City</f>
        <v>Lahore</v>
      </c>
      <c r="I147" s="9" t="s">
        <v>110</v>
      </c>
      <c r="J147" s="9" t="s">
        <v>1648</v>
      </c>
      <c r="K147" s="9" t="s">
        <v>1649</v>
      </c>
      <c r="L147" s="5" t="s">
        <v>1663</v>
      </c>
      <c r="M147" s="10" t="n">
        <f aca="false">IF(NOT(ISNUMBER(E147)),0,IF(OR(J147="OLD SOURCE",J147="UNDATED SOURCE"),2,1))</f>
        <v>1</v>
      </c>
      <c r="N147" s="30" t="n">
        <v>1341</v>
      </c>
      <c r="O147" s="9" t="s">
        <v>1479</v>
      </c>
    </row>
    <row r="148" customFormat="false" ht="15" hidden="false" customHeight="true" outlineLevel="0" collapsed="false">
      <c r="A148" s="9" t="s">
        <v>1167</v>
      </c>
      <c r="B148" s="9" t="s">
        <v>1902</v>
      </c>
      <c r="C148" s="5" t="s">
        <v>1903</v>
      </c>
      <c r="D148" s="9" t="s">
        <v>368</v>
      </c>
      <c r="E148" s="13" t="n">
        <f aca="false">IF(INDEX('08 LOCATION RATE LIBRARY'!$D$148:$N$148,MATCH(City,'08 LOCATION RATE LIBRARY'!$D$4:$N$4,0))="","",INDEX('08 LOCATION RATE LIBRARY'!$D$148:$N$148,MATCH(City,'08 LOCATION RATE LIBRARY'!$D$4:$N$4,0)))</f>
        <v>506</v>
      </c>
      <c r="F148" s="29"/>
      <c r="G148" s="29"/>
      <c r="H148" s="10" t="str">
        <f aca="false">City</f>
        <v>Lahore</v>
      </c>
      <c r="I148" s="9" t="s">
        <v>110</v>
      </c>
      <c r="J148" s="9" t="s">
        <v>1648</v>
      </c>
      <c r="K148" s="9" t="s">
        <v>1649</v>
      </c>
      <c r="L148" s="5" t="s">
        <v>1663</v>
      </c>
      <c r="M148" s="10" t="n">
        <f aca="false">IF(NOT(ISNUMBER(E148)),0,IF(OR(J148="OLD SOURCE",J148="UNDATED SOURCE"),2,1))</f>
        <v>1</v>
      </c>
      <c r="N148" s="30" t="n">
        <v>506</v>
      </c>
      <c r="O148" s="9" t="s">
        <v>1479</v>
      </c>
    </row>
    <row r="149" customFormat="false" ht="15" hidden="false" customHeight="true" outlineLevel="0" collapsed="false">
      <c r="A149" s="9" t="s">
        <v>1168</v>
      </c>
      <c r="B149" s="9" t="s">
        <v>1904</v>
      </c>
      <c r="C149" s="5" t="s">
        <v>1905</v>
      </c>
      <c r="D149" s="9" t="s">
        <v>368</v>
      </c>
      <c r="E149" s="13" t="n">
        <f aca="false">IF(INDEX('08 LOCATION RATE LIBRARY'!$D$149:$N$149,MATCH(City,'08 LOCATION RATE LIBRARY'!$D$4:$N$4,0))="","",INDEX('08 LOCATION RATE LIBRARY'!$D$149:$N$149,MATCH(City,'08 LOCATION RATE LIBRARY'!$D$4:$N$4,0)))</f>
        <v>1613</v>
      </c>
      <c r="F149" s="29"/>
      <c r="G149" s="29"/>
      <c r="H149" s="10" t="str">
        <f aca="false">City</f>
        <v>Lahore</v>
      </c>
      <c r="I149" s="9" t="s">
        <v>110</v>
      </c>
      <c r="J149" s="9" t="s">
        <v>1648</v>
      </c>
      <c r="K149" s="9" t="s">
        <v>1649</v>
      </c>
      <c r="L149" s="5" t="s">
        <v>1663</v>
      </c>
      <c r="M149" s="10" t="n">
        <f aca="false">IF(NOT(ISNUMBER(E149)),0,IF(OR(J149="OLD SOURCE",J149="UNDATED SOURCE"),2,1))</f>
        <v>1</v>
      </c>
      <c r="N149" s="30" t="n">
        <v>1613</v>
      </c>
      <c r="O149" s="9" t="s">
        <v>1479</v>
      </c>
    </row>
    <row r="150" customFormat="false" ht="15" hidden="false" customHeight="true" outlineLevel="0" collapsed="false">
      <c r="A150" s="9" t="s">
        <v>1171</v>
      </c>
      <c r="B150" s="9" t="s">
        <v>1906</v>
      </c>
      <c r="C150" s="5" t="s">
        <v>1647</v>
      </c>
      <c r="D150" s="9" t="s">
        <v>386</v>
      </c>
      <c r="E150" s="13" t="n">
        <f aca="false">IF(INDEX('08 LOCATION RATE LIBRARY'!$D$150:$N$150,MATCH(City,'08 LOCATION RATE LIBRARY'!$D$4:$N$4,0))="","",INDEX('08 LOCATION RATE LIBRARY'!$D$150:$N$150,MATCH(City,'08 LOCATION RATE LIBRARY'!$D$4:$N$4,0)))</f>
        <v>1987.2</v>
      </c>
      <c r="F150" s="29"/>
      <c r="G150" s="29"/>
      <c r="H150" s="10" t="str">
        <f aca="false">City</f>
        <v>Lahore</v>
      </c>
      <c r="I150" s="9" t="s">
        <v>110</v>
      </c>
      <c r="J150" s="9" t="s">
        <v>1648</v>
      </c>
      <c r="K150" s="9" t="s">
        <v>1649</v>
      </c>
      <c r="L150" s="5" t="s">
        <v>1650</v>
      </c>
      <c r="M150" s="10" t="n">
        <f aca="false">IF(NOT(ISNUMBER(E150)),0,IF(OR(J150="OLD SOURCE",J150="UNDATED SOURCE"),2,1))</f>
        <v>1</v>
      </c>
      <c r="N150" s="30" t="n">
        <v>1987.2</v>
      </c>
      <c r="O150" s="9" t="s">
        <v>1479</v>
      </c>
    </row>
    <row r="151" customFormat="false" ht="15" hidden="false" customHeight="true" outlineLevel="0" collapsed="false">
      <c r="A151" s="9" t="s">
        <v>1173</v>
      </c>
      <c r="B151" s="9" t="s">
        <v>1907</v>
      </c>
      <c r="C151" s="5" t="s">
        <v>1908</v>
      </c>
      <c r="D151" s="9" t="s">
        <v>368</v>
      </c>
      <c r="E151" s="13" t="n">
        <f aca="false">IF(INDEX('08 LOCATION RATE LIBRARY'!$D$151:$N$151,MATCH(City,'08 LOCATION RATE LIBRARY'!$D$4:$N$4,0))="","",INDEX('08 LOCATION RATE LIBRARY'!$D$151:$N$151,MATCH(City,'08 LOCATION RATE LIBRARY'!$D$4:$N$4,0)))</f>
        <v>2333</v>
      </c>
      <c r="F151" s="29"/>
      <c r="G151" s="29"/>
      <c r="H151" s="10" t="str">
        <f aca="false">City</f>
        <v>Lahore</v>
      </c>
      <c r="I151" s="9" t="s">
        <v>110</v>
      </c>
      <c r="J151" s="9" t="s">
        <v>1648</v>
      </c>
      <c r="K151" s="9" t="s">
        <v>1649</v>
      </c>
      <c r="L151" s="5" t="s">
        <v>1663</v>
      </c>
      <c r="M151" s="10" t="n">
        <f aca="false">IF(NOT(ISNUMBER(E151)),0,IF(OR(J151="OLD SOURCE",J151="UNDATED SOURCE"),2,1))</f>
        <v>1</v>
      </c>
      <c r="N151" s="30" t="n">
        <v>2333</v>
      </c>
      <c r="O151" s="9" t="s">
        <v>1479</v>
      </c>
    </row>
    <row r="152" customFormat="false" ht="15" hidden="false" customHeight="true" outlineLevel="0" collapsed="false">
      <c r="A152" s="9" t="s">
        <v>1174</v>
      </c>
      <c r="B152" s="9" t="s">
        <v>1909</v>
      </c>
      <c r="C152" s="5" t="s">
        <v>1910</v>
      </c>
      <c r="D152" s="9" t="s">
        <v>368</v>
      </c>
      <c r="E152" s="13" t="n">
        <f aca="false">IF(INDEX('08 LOCATION RATE LIBRARY'!$D$152:$N$152,MATCH(City,'08 LOCATION RATE LIBRARY'!$D$4:$N$4,0))="","",INDEX('08 LOCATION RATE LIBRARY'!$D$152:$N$152,MATCH(City,'08 LOCATION RATE LIBRARY'!$D$4:$N$4,0)))</f>
        <v>1120</v>
      </c>
      <c r="F152" s="29"/>
      <c r="G152" s="29"/>
      <c r="H152" s="10" t="str">
        <f aca="false">City</f>
        <v>Lahore</v>
      </c>
      <c r="I152" s="9" t="s">
        <v>110</v>
      </c>
      <c r="J152" s="9" t="s">
        <v>1648</v>
      </c>
      <c r="K152" s="9" t="s">
        <v>1649</v>
      </c>
      <c r="L152" s="5" t="s">
        <v>1663</v>
      </c>
      <c r="M152" s="10" t="n">
        <f aca="false">IF(NOT(ISNUMBER(E152)),0,IF(OR(J152="OLD SOURCE",J152="UNDATED SOURCE"),2,1))</f>
        <v>1</v>
      </c>
      <c r="N152" s="30" t="n">
        <v>1120</v>
      </c>
      <c r="O152" s="9" t="s">
        <v>1479</v>
      </c>
    </row>
    <row r="153" customFormat="false" ht="15" hidden="false" customHeight="true" outlineLevel="0" collapsed="false">
      <c r="A153" s="9" t="s">
        <v>1175</v>
      </c>
      <c r="B153" s="9" t="s">
        <v>1911</v>
      </c>
      <c r="C153" s="5" t="s">
        <v>1912</v>
      </c>
      <c r="D153" s="9" t="s">
        <v>368</v>
      </c>
      <c r="E153" s="13" t="n">
        <f aca="false">IF(INDEX('08 LOCATION RATE LIBRARY'!$D$153:$N$153,MATCH(City,'08 LOCATION RATE LIBRARY'!$D$4:$N$4,0))="","",INDEX('08 LOCATION RATE LIBRARY'!$D$153:$N$153,MATCH(City,'08 LOCATION RATE LIBRARY'!$D$4:$N$4,0)))</f>
        <v>2718</v>
      </c>
      <c r="F153" s="29"/>
      <c r="G153" s="29"/>
      <c r="H153" s="10" t="str">
        <f aca="false">City</f>
        <v>Lahore</v>
      </c>
      <c r="I153" s="9" t="s">
        <v>110</v>
      </c>
      <c r="J153" s="9" t="s">
        <v>1648</v>
      </c>
      <c r="K153" s="9" t="s">
        <v>1649</v>
      </c>
      <c r="L153" s="5" t="s">
        <v>1663</v>
      </c>
      <c r="M153" s="10" t="n">
        <f aca="false">IF(NOT(ISNUMBER(E153)),0,IF(OR(J153="OLD SOURCE",J153="UNDATED SOURCE"),2,1))</f>
        <v>1</v>
      </c>
      <c r="N153" s="30" t="n">
        <v>2718</v>
      </c>
      <c r="O153" s="9" t="s">
        <v>1479</v>
      </c>
    </row>
    <row r="154" customFormat="false" ht="15" hidden="false" customHeight="true" outlineLevel="0" collapsed="false">
      <c r="A154" s="9" t="s">
        <v>1178</v>
      </c>
      <c r="B154" s="9" t="s">
        <v>1913</v>
      </c>
      <c r="C154" s="5" t="s">
        <v>1647</v>
      </c>
      <c r="D154" s="9" t="s">
        <v>386</v>
      </c>
      <c r="E154" s="13" t="n">
        <f aca="false">IF(INDEX('08 LOCATION RATE LIBRARY'!$D$154:$N$154,MATCH(City,'08 LOCATION RATE LIBRARY'!$D$4:$N$4,0))="","",INDEX('08 LOCATION RATE LIBRARY'!$D$154:$N$154,MATCH(City,'08 LOCATION RATE LIBRARY'!$D$4:$N$4,0)))</f>
        <v>2837.55</v>
      </c>
      <c r="F154" s="29"/>
      <c r="G154" s="29"/>
      <c r="H154" s="10" t="str">
        <f aca="false">City</f>
        <v>Lahore</v>
      </c>
      <c r="I154" s="9" t="s">
        <v>110</v>
      </c>
      <c r="J154" s="9" t="s">
        <v>1648</v>
      </c>
      <c r="K154" s="9" t="s">
        <v>1649</v>
      </c>
      <c r="L154" s="5" t="s">
        <v>1650</v>
      </c>
      <c r="M154" s="10" t="n">
        <f aca="false">IF(NOT(ISNUMBER(E154)),0,IF(OR(J154="OLD SOURCE",J154="UNDATED SOURCE"),2,1))</f>
        <v>1</v>
      </c>
      <c r="N154" s="30" t="n">
        <v>2837.55</v>
      </c>
      <c r="O154" s="9" t="s">
        <v>1479</v>
      </c>
    </row>
    <row r="155" customFormat="false" ht="15" hidden="false" customHeight="true" outlineLevel="0" collapsed="false">
      <c r="A155" s="9" t="s">
        <v>1180</v>
      </c>
      <c r="B155" s="9" t="s">
        <v>1914</v>
      </c>
      <c r="C155" s="5" t="s">
        <v>1915</v>
      </c>
      <c r="D155" s="9" t="s">
        <v>368</v>
      </c>
      <c r="E155" s="13" t="n">
        <f aca="false">IF(INDEX('08 LOCATION RATE LIBRARY'!$D$155:$N$155,MATCH(City,'08 LOCATION RATE LIBRARY'!$D$4:$N$4,0))="","",INDEX('08 LOCATION RATE LIBRARY'!$D$155:$N$155,MATCH(City,'08 LOCATION RATE LIBRARY'!$D$4:$N$4,0)))</f>
        <v>4797</v>
      </c>
      <c r="F155" s="29"/>
      <c r="G155" s="29"/>
      <c r="H155" s="10" t="str">
        <f aca="false">City</f>
        <v>Lahore</v>
      </c>
      <c r="I155" s="9" t="s">
        <v>110</v>
      </c>
      <c r="J155" s="9" t="s">
        <v>1648</v>
      </c>
      <c r="K155" s="9" t="s">
        <v>1649</v>
      </c>
      <c r="L155" s="5" t="s">
        <v>1663</v>
      </c>
      <c r="M155" s="10" t="n">
        <f aca="false">IF(NOT(ISNUMBER(E155)),0,IF(OR(J155="OLD SOURCE",J155="UNDATED SOURCE"),2,1))</f>
        <v>1</v>
      </c>
      <c r="N155" s="30" t="n">
        <v>4797</v>
      </c>
      <c r="O155" s="9" t="s">
        <v>1479</v>
      </c>
    </row>
    <row r="156" customFormat="false" ht="15" hidden="false" customHeight="true" outlineLevel="0" collapsed="false">
      <c r="A156" s="9" t="s">
        <v>1181</v>
      </c>
      <c r="B156" s="9" t="s">
        <v>1916</v>
      </c>
      <c r="C156" s="5" t="s">
        <v>1917</v>
      </c>
      <c r="D156" s="9" t="s">
        <v>368</v>
      </c>
      <c r="E156" s="13" t="n">
        <f aca="false">IF(INDEX('08 LOCATION RATE LIBRARY'!$D$156:$N$156,MATCH(City,'08 LOCATION RATE LIBRARY'!$D$4:$N$4,0))="","",INDEX('08 LOCATION RATE LIBRARY'!$D$156:$N$156,MATCH(City,'08 LOCATION RATE LIBRARY'!$D$4:$N$4,0)))</f>
        <v>2266</v>
      </c>
      <c r="F156" s="29"/>
      <c r="G156" s="29"/>
      <c r="H156" s="10" t="str">
        <f aca="false">City</f>
        <v>Lahore</v>
      </c>
      <c r="I156" s="9" t="s">
        <v>110</v>
      </c>
      <c r="J156" s="9" t="s">
        <v>1648</v>
      </c>
      <c r="K156" s="9" t="s">
        <v>1649</v>
      </c>
      <c r="L156" s="5" t="s">
        <v>1663</v>
      </c>
      <c r="M156" s="10" t="n">
        <f aca="false">IF(NOT(ISNUMBER(E156)),0,IF(OR(J156="OLD SOURCE",J156="UNDATED SOURCE"),2,1))</f>
        <v>1</v>
      </c>
      <c r="N156" s="30" t="n">
        <v>2266</v>
      </c>
      <c r="O156" s="9" t="s">
        <v>1479</v>
      </c>
    </row>
    <row r="157" customFormat="false" ht="15" hidden="false" customHeight="true" outlineLevel="0" collapsed="false">
      <c r="A157" s="9" t="s">
        <v>1182</v>
      </c>
      <c r="B157" s="9" t="s">
        <v>1918</v>
      </c>
      <c r="C157" s="5" t="s">
        <v>1919</v>
      </c>
      <c r="D157" s="9" t="s">
        <v>368</v>
      </c>
      <c r="E157" s="13" t="n">
        <f aca="false">IF(INDEX('08 LOCATION RATE LIBRARY'!$D$157:$N$157,MATCH(City,'08 LOCATION RATE LIBRARY'!$D$4:$N$4,0))="","",INDEX('08 LOCATION RATE LIBRARY'!$D$157:$N$157,MATCH(City,'08 LOCATION RATE LIBRARY'!$D$4:$N$4,0)))</f>
        <v>4437</v>
      </c>
      <c r="F157" s="29"/>
      <c r="G157" s="29"/>
      <c r="H157" s="10" t="str">
        <f aca="false">City</f>
        <v>Lahore</v>
      </c>
      <c r="I157" s="9" t="s">
        <v>110</v>
      </c>
      <c r="J157" s="9" t="s">
        <v>1648</v>
      </c>
      <c r="K157" s="9" t="s">
        <v>1649</v>
      </c>
      <c r="L157" s="5" t="s">
        <v>1663</v>
      </c>
      <c r="M157" s="10" t="n">
        <f aca="false">IF(NOT(ISNUMBER(E157)),0,IF(OR(J157="OLD SOURCE",J157="UNDATED SOURCE"),2,1))</f>
        <v>1</v>
      </c>
      <c r="N157" s="30" t="n">
        <v>4437</v>
      </c>
      <c r="O157" s="9" t="s">
        <v>1479</v>
      </c>
    </row>
    <row r="158" customFormat="false" ht="15" hidden="false" customHeight="true" outlineLevel="0" collapsed="false">
      <c r="A158" s="9" t="s">
        <v>1330</v>
      </c>
      <c r="B158" s="9" t="s">
        <v>584</v>
      </c>
      <c r="C158" s="5" t="s">
        <v>1720</v>
      </c>
      <c r="D158" s="9" t="s">
        <v>386</v>
      </c>
      <c r="E158" s="13" t="n">
        <f aca="false">IF(INDEX('08 LOCATION RATE LIBRARY'!$D$158:$N$158,MATCH(City,'08 LOCATION RATE LIBRARY'!$D$4:$N$4,0))="","",INDEX('08 LOCATION RATE LIBRARY'!$D$158:$N$158,MATCH(City,'08 LOCATION RATE LIBRARY'!$D$4:$N$4,0)))</f>
        <v>32.4</v>
      </c>
      <c r="F158" s="29"/>
      <c r="G158" s="29"/>
      <c r="H158" s="10" t="str">
        <f aca="false">City</f>
        <v>Lahore</v>
      </c>
      <c r="I158" s="9" t="s">
        <v>110</v>
      </c>
      <c r="J158" s="9" t="s">
        <v>1648</v>
      </c>
      <c r="K158" s="9" t="s">
        <v>1718</v>
      </c>
      <c r="L158" s="5"/>
      <c r="M158" s="10" t="n">
        <f aca="false">IF(NOT(ISNUMBER(E158)),0,IF(OR(J158="OLD SOURCE",J158="UNDATED SOURCE"),2,1))</f>
        <v>1</v>
      </c>
      <c r="N158" s="30" t="n">
        <v>32.4</v>
      </c>
      <c r="O158" s="9" t="s">
        <v>1479</v>
      </c>
    </row>
    <row r="159" customFormat="false" ht="15" hidden="false" customHeight="true" outlineLevel="0" collapsed="false">
      <c r="A159" s="9" t="s">
        <v>1331</v>
      </c>
      <c r="B159" s="9" t="s">
        <v>1920</v>
      </c>
      <c r="C159" s="5"/>
      <c r="D159" s="9" t="s">
        <v>368</v>
      </c>
      <c r="E159" s="13" t="n">
        <f aca="false">IF(INDEX('08 LOCATION RATE LIBRARY'!$D$159:$N$159,MATCH(City,'08 LOCATION RATE LIBRARY'!$D$4:$N$4,0))="","",INDEX('08 LOCATION RATE LIBRARY'!$D$159:$N$159,MATCH(City,'08 LOCATION RATE LIBRARY'!$D$4:$N$4,0)))</f>
        <v>11.7</v>
      </c>
      <c r="F159" s="29"/>
      <c r="G159" s="29"/>
      <c r="H159" s="10" t="str">
        <f aca="false">City</f>
        <v>Lahore</v>
      </c>
      <c r="I159" s="9" t="s">
        <v>110</v>
      </c>
      <c r="J159" s="9" t="s">
        <v>1648</v>
      </c>
      <c r="K159" s="9" t="s">
        <v>1718</v>
      </c>
      <c r="L159" s="5"/>
      <c r="M159" s="10" t="n">
        <f aca="false">IF(NOT(ISNUMBER(E159)),0,IF(OR(J159="OLD SOURCE",J159="UNDATED SOURCE"),2,1))</f>
        <v>1</v>
      </c>
      <c r="N159" s="30" t="n">
        <v>11.7</v>
      </c>
      <c r="O159" s="9" t="s">
        <v>1479</v>
      </c>
    </row>
    <row r="160" customFormat="false" ht="15" hidden="false" customHeight="true" outlineLevel="0" collapsed="false">
      <c r="A160" s="9" t="s">
        <v>1333</v>
      </c>
      <c r="B160" s="9" t="s">
        <v>1921</v>
      </c>
      <c r="C160" s="5"/>
      <c r="D160" s="9" t="s">
        <v>368</v>
      </c>
      <c r="E160" s="13" t="n">
        <f aca="false">IF(INDEX('08 LOCATION RATE LIBRARY'!$D$160:$N$160,MATCH(City,'08 LOCATION RATE LIBRARY'!$D$4:$N$4,0))="","",INDEX('08 LOCATION RATE LIBRARY'!$D$160:$N$160,MATCH(City,'08 LOCATION RATE LIBRARY'!$D$4:$N$4,0)))</f>
        <v>21.7</v>
      </c>
      <c r="F160" s="29"/>
      <c r="G160" s="29"/>
      <c r="H160" s="10" t="str">
        <f aca="false">City</f>
        <v>Lahore</v>
      </c>
      <c r="I160" s="9" t="s">
        <v>110</v>
      </c>
      <c r="J160" s="9" t="s">
        <v>1648</v>
      </c>
      <c r="K160" s="9" t="s">
        <v>1718</v>
      </c>
      <c r="L160" s="5"/>
      <c r="M160" s="10" t="n">
        <f aca="false">IF(NOT(ISNUMBER(E160)),0,IF(OR(J160="OLD SOURCE",J160="UNDATED SOURCE"),2,1))</f>
        <v>1</v>
      </c>
      <c r="N160" s="30" t="n">
        <v>21.7</v>
      </c>
      <c r="O160" s="9" t="s">
        <v>1479</v>
      </c>
    </row>
    <row r="161" customFormat="false" ht="15" hidden="false" customHeight="true" outlineLevel="0" collapsed="false">
      <c r="A161" s="9" t="s">
        <v>1337</v>
      </c>
      <c r="B161" s="9" t="s">
        <v>588</v>
      </c>
      <c r="C161" s="5" t="s">
        <v>1720</v>
      </c>
      <c r="D161" s="9" t="s">
        <v>386</v>
      </c>
      <c r="E161" s="13" t="n">
        <f aca="false">IF(INDEX('08 LOCATION RATE LIBRARY'!$D$161:$N$161,MATCH(City,'08 LOCATION RATE LIBRARY'!$D$4:$N$4,0))="","",INDEX('08 LOCATION RATE LIBRARY'!$D$161:$N$161,MATCH(City,'08 LOCATION RATE LIBRARY'!$D$4:$N$4,0)))</f>
        <v>84.6</v>
      </c>
      <c r="F161" s="29"/>
      <c r="G161" s="29"/>
      <c r="H161" s="10" t="str">
        <f aca="false">City</f>
        <v>Lahore</v>
      </c>
      <c r="I161" s="9" t="s">
        <v>110</v>
      </c>
      <c r="J161" s="9" t="s">
        <v>1648</v>
      </c>
      <c r="K161" s="9" t="s">
        <v>1718</v>
      </c>
      <c r="L161" s="5"/>
      <c r="M161" s="10" t="n">
        <f aca="false">IF(NOT(ISNUMBER(E161)),0,IF(OR(J161="OLD SOURCE",J161="UNDATED SOURCE"),2,1))</f>
        <v>1</v>
      </c>
      <c r="N161" s="30" t="n">
        <v>84.6</v>
      </c>
      <c r="O161" s="9" t="s">
        <v>1479</v>
      </c>
    </row>
    <row r="162" customFormat="false" ht="15" hidden="false" customHeight="true" outlineLevel="0" collapsed="false">
      <c r="A162" s="9" t="s">
        <v>1338</v>
      </c>
      <c r="B162" s="9" t="s">
        <v>1922</v>
      </c>
      <c r="C162" s="5"/>
      <c r="D162" s="9" t="s">
        <v>368</v>
      </c>
      <c r="E162" s="13" t="n">
        <f aca="false">IF(INDEX('08 LOCATION RATE LIBRARY'!$D$162:$N$162,MATCH(City,'08 LOCATION RATE LIBRARY'!$D$4:$N$4,0))="","",INDEX('08 LOCATION RATE LIBRARY'!$D$162:$N$162,MATCH(City,'08 LOCATION RATE LIBRARY'!$D$4:$N$4,0)))</f>
        <v>57</v>
      </c>
      <c r="F162" s="29"/>
      <c r="G162" s="29"/>
      <c r="H162" s="10" t="str">
        <f aca="false">City</f>
        <v>Lahore</v>
      </c>
      <c r="I162" s="9" t="s">
        <v>110</v>
      </c>
      <c r="J162" s="9" t="s">
        <v>1648</v>
      </c>
      <c r="K162" s="9" t="s">
        <v>1718</v>
      </c>
      <c r="L162" s="5"/>
      <c r="M162" s="10" t="n">
        <f aca="false">IF(NOT(ISNUMBER(E162)),0,IF(OR(J162="OLD SOURCE",J162="UNDATED SOURCE"),2,1))</f>
        <v>1</v>
      </c>
      <c r="N162" s="30" t="n">
        <v>57</v>
      </c>
      <c r="O162" s="9" t="s">
        <v>1479</v>
      </c>
    </row>
    <row r="163" customFormat="false" ht="15" hidden="false" customHeight="true" outlineLevel="0" collapsed="false">
      <c r="A163" s="9" t="s">
        <v>1339</v>
      </c>
      <c r="B163" s="9" t="s">
        <v>1923</v>
      </c>
      <c r="C163" s="5"/>
      <c r="D163" s="9" t="s">
        <v>368</v>
      </c>
      <c r="E163" s="13" t="n">
        <f aca="false">IF(INDEX('08 LOCATION RATE LIBRARY'!$D$163:$N$163,MATCH(City,'08 LOCATION RATE LIBRARY'!$D$4:$N$4,0))="","",INDEX('08 LOCATION RATE LIBRARY'!$D$163:$N$163,MATCH(City,'08 LOCATION RATE LIBRARY'!$D$4:$N$4,0)))</f>
        <v>101</v>
      </c>
      <c r="F163" s="29"/>
      <c r="G163" s="29"/>
      <c r="H163" s="10" t="str">
        <f aca="false">City</f>
        <v>Lahore</v>
      </c>
      <c r="I163" s="9" t="s">
        <v>110</v>
      </c>
      <c r="J163" s="9" t="s">
        <v>1648</v>
      </c>
      <c r="K163" s="9" t="s">
        <v>1718</v>
      </c>
      <c r="L163" s="5"/>
      <c r="M163" s="10" t="n">
        <f aca="false">IF(NOT(ISNUMBER(E163)),0,IF(OR(J163="OLD SOURCE",J163="UNDATED SOURCE"),2,1))</f>
        <v>1</v>
      </c>
      <c r="N163" s="30" t="n">
        <v>101</v>
      </c>
      <c r="O163" s="9" t="s">
        <v>1479</v>
      </c>
    </row>
    <row r="164" customFormat="false" ht="15" hidden="false" customHeight="true" outlineLevel="0" collapsed="false">
      <c r="A164" s="9" t="s">
        <v>1342</v>
      </c>
      <c r="B164" s="9" t="s">
        <v>592</v>
      </c>
      <c r="C164" s="5" t="s">
        <v>1720</v>
      </c>
      <c r="D164" s="9" t="s">
        <v>386</v>
      </c>
      <c r="E164" s="13" t="n">
        <f aca="false">IF(INDEX('08 LOCATION RATE LIBRARY'!$D$164:$N$164,MATCH(City,'08 LOCATION RATE LIBRARY'!$D$4:$N$4,0))="","",INDEX('08 LOCATION RATE LIBRARY'!$D$164:$N$164,MATCH(City,'08 LOCATION RATE LIBRARY'!$D$4:$N$4,0)))</f>
        <v>117</v>
      </c>
      <c r="F164" s="29"/>
      <c r="G164" s="29"/>
      <c r="H164" s="10" t="str">
        <f aca="false">City</f>
        <v>Lahore</v>
      </c>
      <c r="I164" s="9" t="s">
        <v>110</v>
      </c>
      <c r="J164" s="9" t="s">
        <v>1648</v>
      </c>
      <c r="K164" s="9" t="s">
        <v>1718</v>
      </c>
      <c r="L164" s="5"/>
      <c r="M164" s="10" t="n">
        <f aca="false">IF(NOT(ISNUMBER(E164)),0,IF(OR(J164="OLD SOURCE",J164="UNDATED SOURCE"),2,1))</f>
        <v>1</v>
      </c>
      <c r="N164" s="30" t="n">
        <v>117</v>
      </c>
      <c r="O164" s="9" t="s">
        <v>1479</v>
      </c>
    </row>
    <row r="165" customFormat="false" ht="15" hidden="false" customHeight="true" outlineLevel="0" collapsed="false">
      <c r="A165" s="9" t="s">
        <v>1343</v>
      </c>
      <c r="B165" s="9" t="s">
        <v>1924</v>
      </c>
      <c r="C165" s="5"/>
      <c r="D165" s="9" t="s">
        <v>368</v>
      </c>
      <c r="E165" s="13" t="n">
        <f aca="false">IF(INDEX('08 LOCATION RATE LIBRARY'!$D$165:$N$165,MATCH(City,'08 LOCATION RATE LIBRARY'!$D$4:$N$4,0))="","",INDEX('08 LOCATION RATE LIBRARY'!$D$165:$N$165,MATCH(City,'08 LOCATION RATE LIBRARY'!$D$4:$N$4,0)))</f>
        <v>77</v>
      </c>
      <c r="F165" s="29"/>
      <c r="G165" s="29"/>
      <c r="H165" s="10" t="str">
        <f aca="false">City</f>
        <v>Lahore</v>
      </c>
      <c r="I165" s="9" t="s">
        <v>110</v>
      </c>
      <c r="J165" s="9" t="s">
        <v>1648</v>
      </c>
      <c r="K165" s="9" t="s">
        <v>1718</v>
      </c>
      <c r="L165" s="5"/>
      <c r="M165" s="10" t="n">
        <f aca="false">IF(NOT(ISNUMBER(E165)),0,IF(OR(J165="OLD SOURCE",J165="UNDATED SOURCE"),2,1))</f>
        <v>1</v>
      </c>
      <c r="N165" s="30" t="n">
        <v>77</v>
      </c>
      <c r="O165" s="9" t="s">
        <v>1479</v>
      </c>
    </row>
    <row r="166" customFormat="false" ht="15" hidden="false" customHeight="true" outlineLevel="0" collapsed="false">
      <c r="A166" s="9" t="s">
        <v>1344</v>
      </c>
      <c r="B166" s="9" t="s">
        <v>1925</v>
      </c>
      <c r="C166" s="5"/>
      <c r="D166" s="9" t="s">
        <v>368</v>
      </c>
      <c r="E166" s="13" t="n">
        <f aca="false">IF(INDEX('08 LOCATION RATE LIBRARY'!$D$166:$N$166,MATCH(City,'08 LOCATION RATE LIBRARY'!$D$4:$N$4,0))="","",INDEX('08 LOCATION RATE LIBRARY'!$D$166:$N$166,MATCH(City,'08 LOCATION RATE LIBRARY'!$D$4:$N$4,0)))</f>
        <v>139</v>
      </c>
      <c r="F166" s="29"/>
      <c r="G166" s="29"/>
      <c r="H166" s="10" t="str">
        <f aca="false">City</f>
        <v>Lahore</v>
      </c>
      <c r="I166" s="9" t="s">
        <v>110</v>
      </c>
      <c r="J166" s="9" t="s">
        <v>1648</v>
      </c>
      <c r="K166" s="9" t="s">
        <v>1718</v>
      </c>
      <c r="L166" s="5"/>
      <c r="M166" s="10" t="n">
        <f aca="false">IF(NOT(ISNUMBER(E166)),0,IF(OR(J166="OLD SOURCE",J166="UNDATED SOURCE"),2,1))</f>
        <v>1</v>
      </c>
      <c r="N166" s="30" t="n">
        <v>139</v>
      </c>
      <c r="O166" s="9" t="s">
        <v>1479</v>
      </c>
    </row>
    <row r="167" customFormat="false" ht="15" hidden="false" customHeight="true" outlineLevel="0" collapsed="false">
      <c r="A167" s="9" t="s">
        <v>1345</v>
      </c>
      <c r="B167" s="9" t="s">
        <v>595</v>
      </c>
      <c r="C167" s="5" t="s">
        <v>1720</v>
      </c>
      <c r="D167" s="9" t="s">
        <v>386</v>
      </c>
      <c r="E167" s="13" t="n">
        <f aca="false">IF(INDEX('08 LOCATION RATE LIBRARY'!$D$167:$N$167,MATCH(City,'08 LOCATION RATE LIBRARY'!$D$4:$N$4,0))="","",INDEX('08 LOCATION RATE LIBRARY'!$D$167:$N$167,MATCH(City,'08 LOCATION RATE LIBRARY'!$D$4:$N$4,0)))</f>
        <v>175.5</v>
      </c>
      <c r="F167" s="29"/>
      <c r="G167" s="29"/>
      <c r="H167" s="10" t="str">
        <f aca="false">City</f>
        <v>Lahore</v>
      </c>
      <c r="I167" s="9" t="s">
        <v>110</v>
      </c>
      <c r="J167" s="9" t="s">
        <v>1648</v>
      </c>
      <c r="K167" s="9" t="s">
        <v>1718</v>
      </c>
      <c r="L167" s="5"/>
      <c r="M167" s="10" t="n">
        <f aca="false">IF(NOT(ISNUMBER(E167)),0,IF(OR(J167="OLD SOURCE",J167="UNDATED SOURCE"),2,1))</f>
        <v>1</v>
      </c>
      <c r="N167" s="30" t="n">
        <v>175.5</v>
      </c>
      <c r="O167" s="9" t="s">
        <v>1479</v>
      </c>
    </row>
    <row r="168" customFormat="false" ht="15" hidden="false" customHeight="true" outlineLevel="0" collapsed="false">
      <c r="A168" s="9" t="s">
        <v>1346</v>
      </c>
      <c r="B168" s="9" t="s">
        <v>1926</v>
      </c>
      <c r="C168" s="5"/>
      <c r="D168" s="9" t="s">
        <v>368</v>
      </c>
      <c r="E168" s="13" t="n">
        <f aca="false">IF(INDEX('08 LOCATION RATE LIBRARY'!$D$168:$N$168,MATCH(City,'08 LOCATION RATE LIBRARY'!$D$4:$N$4,0))="","",INDEX('08 LOCATION RATE LIBRARY'!$D$168:$N$168,MATCH(City,'08 LOCATION RATE LIBRARY'!$D$4:$N$4,0)))</f>
        <v>108</v>
      </c>
      <c r="F168" s="29"/>
      <c r="G168" s="29"/>
      <c r="H168" s="10" t="str">
        <f aca="false">City</f>
        <v>Lahore</v>
      </c>
      <c r="I168" s="9" t="s">
        <v>110</v>
      </c>
      <c r="J168" s="9" t="s">
        <v>1648</v>
      </c>
      <c r="K168" s="9" t="s">
        <v>1718</v>
      </c>
      <c r="L168" s="5"/>
      <c r="M168" s="10" t="n">
        <f aca="false">IF(NOT(ISNUMBER(E168)),0,IF(OR(J168="OLD SOURCE",J168="UNDATED SOURCE"),2,1))</f>
        <v>1</v>
      </c>
      <c r="N168" s="30" t="n">
        <v>108</v>
      </c>
      <c r="O168" s="9" t="s">
        <v>1479</v>
      </c>
    </row>
    <row r="169" customFormat="false" ht="15" hidden="false" customHeight="true" outlineLevel="0" collapsed="false">
      <c r="A169" s="9" t="s">
        <v>1347</v>
      </c>
      <c r="B169" s="9" t="s">
        <v>1927</v>
      </c>
      <c r="C169" s="5"/>
      <c r="D169" s="9" t="s">
        <v>368</v>
      </c>
      <c r="E169" s="13" t="n">
        <f aca="false">IF(INDEX('08 LOCATION RATE LIBRARY'!$D$169:$N$169,MATCH(City,'08 LOCATION RATE LIBRARY'!$D$4:$N$4,0))="","",INDEX('08 LOCATION RATE LIBRARY'!$D$169:$N$169,MATCH(City,'08 LOCATION RATE LIBRARY'!$D$4:$N$4,0)))</f>
        <v>219</v>
      </c>
      <c r="F169" s="29"/>
      <c r="G169" s="29"/>
      <c r="H169" s="10" t="str">
        <f aca="false">City</f>
        <v>Lahore</v>
      </c>
      <c r="I169" s="9" t="s">
        <v>110</v>
      </c>
      <c r="J169" s="9" t="s">
        <v>1648</v>
      </c>
      <c r="K169" s="9" t="s">
        <v>1718</v>
      </c>
      <c r="L169" s="5"/>
      <c r="M169" s="10" t="n">
        <f aca="false">IF(NOT(ISNUMBER(E169)),0,IF(OR(J169="OLD SOURCE",J169="UNDATED SOURCE"),2,1))</f>
        <v>1</v>
      </c>
      <c r="N169" s="30" t="n">
        <v>219</v>
      </c>
      <c r="O169" s="9" t="s">
        <v>1479</v>
      </c>
    </row>
    <row r="170" customFormat="false" ht="15" hidden="false" customHeight="true" outlineLevel="0" collapsed="false">
      <c r="A170" s="9" t="s">
        <v>1348</v>
      </c>
      <c r="B170" s="9" t="s">
        <v>1928</v>
      </c>
      <c r="C170" s="5" t="s">
        <v>1929</v>
      </c>
      <c r="D170" s="9" t="s">
        <v>212</v>
      </c>
      <c r="E170" s="13" t="n">
        <f aca="false">IF(INDEX('08 LOCATION RATE LIBRARY'!$D$170:$N$170,MATCH(City,'08 LOCATION RATE LIBRARY'!$D$4:$N$4,0))="","",INDEX('08 LOCATION RATE LIBRARY'!$D$170:$N$170,MATCH(City,'08 LOCATION RATE LIBRARY'!$D$4:$N$4,0)))</f>
        <v>225</v>
      </c>
      <c r="F170" s="29" t="n">
        <v>100</v>
      </c>
      <c r="G170" s="29" t="n">
        <v>350</v>
      </c>
      <c r="H170" s="10" t="str">
        <f aca="false">City</f>
        <v>Lahore</v>
      </c>
      <c r="I170" s="9" t="s">
        <v>110</v>
      </c>
      <c r="J170" s="9" t="s">
        <v>1476</v>
      </c>
      <c r="K170" s="9" t="s">
        <v>1930</v>
      </c>
      <c r="L170" s="5" t="s">
        <v>1931</v>
      </c>
      <c r="M170" s="10" t="n">
        <f aca="false">IF(NOT(ISNUMBER(E170)),0,IF(OR(J170="OLD SOURCE",J170="UNDATED SOURCE"),2,1))</f>
        <v>1</v>
      </c>
      <c r="N170" s="30" t="n">
        <v>225</v>
      </c>
      <c r="O170" s="9" t="s">
        <v>1479</v>
      </c>
    </row>
    <row r="171" customFormat="false" ht="15" hidden="false" customHeight="true" outlineLevel="0" collapsed="false">
      <c r="A171" s="9" t="s">
        <v>1354</v>
      </c>
      <c r="B171" s="9" t="s">
        <v>1932</v>
      </c>
      <c r="C171" s="5" t="s">
        <v>1933</v>
      </c>
      <c r="D171" s="9" t="s">
        <v>212</v>
      </c>
      <c r="E171" s="13" t="n">
        <f aca="false">IF(INDEX('08 LOCATION RATE LIBRARY'!$D$171:$N$171,MATCH(City,'08 LOCATION RATE LIBRARY'!$D$4:$N$4,0))="","",INDEX('08 LOCATION RATE LIBRARY'!$D$171:$N$171,MATCH(City,'08 LOCATION RATE LIBRARY'!$D$4:$N$4,0)))</f>
        <v>350</v>
      </c>
      <c r="F171" s="29" t="n">
        <v>200</v>
      </c>
      <c r="G171" s="29" t="n">
        <v>500</v>
      </c>
      <c r="H171" s="10" t="str">
        <f aca="false">City</f>
        <v>Lahore</v>
      </c>
      <c r="I171" s="9" t="s">
        <v>110</v>
      </c>
      <c r="J171" s="9" t="s">
        <v>1476</v>
      </c>
      <c r="K171" s="9" t="s">
        <v>1930</v>
      </c>
      <c r="L171" s="5" t="s">
        <v>1934</v>
      </c>
      <c r="M171" s="10" t="n">
        <f aca="false">IF(NOT(ISNUMBER(E171)),0,IF(OR(J171="OLD SOURCE",J171="UNDATED SOURCE"),2,1))</f>
        <v>1</v>
      </c>
      <c r="N171" s="30" t="n">
        <v>350</v>
      </c>
      <c r="O171" s="9" t="s">
        <v>1479</v>
      </c>
    </row>
    <row r="172" customFormat="false" ht="15" hidden="false" customHeight="true" outlineLevel="0" collapsed="false">
      <c r="A172" s="9" t="s">
        <v>1350</v>
      </c>
      <c r="B172" s="9" t="s">
        <v>1935</v>
      </c>
      <c r="C172" s="5"/>
      <c r="D172" s="9" t="s">
        <v>198</v>
      </c>
      <c r="E172" s="13" t="n">
        <f aca="false">IF(INDEX('08 LOCATION RATE LIBRARY'!$D$172:$N$172,MATCH(City,'08 LOCATION RATE LIBRARY'!$D$4:$N$4,0))="","",INDEX('08 LOCATION RATE LIBRARY'!$D$172:$N$172,MATCH(City,'08 LOCATION RATE LIBRARY'!$D$4:$N$4,0)))</f>
        <v>700</v>
      </c>
      <c r="F172" s="29"/>
      <c r="G172" s="29"/>
      <c r="H172" s="10" t="str">
        <f aca="false">City</f>
        <v>Lahore</v>
      </c>
      <c r="I172" s="9" t="s">
        <v>110</v>
      </c>
      <c r="J172" s="10" t="str">
        <f aca="false">IF(ISNUMBER('16 VENDOR ENQUIRY (RFQ)'!H17),"Vendor quote","ASSUMED")</f>
        <v>ASSUMED</v>
      </c>
      <c r="K172" s="9" t="s">
        <v>1494</v>
      </c>
      <c r="L172" s="5" t="s">
        <v>1936</v>
      </c>
      <c r="M172" s="10" t="n">
        <f aca="false">IF(NOT(ISNUMBER(E172)),0,IF(OR(J172="OLD SOURCE",J172="UNDATED SOURCE"),2,1))</f>
        <v>1</v>
      </c>
      <c r="N172" s="31" t="n">
        <f aca="false">IF(ISNUMBER('16 VENDOR ENQUIRY (RFQ)'!H17),'16 VENDOR ENQUIRY (RFQ)'!H17,700)</f>
        <v>700</v>
      </c>
      <c r="O172" s="9" t="s">
        <v>1485</v>
      </c>
    </row>
    <row r="173" customFormat="false" ht="21.75" hidden="false" customHeight="true" outlineLevel="0" collapsed="false">
      <c r="A173" s="9" t="s">
        <v>1356</v>
      </c>
      <c r="B173" s="9" t="s">
        <v>1937</v>
      </c>
      <c r="C173" s="5"/>
      <c r="D173" s="9" t="s">
        <v>212</v>
      </c>
      <c r="E173" s="13" t="n">
        <f aca="false">IF(INDEX('08 LOCATION RATE LIBRARY'!$D$173:$N$173,MATCH(City,'08 LOCATION RATE LIBRARY'!$D$4:$N$4,0))="","",INDEX('08 LOCATION RATE LIBRARY'!$D$173:$N$173,MATCH(City,'08 LOCATION RATE LIBRARY'!$D$4:$N$4,0)))</f>
        <v>0</v>
      </c>
      <c r="F173" s="29"/>
      <c r="G173" s="29"/>
      <c r="H173" s="10" t="str">
        <f aca="false">City</f>
        <v>Lahore</v>
      </c>
      <c r="I173" s="9" t="s">
        <v>1522</v>
      </c>
      <c r="J173" s="9" t="s">
        <v>1893</v>
      </c>
      <c r="K173" s="9" t="s">
        <v>1562</v>
      </c>
      <c r="L173" s="5" t="s">
        <v>1938</v>
      </c>
      <c r="M173" s="10" t="n">
        <f aca="false">IF(NOT(ISNUMBER(E173)),0,IF(OR(J173="OLD SOURCE",J173="UNDATED SOURCE"),2,1))</f>
        <v>1</v>
      </c>
      <c r="N173" s="30" t="n">
        <v>0</v>
      </c>
      <c r="O173" s="9" t="s">
        <v>1485</v>
      </c>
    </row>
    <row r="174" customFormat="false" ht="32.25" hidden="false" customHeight="true" outlineLevel="0" collapsed="false">
      <c r="A174" s="9" t="s">
        <v>1358</v>
      </c>
      <c r="B174" s="9" t="s">
        <v>1939</v>
      </c>
      <c r="C174" s="5" t="s">
        <v>1940</v>
      </c>
      <c r="D174" s="9" t="s">
        <v>212</v>
      </c>
      <c r="E174" s="13" t="n">
        <f aca="false">IF(INDEX('08 LOCATION RATE LIBRARY'!$D$174:$N$174,MATCH(City,'08 LOCATION RATE LIBRARY'!$D$4:$N$4,0))="","",INDEX('08 LOCATION RATE LIBRARY'!$D$174:$N$174,MATCH(City,'08 LOCATION RATE LIBRARY'!$D$4:$N$4,0)))</f>
        <v>200</v>
      </c>
      <c r="F174" s="29"/>
      <c r="G174" s="29"/>
      <c r="H174" s="10" t="str">
        <f aca="false">City</f>
        <v>Lahore</v>
      </c>
      <c r="I174" s="9" t="s">
        <v>1522</v>
      </c>
      <c r="J174" s="9" t="s">
        <v>1476</v>
      </c>
      <c r="K174" s="9" t="s">
        <v>1562</v>
      </c>
      <c r="L174" s="5" t="s">
        <v>1941</v>
      </c>
      <c r="M174" s="10" t="n">
        <f aca="false">IF(NOT(ISNUMBER(E174)),0,IF(OR(J174="OLD SOURCE",J174="UNDATED SOURCE"),2,1))</f>
        <v>1</v>
      </c>
      <c r="N174" s="30" t="n">
        <v>200</v>
      </c>
      <c r="O174" s="9" t="s">
        <v>1485</v>
      </c>
    </row>
    <row r="175" customFormat="false" ht="21.75" hidden="false" customHeight="true" outlineLevel="0" collapsed="false">
      <c r="A175" s="9" t="s">
        <v>1395</v>
      </c>
      <c r="B175" s="9" t="s">
        <v>1942</v>
      </c>
      <c r="C175" s="5" t="s">
        <v>1943</v>
      </c>
      <c r="D175" s="9" t="s">
        <v>109</v>
      </c>
      <c r="E175" s="13" t="n">
        <f aca="false">IF(INDEX('08 LOCATION RATE LIBRARY'!$D$175:$N$175,MATCH(City,'08 LOCATION RATE LIBRARY'!$D$4:$N$4,0))="","",INDEX('08 LOCATION RATE LIBRARY'!$D$175:$N$175,MATCH(City,'08 LOCATION RATE LIBRARY'!$D$4:$N$4,0)))</f>
        <v>337.25</v>
      </c>
      <c r="F175" s="29"/>
      <c r="G175" s="29"/>
      <c r="H175" s="10" t="str">
        <f aca="false">City</f>
        <v>Lahore</v>
      </c>
      <c r="I175" s="9" t="s">
        <v>1944</v>
      </c>
      <c r="J175" s="9" t="s">
        <v>1489</v>
      </c>
      <c r="K175" s="9" t="s">
        <v>1490</v>
      </c>
      <c r="L175" s="5" t="s">
        <v>1945</v>
      </c>
      <c r="M175" s="10" t="n">
        <f aca="false">IF(NOT(ISNUMBER(E175)),0,IF(OR(J175="OLD SOURCE",J175="UNDATED SOURCE"),2,1))</f>
        <v>1</v>
      </c>
      <c r="N175" s="30" t="n">
        <v>337.25</v>
      </c>
      <c r="O175" s="9" t="s">
        <v>1485</v>
      </c>
    </row>
    <row r="176" customFormat="false" ht="32.25" hidden="false" customHeight="true" outlineLevel="0" collapsed="false">
      <c r="A176" s="9" t="s">
        <v>1401</v>
      </c>
      <c r="B176" s="9" t="s">
        <v>1946</v>
      </c>
      <c r="C176" s="5" t="s">
        <v>1947</v>
      </c>
      <c r="D176" s="9" t="s">
        <v>109</v>
      </c>
      <c r="E176" s="13" t="n">
        <f aca="false">IF(INDEX('08 LOCATION RATE LIBRARY'!$D$176:$N$176,MATCH(City,'08 LOCATION RATE LIBRARY'!$D$4:$N$4,0))="","",INDEX('08 LOCATION RATE LIBRARY'!$D$176:$N$176,MATCH(City,'08 LOCATION RATE LIBRARY'!$D$4:$N$4,0)))</f>
        <v>331.31</v>
      </c>
      <c r="F176" s="29"/>
      <c r="G176" s="29"/>
      <c r="H176" s="10" t="str">
        <f aca="false">City</f>
        <v>Lahore</v>
      </c>
      <c r="I176" s="9" t="s">
        <v>1948</v>
      </c>
      <c r="J176" s="9" t="s">
        <v>1489</v>
      </c>
      <c r="K176" s="9" t="s">
        <v>1490</v>
      </c>
      <c r="L176" s="5" t="s">
        <v>1949</v>
      </c>
      <c r="M176" s="10" t="n">
        <f aca="false">IF(NOT(ISNUMBER(E176)),0,IF(OR(J176="OLD SOURCE",J176="UNDATED SOURCE"),2,1))</f>
        <v>1</v>
      </c>
      <c r="N176" s="30" t="n">
        <v>331.31</v>
      </c>
      <c r="O176" s="9" t="s">
        <v>1485</v>
      </c>
    </row>
    <row r="177" customFormat="false" ht="21.75" hidden="false" customHeight="true" outlineLevel="0" collapsed="false">
      <c r="A177" s="9" t="s">
        <v>1402</v>
      </c>
      <c r="B177" s="9" t="s">
        <v>1950</v>
      </c>
      <c r="C177" s="5" t="s">
        <v>1947</v>
      </c>
      <c r="D177" s="9" t="s">
        <v>109</v>
      </c>
      <c r="E177" s="13" t="n">
        <f aca="false">IF(INDEX('08 LOCATION RATE LIBRARY'!$D$177:$N$177,MATCH(City,'08 LOCATION RATE LIBRARY'!$D$4:$N$4,0))="","",INDEX('08 LOCATION RATE LIBRARY'!$D$177:$N$177,MATCH(City,'08 LOCATION RATE LIBRARY'!$D$4:$N$4,0)))</f>
        <v>427.58</v>
      </c>
      <c r="F177" s="29"/>
      <c r="G177" s="29"/>
      <c r="H177" s="10" t="str">
        <f aca="false">City</f>
        <v>Lahore</v>
      </c>
      <c r="I177" s="9" t="s">
        <v>1948</v>
      </c>
      <c r="J177" s="9" t="s">
        <v>1489</v>
      </c>
      <c r="K177" s="9" t="s">
        <v>1490</v>
      </c>
      <c r="L177" s="5" t="s">
        <v>1951</v>
      </c>
      <c r="M177" s="10" t="n">
        <f aca="false">IF(NOT(ISNUMBER(E177)),0,IF(OR(J177="OLD SOURCE",J177="UNDATED SOURCE"),2,1))</f>
        <v>1</v>
      </c>
      <c r="N177" s="30" t="n">
        <v>427.58</v>
      </c>
      <c r="O177" s="9" t="s">
        <v>1485</v>
      </c>
    </row>
    <row r="178" customFormat="false" ht="21.75" hidden="false" customHeight="true" outlineLevel="0" collapsed="false">
      <c r="A178" s="9" t="s">
        <v>1403</v>
      </c>
      <c r="B178" s="9" t="s">
        <v>1952</v>
      </c>
      <c r="C178" s="5" t="s">
        <v>1947</v>
      </c>
      <c r="D178" s="9" t="s">
        <v>109</v>
      </c>
      <c r="E178" s="13" t="n">
        <f aca="false">IF(INDEX('08 LOCATION RATE LIBRARY'!$D$178:$N$178,MATCH(City,'08 LOCATION RATE LIBRARY'!$D$4:$N$4,0))="","",INDEX('08 LOCATION RATE LIBRARY'!$D$178:$N$178,MATCH(City,'08 LOCATION RATE LIBRARY'!$D$4:$N$4,0)))</f>
        <v>270.03</v>
      </c>
      <c r="F178" s="29"/>
      <c r="G178" s="29"/>
      <c r="H178" s="10" t="str">
        <f aca="false">City</f>
        <v>Lahore</v>
      </c>
      <c r="I178" s="9" t="s">
        <v>1953</v>
      </c>
      <c r="J178" s="9" t="s">
        <v>1489</v>
      </c>
      <c r="K178" s="9" t="s">
        <v>1490</v>
      </c>
      <c r="L178" s="5" t="s">
        <v>1954</v>
      </c>
      <c r="M178" s="10" t="n">
        <f aca="false">IF(NOT(ISNUMBER(E178)),0,IF(OR(J178="OLD SOURCE",J178="UNDATED SOURCE"),2,1))</f>
        <v>1</v>
      </c>
      <c r="N178" s="30" t="n">
        <v>270.03</v>
      </c>
      <c r="O178" s="9" t="s">
        <v>1485</v>
      </c>
    </row>
    <row r="179" customFormat="false" ht="42.75" hidden="false" customHeight="true" outlineLevel="0" collapsed="false">
      <c r="A179" s="9" t="s">
        <v>987</v>
      </c>
      <c r="B179" s="9" t="s">
        <v>1955</v>
      </c>
      <c r="C179" s="5" t="s">
        <v>1956</v>
      </c>
      <c r="D179" s="9" t="s">
        <v>212</v>
      </c>
      <c r="E179" s="13" t="n">
        <f aca="false">IF(INDEX('08 LOCATION RATE LIBRARY'!$D$179:$N$179,MATCH(City,'08 LOCATION RATE LIBRARY'!$D$4:$N$4,0))="","",INDEX('08 LOCATION RATE LIBRARY'!$D$179:$N$179,MATCH(City,'08 LOCATION RATE LIBRARY'!$D$4:$N$4,0)))</f>
        <v>176.1</v>
      </c>
      <c r="F179" s="29"/>
      <c r="G179" s="29"/>
      <c r="H179" s="10" t="str">
        <f aca="false">City</f>
        <v>Lahore</v>
      </c>
      <c r="I179" s="9" t="s">
        <v>1498</v>
      </c>
      <c r="J179" s="9" t="s">
        <v>1769</v>
      </c>
      <c r="K179" s="9" t="s">
        <v>1770</v>
      </c>
      <c r="L179" s="5" t="s">
        <v>1957</v>
      </c>
      <c r="M179" s="10" t="n">
        <f aca="false">IF(NOT(ISNUMBER(E179)),0,IF(OR(J179="OLD SOURCE",J179="UNDATED SOURCE"),2,1))</f>
        <v>1</v>
      </c>
      <c r="N179" s="30" t="n">
        <v>176.1</v>
      </c>
      <c r="O179" s="9" t="s">
        <v>1485</v>
      </c>
    </row>
    <row r="180" customFormat="false" ht="21.75" hidden="false" customHeight="true" outlineLevel="0" collapsed="false">
      <c r="A180" s="9" t="s">
        <v>992</v>
      </c>
      <c r="B180" s="9" t="s">
        <v>1958</v>
      </c>
      <c r="C180" s="5" t="s">
        <v>1959</v>
      </c>
      <c r="D180" s="9" t="s">
        <v>212</v>
      </c>
      <c r="E180" s="13" t="n">
        <f aca="false">IF(INDEX('08 LOCATION RATE LIBRARY'!$D$180:$N$180,MATCH(City,'08 LOCATION RATE LIBRARY'!$D$4:$N$4,0))="","",INDEX('08 LOCATION RATE LIBRARY'!$D$180:$N$180,MATCH(City,'08 LOCATION RATE LIBRARY'!$D$4:$N$4,0)))</f>
        <v>212.19</v>
      </c>
      <c r="F180" s="29"/>
      <c r="G180" s="29"/>
      <c r="H180" s="10" t="str">
        <f aca="false">City</f>
        <v>Lahore</v>
      </c>
      <c r="I180" s="9" t="s">
        <v>110</v>
      </c>
      <c r="J180" s="10" t="str">
        <f aca="false">IF(ISNUMBER('16 VENDOR ENQUIRY (RFQ)'!H10),"Vendor quote","ASSUMED")</f>
        <v>ASSUMED</v>
      </c>
      <c r="K180" s="9" t="s">
        <v>1494</v>
      </c>
      <c r="L180" s="5" t="s">
        <v>1960</v>
      </c>
      <c r="M180" s="10" t="n">
        <f aca="false">IF(NOT(ISNUMBER(E180)),0,IF(OR(J180="OLD SOURCE",J180="UNDATED SOURCE"),2,1))</f>
        <v>1</v>
      </c>
      <c r="N180" s="31" t="n">
        <f aca="false">IF(ISNUMBER('16 VENDOR ENQUIRY (RFQ)'!H10),'16 VENDOR ENQUIRY (RFQ)'!H10,212.19)</f>
        <v>212.19</v>
      </c>
      <c r="O180" s="9" t="s">
        <v>1485</v>
      </c>
    </row>
    <row r="181" customFormat="false" ht="21.75" hidden="false" customHeight="true" outlineLevel="0" collapsed="false">
      <c r="A181" s="9" t="s">
        <v>1413</v>
      </c>
      <c r="B181" s="9" t="s">
        <v>1414</v>
      </c>
      <c r="C181" s="5" t="s">
        <v>1961</v>
      </c>
      <c r="D181" s="9" t="s">
        <v>386</v>
      </c>
      <c r="E181" s="13" t="n">
        <f aca="false">IF(INDEX('08 LOCATION RATE LIBRARY'!$D$219:$N$219,MATCH(City,'08 LOCATION RATE LIBRARY'!$D$4:$N$4,0))="","",INDEX('08 LOCATION RATE LIBRARY'!$D$219:$N$219,MATCH(City,'08 LOCATION RATE LIBRARY'!$D$4:$N$4,0)))</f>
        <v>364</v>
      </c>
      <c r="F181" s="29"/>
      <c r="G181" s="29"/>
      <c r="H181" s="10" t="str">
        <f aca="false">City</f>
        <v>Lahore</v>
      </c>
      <c r="I181" s="9" t="s">
        <v>1749</v>
      </c>
      <c r="J181" s="10" t="s">
        <v>1962</v>
      </c>
      <c r="K181" s="9" t="s">
        <v>1963</v>
      </c>
      <c r="L181" s="5" t="s">
        <v>1964</v>
      </c>
      <c r="M181" s="10" t="n">
        <f aca="false">IF(NOT(ISNUMBER(E181)),0,IF(OR(J181="OLD SOURCE",J181="UNDATED SOURCE"),2,1))</f>
        <v>2</v>
      </c>
      <c r="N181" s="31" t="n">
        <v>364</v>
      </c>
      <c r="O181" s="9" t="s">
        <v>1485</v>
      </c>
    </row>
    <row r="182" customFormat="false" ht="21.75" hidden="false" customHeight="true" outlineLevel="0" collapsed="false">
      <c r="A182" s="9" t="s">
        <v>1415</v>
      </c>
      <c r="B182" s="9" t="s">
        <v>1965</v>
      </c>
      <c r="C182" s="5" t="s">
        <v>1966</v>
      </c>
      <c r="D182" s="9" t="s">
        <v>368</v>
      </c>
      <c r="E182" s="13" t="n">
        <f aca="false">IF(INDEX('08 LOCATION RATE LIBRARY'!$D$220:$N$220,MATCH(City,'08 LOCATION RATE LIBRARY'!$D$4:$N$4,0))="","",INDEX('08 LOCATION RATE LIBRARY'!$D$220:$N$220,MATCH(City,'08 LOCATION RATE LIBRARY'!$D$4:$N$4,0)))</f>
        <v>1763</v>
      </c>
      <c r="F182" s="29"/>
      <c r="G182" s="29"/>
      <c r="H182" s="10" t="str">
        <f aca="false">City</f>
        <v>Lahore</v>
      </c>
      <c r="I182" s="9" t="s">
        <v>1967</v>
      </c>
      <c r="J182" s="10" t="s">
        <v>1962</v>
      </c>
      <c r="K182" s="9" t="s">
        <v>1963</v>
      </c>
      <c r="L182" s="5" t="s">
        <v>1968</v>
      </c>
      <c r="M182" s="10" t="n">
        <f aca="false">IF(NOT(ISNUMBER(E182)),0,IF(OR(J182="OLD SOURCE",J182="UNDATED SOURCE"),2,1))</f>
        <v>2</v>
      </c>
      <c r="N182" s="31" t="n">
        <v>1763</v>
      </c>
      <c r="O182" s="9" t="s">
        <v>1485</v>
      </c>
    </row>
    <row r="183" customFormat="false" ht="21.75" hidden="false" customHeight="true" outlineLevel="0" collapsed="false">
      <c r="A183" s="9" t="s">
        <v>1417</v>
      </c>
      <c r="B183" s="9" t="s">
        <v>1969</v>
      </c>
      <c r="C183" s="5" t="s">
        <v>1970</v>
      </c>
      <c r="D183" s="9" t="s">
        <v>368</v>
      </c>
      <c r="E183" s="13" t="n">
        <f aca="false">IF(INDEX('08 LOCATION RATE LIBRARY'!$D$221:$N$221,MATCH(City,'08 LOCATION RATE LIBRARY'!$D$4:$N$4,0))="","",INDEX('08 LOCATION RATE LIBRARY'!$D$221:$N$221,MATCH(City,'08 LOCATION RATE LIBRARY'!$D$4:$N$4,0)))</f>
        <v>2435</v>
      </c>
      <c r="F183" s="29"/>
      <c r="G183" s="29"/>
      <c r="H183" s="10" t="str">
        <f aca="false">City</f>
        <v>Lahore</v>
      </c>
      <c r="I183" s="9" t="s">
        <v>1971</v>
      </c>
      <c r="J183" s="10" t="s">
        <v>1962</v>
      </c>
      <c r="K183" s="9" t="s">
        <v>1963</v>
      </c>
      <c r="L183" s="5" t="s">
        <v>1972</v>
      </c>
      <c r="M183" s="10" t="n">
        <f aca="false">IF(NOT(ISNUMBER(E183)),0,IF(OR(J183="OLD SOURCE",J183="UNDATED SOURCE"),2,1))</f>
        <v>2</v>
      </c>
      <c r="N183" s="31" t="n">
        <v>2435</v>
      </c>
      <c r="O183" s="9" t="s">
        <v>1485</v>
      </c>
    </row>
    <row r="184" customFormat="false" ht="21.75" hidden="false" customHeight="true" outlineLevel="0" collapsed="false">
      <c r="A184" s="9" t="s">
        <v>1421</v>
      </c>
      <c r="B184" s="9" t="s">
        <v>1973</v>
      </c>
      <c r="C184" s="5" t="s">
        <v>1974</v>
      </c>
      <c r="D184" s="9" t="s">
        <v>368</v>
      </c>
      <c r="E184" s="13" t="n">
        <f aca="false">IF(INDEX('08 LOCATION RATE LIBRARY'!$D$222:$N$222,MATCH(City,'08 LOCATION RATE LIBRARY'!$D$4:$N$4,0))="","",INDEX('08 LOCATION RATE LIBRARY'!$D$222:$N$222,MATCH(City,'08 LOCATION RATE LIBRARY'!$D$4:$N$4,0)))</f>
        <v>44179</v>
      </c>
      <c r="F184" s="29"/>
      <c r="G184" s="29"/>
      <c r="H184" s="10" t="str">
        <f aca="false">City</f>
        <v>Lahore</v>
      </c>
      <c r="I184" s="9" t="s">
        <v>1859</v>
      </c>
      <c r="J184" s="10" t="s">
        <v>1962</v>
      </c>
      <c r="K184" s="9" t="s">
        <v>1963</v>
      </c>
      <c r="L184" s="5" t="s">
        <v>1975</v>
      </c>
      <c r="M184" s="10" t="n">
        <f aca="false">IF(NOT(ISNUMBER(E184)),0,IF(OR(J184="OLD SOURCE",J184="UNDATED SOURCE"),2,1))</f>
        <v>2</v>
      </c>
      <c r="N184" s="31" t="n">
        <v>44179</v>
      </c>
      <c r="O184" s="9" t="s">
        <v>1485</v>
      </c>
    </row>
    <row r="185" customFormat="false" ht="21.75" hidden="false" customHeight="true" outlineLevel="0" collapsed="false">
      <c r="A185" s="9" t="s">
        <v>1424</v>
      </c>
      <c r="B185" s="9" t="s">
        <v>1976</v>
      </c>
      <c r="C185" s="5" t="s">
        <v>1977</v>
      </c>
      <c r="D185" s="9" t="s">
        <v>368</v>
      </c>
      <c r="E185" s="13" t="n">
        <f aca="false">IF(INDEX('08 LOCATION RATE LIBRARY'!$D$223:$N$223,MATCH(City,'08 LOCATION RATE LIBRARY'!$D$4:$N$4,0))="","",INDEX('08 LOCATION RATE LIBRARY'!$D$223:$N$223,MATCH(City,'08 LOCATION RATE LIBRARY'!$D$4:$N$4,0)))</f>
        <v>140063</v>
      </c>
      <c r="F185" s="29"/>
      <c r="G185" s="29"/>
      <c r="H185" s="10" t="str">
        <f aca="false">City</f>
        <v>Lahore</v>
      </c>
      <c r="I185" s="9" t="s">
        <v>1978</v>
      </c>
      <c r="J185" s="10" t="s">
        <v>1962</v>
      </c>
      <c r="K185" s="9" t="s">
        <v>1963</v>
      </c>
      <c r="L185" s="5" t="s">
        <v>1979</v>
      </c>
      <c r="M185" s="10" t="n">
        <f aca="false">IF(NOT(ISNUMBER(E185)),0,IF(OR(J185="OLD SOURCE",J185="UNDATED SOURCE"),2,1))</f>
        <v>2</v>
      </c>
      <c r="N185" s="31" t="n">
        <v>140063</v>
      </c>
      <c r="O185" s="9" t="s">
        <v>1485</v>
      </c>
    </row>
    <row r="186" customFormat="false" ht="32.25" hidden="false" customHeight="true" outlineLevel="0" collapsed="false">
      <c r="A186" s="9" t="s">
        <v>1427</v>
      </c>
      <c r="B186" s="9" t="s">
        <v>1980</v>
      </c>
      <c r="C186" s="5" t="s">
        <v>1981</v>
      </c>
      <c r="D186" s="9" t="s">
        <v>709</v>
      </c>
      <c r="E186" s="13" t="n">
        <f aca="false">IF(INDEX('08 LOCATION RATE LIBRARY'!$D$224:$N$224,MATCH(City,'08 LOCATION RATE LIBRARY'!$D$4:$N$4,0))="","",INDEX('08 LOCATION RATE LIBRARY'!$D$224:$N$224,MATCH(City,'08 LOCATION RATE LIBRARY'!$D$4:$N$4,0)))</f>
        <v>500000</v>
      </c>
      <c r="F186" s="29"/>
      <c r="G186" s="29"/>
      <c r="H186" s="10" t="str">
        <f aca="false">City</f>
        <v>Lahore</v>
      </c>
      <c r="I186" s="9" t="s">
        <v>110</v>
      </c>
      <c r="J186" s="10" t="str">
        <f aca="false">IF(ISNUMBER('16 VENDOR ENQUIRY (RFQ)'!H58),"Vendor quote","ASSUMED")</f>
        <v>ASSUMED</v>
      </c>
      <c r="K186" s="9" t="s">
        <v>1494</v>
      </c>
      <c r="L186" s="5" t="s">
        <v>1982</v>
      </c>
      <c r="M186" s="10" t="n">
        <f aca="false">IF(NOT(ISNUMBER(E186)),0,IF(OR(J186="OLD SOURCE",J186="UNDATED SOURCE"),2,1))</f>
        <v>1</v>
      </c>
      <c r="N186" s="31" t="n">
        <f aca="false">IF(ISNUMBER('16 VENDOR ENQUIRY (RFQ)'!H58),'16 VENDOR ENQUIRY (RFQ)'!H58,500000)</f>
        <v>500000</v>
      </c>
      <c r="O186" s="9" t="s">
        <v>1485</v>
      </c>
    </row>
    <row r="187" customFormat="false" ht="32.25" hidden="false" customHeight="true" outlineLevel="0" collapsed="false">
      <c r="A187" s="9" t="s">
        <v>1430</v>
      </c>
      <c r="B187" s="9" t="s">
        <v>1983</v>
      </c>
      <c r="C187" s="5" t="s">
        <v>1981</v>
      </c>
      <c r="D187" s="9" t="s">
        <v>709</v>
      </c>
      <c r="E187" s="13" t="n">
        <f aca="false">IF(INDEX('08 LOCATION RATE LIBRARY'!$D$225:$N$225,MATCH(City,'08 LOCATION RATE LIBRARY'!$D$4:$N$4,0))="","",INDEX('08 LOCATION RATE LIBRARY'!$D$225:$N$225,MATCH(City,'08 LOCATION RATE LIBRARY'!$D$4:$N$4,0)))</f>
        <v>1500000</v>
      </c>
      <c r="F187" s="29"/>
      <c r="G187" s="29"/>
      <c r="H187" s="10" t="str">
        <f aca="false">City</f>
        <v>Lahore</v>
      </c>
      <c r="I187" s="9" t="s">
        <v>110</v>
      </c>
      <c r="J187" s="10" t="str">
        <f aca="false">IF(ISNUMBER('16 VENDOR ENQUIRY (RFQ)'!H59),"Vendor quote","ASSUMED")</f>
        <v>ASSUMED</v>
      </c>
      <c r="K187" s="9" t="s">
        <v>1494</v>
      </c>
      <c r="L187" s="5" t="s">
        <v>1984</v>
      </c>
      <c r="M187" s="10" t="n">
        <f aca="false">IF(NOT(ISNUMBER(E187)),0,IF(OR(J187="OLD SOURCE",J187="UNDATED SOURCE"),2,1))</f>
        <v>1</v>
      </c>
      <c r="N187" s="31" t="n">
        <f aca="false">IF(ISNUMBER('16 VENDOR ENQUIRY (RFQ)'!H59),'16 VENDOR ENQUIRY (RFQ)'!H59,1500000)</f>
        <v>1500000</v>
      </c>
      <c r="O187" s="9" t="s">
        <v>1485</v>
      </c>
    </row>
    <row r="188" customFormat="false" ht="32.25" hidden="false" customHeight="true" outlineLevel="0" collapsed="false">
      <c r="A188" s="9" t="s">
        <v>1432</v>
      </c>
      <c r="B188" s="9" t="s">
        <v>1985</v>
      </c>
      <c r="C188" s="5" t="s">
        <v>1981</v>
      </c>
      <c r="D188" s="9" t="s">
        <v>717</v>
      </c>
      <c r="E188" s="13" t="n">
        <f aca="false">IF(INDEX('08 LOCATION RATE LIBRARY'!$D$226:$N$226,MATCH(City,'08 LOCATION RATE LIBRARY'!$D$4:$N$4,0))="","",INDEX('08 LOCATION RATE LIBRARY'!$D$226:$N$226,MATCH(City,'08 LOCATION RATE LIBRARY'!$D$4:$N$4,0)))</f>
        <v>150000</v>
      </c>
      <c r="F188" s="29"/>
      <c r="G188" s="29"/>
      <c r="H188" s="10" t="str">
        <f aca="false">City</f>
        <v>Lahore</v>
      </c>
      <c r="I188" s="9" t="s">
        <v>110</v>
      </c>
      <c r="J188" s="10" t="str">
        <f aca="false">IF(ISNUMBER('16 VENDOR ENQUIRY (RFQ)'!H60),"Vendor quote","ASSUMED")</f>
        <v>ASSUMED</v>
      </c>
      <c r="K188" s="9" t="s">
        <v>1494</v>
      </c>
      <c r="L188" s="5" t="s">
        <v>1986</v>
      </c>
      <c r="M188" s="10" t="n">
        <f aca="false">IF(NOT(ISNUMBER(E188)),0,IF(OR(J188="OLD SOURCE",J188="UNDATED SOURCE"),2,1))</f>
        <v>1</v>
      </c>
      <c r="N188" s="31" t="n">
        <f aca="false">IF(ISNUMBER('16 VENDOR ENQUIRY (RFQ)'!H60),'16 VENDOR ENQUIRY (RFQ)'!H60,150000)</f>
        <v>150000</v>
      </c>
      <c r="O188" s="9" t="s">
        <v>1485</v>
      </c>
    </row>
    <row r="189" customFormat="false" ht="32.25" hidden="false" customHeight="true" outlineLevel="0" collapsed="false">
      <c r="A189" s="9" t="s">
        <v>1434</v>
      </c>
      <c r="B189" s="9" t="s">
        <v>1987</v>
      </c>
      <c r="C189" s="5" t="s">
        <v>1981</v>
      </c>
      <c r="D189" s="9" t="s">
        <v>368</v>
      </c>
      <c r="E189" s="13" t="n">
        <f aca="false">IF(INDEX('08 LOCATION RATE LIBRARY'!$D$227:$N$227,MATCH(City,'08 LOCATION RATE LIBRARY'!$D$4:$N$4,0))="","",INDEX('08 LOCATION RATE LIBRARY'!$D$227:$N$227,MATCH(City,'08 LOCATION RATE LIBRARY'!$D$4:$N$4,0)))</f>
        <v>4500</v>
      </c>
      <c r="F189" s="29"/>
      <c r="G189" s="29"/>
      <c r="H189" s="10" t="str">
        <f aca="false">City</f>
        <v>Lahore</v>
      </c>
      <c r="I189" s="9" t="s">
        <v>110</v>
      </c>
      <c r="J189" s="10" t="str">
        <f aca="false">IF(ISNUMBER('16 VENDOR ENQUIRY (RFQ)'!H61),"Vendor quote","ASSUMED")</f>
        <v>ASSUMED</v>
      </c>
      <c r="K189" s="9" t="s">
        <v>1494</v>
      </c>
      <c r="L189" s="5" t="s">
        <v>1988</v>
      </c>
      <c r="M189" s="10" t="n">
        <f aca="false">IF(NOT(ISNUMBER(E189)),0,IF(OR(J189="OLD SOURCE",J189="UNDATED SOURCE"),2,1))</f>
        <v>1</v>
      </c>
      <c r="N189" s="31" t="n">
        <f aca="false">IF(ISNUMBER('16 VENDOR ENQUIRY (RFQ)'!H61),'16 VENDOR ENQUIRY (RFQ)'!H61,4500)</f>
        <v>4500</v>
      </c>
      <c r="O189" s="9" t="s">
        <v>1485</v>
      </c>
    </row>
    <row r="190" customFormat="false" ht="32.25" hidden="false" customHeight="true" outlineLevel="0" collapsed="false">
      <c r="A190" s="9" t="s">
        <v>1435</v>
      </c>
      <c r="B190" s="9" t="s">
        <v>1989</v>
      </c>
      <c r="C190" s="5" t="s">
        <v>1981</v>
      </c>
      <c r="D190" s="9" t="s">
        <v>212</v>
      </c>
      <c r="E190" s="13" t="n">
        <f aca="false">IF(INDEX('08 LOCATION RATE LIBRARY'!$D$228:$N$228,MATCH(City,'08 LOCATION RATE LIBRARY'!$D$4:$N$4,0))="","",INDEX('08 LOCATION RATE LIBRARY'!$D$228:$N$228,MATCH(City,'08 LOCATION RATE LIBRARY'!$D$4:$N$4,0)))</f>
        <v>6</v>
      </c>
      <c r="F190" s="29"/>
      <c r="G190" s="29"/>
      <c r="H190" s="10" t="str">
        <f aca="false">City</f>
        <v>Lahore</v>
      </c>
      <c r="I190" s="9" t="s">
        <v>110</v>
      </c>
      <c r="J190" s="10" t="str">
        <f aca="false">IF(ISNUMBER('16 VENDOR ENQUIRY (RFQ)'!H62),"Vendor quote","ASSUMED")</f>
        <v>ASSUMED</v>
      </c>
      <c r="K190" s="9" t="s">
        <v>1494</v>
      </c>
      <c r="L190" s="5" t="s">
        <v>1990</v>
      </c>
      <c r="M190" s="10" t="n">
        <f aca="false">IF(NOT(ISNUMBER(E190)),0,IF(OR(J190="OLD SOURCE",J190="UNDATED SOURCE"),2,1))</f>
        <v>1</v>
      </c>
      <c r="N190" s="31" t="n">
        <f aca="false">IF(ISNUMBER('16 VENDOR ENQUIRY (RFQ)'!H62),'16 VENDOR ENQUIRY (RFQ)'!H62,6)</f>
        <v>6</v>
      </c>
      <c r="O190" s="9" t="s">
        <v>1485</v>
      </c>
    </row>
    <row r="191" customFormat="false" ht="32.25" hidden="false" customHeight="true" outlineLevel="0" collapsed="false">
      <c r="A191" s="9" t="s">
        <v>1436</v>
      </c>
      <c r="B191" s="9" t="s">
        <v>1991</v>
      </c>
      <c r="C191" s="5" t="s">
        <v>1981</v>
      </c>
      <c r="D191" s="9" t="s">
        <v>212</v>
      </c>
      <c r="E191" s="13" t="n">
        <f aca="false">IF(INDEX('08 LOCATION RATE LIBRARY'!$D$229:$N$229,MATCH(City,'08 LOCATION RATE LIBRARY'!$D$4:$N$4,0))="","",INDEX('08 LOCATION RATE LIBRARY'!$D$229:$N$229,MATCH(City,'08 LOCATION RATE LIBRARY'!$D$4:$N$4,0)))</f>
        <v>224.91</v>
      </c>
      <c r="F191" s="29"/>
      <c r="G191" s="29"/>
      <c r="H191" s="10" t="str">
        <f aca="false">City</f>
        <v>Lahore</v>
      </c>
      <c r="I191" s="9" t="s">
        <v>110</v>
      </c>
      <c r="J191" s="10" t="str">
        <f aca="false">IF(ISNUMBER('16 VENDOR ENQUIRY (RFQ)'!H63),"Vendor quote","ASSUMED")</f>
        <v>ASSUMED</v>
      </c>
      <c r="K191" s="9" t="s">
        <v>1494</v>
      </c>
      <c r="L191" s="5" t="s">
        <v>1992</v>
      </c>
      <c r="M191" s="10" t="n">
        <f aca="false">IF(NOT(ISNUMBER(E191)),0,IF(OR(J191="OLD SOURCE",J191="UNDATED SOURCE"),2,1))</f>
        <v>1</v>
      </c>
      <c r="N191" s="31" t="n">
        <f aca="false">IF(ISNUMBER('16 VENDOR ENQUIRY (RFQ)'!H63),'16 VENDOR ENQUIRY (RFQ)'!H63,224.91)</f>
        <v>224.91</v>
      </c>
      <c r="O191" s="9" t="s">
        <v>1485</v>
      </c>
    </row>
    <row r="192" customFormat="false" ht="32.25" hidden="false" customHeight="true" outlineLevel="0" collapsed="false">
      <c r="A192" s="9" t="s">
        <v>1438</v>
      </c>
      <c r="B192" s="9" t="s">
        <v>1993</v>
      </c>
      <c r="C192" s="5" t="s">
        <v>1981</v>
      </c>
      <c r="D192" s="9" t="s">
        <v>212</v>
      </c>
      <c r="E192" s="13" t="n">
        <f aca="false">IF(INDEX('08 LOCATION RATE LIBRARY'!$D$230:$N$230,MATCH(City,'08 LOCATION RATE LIBRARY'!$D$4:$N$4,0))="","",INDEX('08 LOCATION RATE LIBRARY'!$D$230:$N$230,MATCH(City,'08 LOCATION RATE LIBRARY'!$D$4:$N$4,0)))</f>
        <v>450</v>
      </c>
      <c r="F192" s="29"/>
      <c r="G192" s="29"/>
      <c r="H192" s="10" t="str">
        <f aca="false">City</f>
        <v>Lahore</v>
      </c>
      <c r="I192" s="9" t="s">
        <v>110</v>
      </c>
      <c r="J192" s="10" t="str">
        <f aca="false">IF(ISNUMBER('16 VENDOR ENQUIRY (RFQ)'!H64),"Vendor quote","ASSUMED")</f>
        <v>ASSUMED</v>
      </c>
      <c r="K192" s="9" t="s">
        <v>1494</v>
      </c>
      <c r="L192" s="5" t="s">
        <v>1994</v>
      </c>
      <c r="M192" s="10" t="n">
        <f aca="false">IF(NOT(ISNUMBER(E192)),0,IF(OR(J192="OLD SOURCE",J192="UNDATED SOURCE"),2,1))</f>
        <v>1</v>
      </c>
      <c r="N192" s="31" t="n">
        <f aca="false">IF(ISNUMBER('16 VENDOR ENQUIRY (RFQ)'!H64),'16 VENDOR ENQUIRY (RFQ)'!H64,450)</f>
        <v>450</v>
      </c>
      <c r="O192" s="9" t="s">
        <v>1485</v>
      </c>
    </row>
    <row r="193" customFormat="false" ht="32.25" hidden="false" customHeight="true" outlineLevel="0" collapsed="false">
      <c r="A193" s="9" t="s">
        <v>1439</v>
      </c>
      <c r="B193" s="9" t="s">
        <v>1995</v>
      </c>
      <c r="C193" s="5" t="s">
        <v>1981</v>
      </c>
      <c r="D193" s="9" t="s">
        <v>368</v>
      </c>
      <c r="E193" s="13" t="n">
        <f aca="false">IF(INDEX('08 LOCATION RATE LIBRARY'!$D$231:$N$231,MATCH(City,'08 LOCATION RATE LIBRARY'!$D$4:$N$4,0))="","",INDEX('08 LOCATION RATE LIBRARY'!$D$231:$N$231,MATCH(City,'08 LOCATION RATE LIBRARY'!$D$4:$N$4,0)))</f>
        <v>6500</v>
      </c>
      <c r="F193" s="29"/>
      <c r="G193" s="29"/>
      <c r="H193" s="10" t="str">
        <f aca="false">City</f>
        <v>Lahore</v>
      </c>
      <c r="I193" s="9" t="s">
        <v>110</v>
      </c>
      <c r="J193" s="10" t="str">
        <f aca="false">IF(ISNUMBER('16 VENDOR ENQUIRY (RFQ)'!H65),"Vendor quote","ASSUMED")</f>
        <v>ASSUMED</v>
      </c>
      <c r="K193" s="9" t="s">
        <v>1494</v>
      </c>
      <c r="L193" s="5" t="s">
        <v>1996</v>
      </c>
      <c r="M193" s="10" t="n">
        <f aca="false">IF(NOT(ISNUMBER(E193)),0,IF(OR(J193="OLD SOURCE",J193="UNDATED SOURCE"),2,1))</f>
        <v>1</v>
      </c>
      <c r="N193" s="31" t="n">
        <f aca="false">IF(ISNUMBER('16 VENDOR ENQUIRY (RFQ)'!H65),'16 VENDOR ENQUIRY (RFQ)'!H65,6500)</f>
        <v>6500</v>
      </c>
      <c r="O193" s="9" t="s">
        <v>1485</v>
      </c>
    </row>
    <row r="194" customFormat="false" ht="32.25" hidden="false" customHeight="true" outlineLevel="0" collapsed="false">
      <c r="A194" s="9" t="s">
        <v>1440</v>
      </c>
      <c r="B194" s="9" t="s">
        <v>1997</v>
      </c>
      <c r="C194" s="5" t="s">
        <v>1981</v>
      </c>
      <c r="D194" s="9" t="s">
        <v>212</v>
      </c>
      <c r="E194" s="13" t="n">
        <f aca="false">IF(INDEX('08 LOCATION RATE LIBRARY'!$D$232:$N$232,MATCH(City,'08 LOCATION RATE LIBRARY'!$D$4:$N$4,0))="","",INDEX('08 LOCATION RATE LIBRARY'!$D$232:$N$232,MATCH(City,'08 LOCATION RATE LIBRARY'!$D$4:$N$4,0)))</f>
        <v>350</v>
      </c>
      <c r="F194" s="29"/>
      <c r="G194" s="29"/>
      <c r="H194" s="10" t="str">
        <f aca="false">City</f>
        <v>Lahore</v>
      </c>
      <c r="I194" s="9" t="s">
        <v>110</v>
      </c>
      <c r="J194" s="10" t="str">
        <f aca="false">IF(ISNUMBER('16 VENDOR ENQUIRY (RFQ)'!H66),"Vendor quote","ASSUMED")</f>
        <v>ASSUMED</v>
      </c>
      <c r="K194" s="9" t="s">
        <v>1494</v>
      </c>
      <c r="L194" s="5" t="s">
        <v>1998</v>
      </c>
      <c r="M194" s="10" t="n">
        <f aca="false">IF(NOT(ISNUMBER(E194)),0,IF(OR(J194="OLD SOURCE",J194="UNDATED SOURCE"),2,1))</f>
        <v>1</v>
      </c>
      <c r="N194" s="31" t="n">
        <f aca="false">IF(ISNUMBER('16 VENDOR ENQUIRY (RFQ)'!H66),'16 VENDOR ENQUIRY (RFQ)'!H66,350)</f>
        <v>350</v>
      </c>
      <c r="O194" s="9" t="s">
        <v>1485</v>
      </c>
    </row>
    <row r="195" customFormat="false" ht="32.25" hidden="false" customHeight="true" outlineLevel="0" collapsed="false">
      <c r="A195" s="9" t="s">
        <v>1441</v>
      </c>
      <c r="B195" s="9" t="s">
        <v>1999</v>
      </c>
      <c r="C195" s="5" t="s">
        <v>1981</v>
      </c>
      <c r="D195" s="9" t="s">
        <v>212</v>
      </c>
      <c r="E195" s="13" t="n">
        <f aca="false">IF(INDEX('08 LOCATION RATE LIBRARY'!$D$233:$N$233,MATCH(City,'08 LOCATION RATE LIBRARY'!$D$4:$N$4,0))="","",INDEX('08 LOCATION RATE LIBRARY'!$D$233:$N$233,MATCH(City,'08 LOCATION RATE LIBRARY'!$D$4:$N$4,0)))</f>
        <v>180</v>
      </c>
      <c r="F195" s="29"/>
      <c r="G195" s="29"/>
      <c r="H195" s="10" t="str">
        <f aca="false">City</f>
        <v>Lahore</v>
      </c>
      <c r="I195" s="9" t="s">
        <v>110</v>
      </c>
      <c r="J195" s="10" t="str">
        <f aca="false">IF(ISNUMBER('16 VENDOR ENQUIRY (RFQ)'!H67),"Vendor quote","ASSUMED")</f>
        <v>ASSUMED</v>
      </c>
      <c r="K195" s="9" t="s">
        <v>1494</v>
      </c>
      <c r="L195" s="5" t="s">
        <v>2000</v>
      </c>
      <c r="M195" s="10" t="n">
        <f aca="false">IF(NOT(ISNUMBER(E195)),0,IF(OR(J195="OLD SOURCE",J195="UNDATED SOURCE"),2,1))</f>
        <v>1</v>
      </c>
      <c r="N195" s="31" t="n">
        <f aca="false">IF(ISNUMBER('16 VENDOR ENQUIRY (RFQ)'!H67),'16 VENDOR ENQUIRY (RFQ)'!H67,180)</f>
        <v>180</v>
      </c>
      <c r="O195" s="9" t="s">
        <v>1485</v>
      </c>
    </row>
    <row r="196" customFormat="false" ht="32.25" hidden="false" customHeight="true" outlineLevel="0" collapsed="false">
      <c r="A196" s="9" t="s">
        <v>1442</v>
      </c>
      <c r="B196" s="9" t="s">
        <v>2001</v>
      </c>
      <c r="C196" s="5" t="s">
        <v>1981</v>
      </c>
      <c r="D196" s="9" t="s">
        <v>212</v>
      </c>
      <c r="E196" s="13" t="n">
        <f aca="false">IF(INDEX('08 LOCATION RATE LIBRARY'!$D$234:$N$234,MATCH(City,'08 LOCATION RATE LIBRARY'!$D$4:$N$4,0))="","",INDEX('08 LOCATION RATE LIBRARY'!$D$234:$N$234,MATCH(City,'08 LOCATION RATE LIBRARY'!$D$4:$N$4,0)))</f>
        <v>900</v>
      </c>
      <c r="F196" s="29"/>
      <c r="G196" s="29"/>
      <c r="H196" s="10" t="str">
        <f aca="false">City</f>
        <v>Lahore</v>
      </c>
      <c r="I196" s="9" t="s">
        <v>110</v>
      </c>
      <c r="J196" s="10" t="str">
        <f aca="false">IF(ISNUMBER('16 VENDOR ENQUIRY (RFQ)'!H68),"Vendor quote","ASSUMED")</f>
        <v>ASSUMED</v>
      </c>
      <c r="K196" s="9" t="s">
        <v>1494</v>
      </c>
      <c r="L196" s="5" t="s">
        <v>2002</v>
      </c>
      <c r="M196" s="10" t="n">
        <f aca="false">IF(NOT(ISNUMBER(E196)),0,IF(OR(J196="OLD SOURCE",J196="UNDATED SOURCE"),2,1))</f>
        <v>1</v>
      </c>
      <c r="N196" s="31" t="n">
        <f aca="false">IF(ISNUMBER('16 VENDOR ENQUIRY (RFQ)'!H68),'16 VENDOR ENQUIRY (RFQ)'!H68,900)</f>
        <v>900</v>
      </c>
      <c r="O196" s="9" t="s">
        <v>1485</v>
      </c>
    </row>
    <row r="197" customFormat="false" ht="42.75" hidden="false" customHeight="true" outlineLevel="0" collapsed="false">
      <c r="A197" s="9" t="s">
        <v>1443</v>
      </c>
      <c r="B197" s="9" t="s">
        <v>2003</v>
      </c>
      <c r="C197" s="5" t="s">
        <v>1981</v>
      </c>
      <c r="D197" s="9" t="s">
        <v>368</v>
      </c>
      <c r="E197" s="13" t="n">
        <f aca="false">IF(INDEX('08 LOCATION RATE LIBRARY'!$D$235:$N$235,MATCH(City,'08 LOCATION RATE LIBRARY'!$D$4:$N$4,0))="","",INDEX('08 LOCATION RATE LIBRARY'!$D$235:$N$235,MATCH(City,'08 LOCATION RATE LIBRARY'!$D$4:$N$4,0)))</f>
        <v>120000</v>
      </c>
      <c r="F197" s="29"/>
      <c r="G197" s="29"/>
      <c r="H197" s="10" t="str">
        <f aca="false">City</f>
        <v>Lahore</v>
      </c>
      <c r="I197" s="9" t="s">
        <v>110</v>
      </c>
      <c r="J197" s="10" t="str">
        <f aca="false">IF(ISNUMBER('16 VENDOR ENQUIRY (RFQ)'!H69),"Vendor quote","ASSUMED")</f>
        <v>ASSUMED</v>
      </c>
      <c r="K197" s="9" t="s">
        <v>1494</v>
      </c>
      <c r="L197" s="5" t="s">
        <v>2004</v>
      </c>
      <c r="M197" s="10" t="n">
        <f aca="false">IF(NOT(ISNUMBER(E197)),0,IF(OR(J197="OLD SOURCE",J197="UNDATED SOURCE"),2,1))</f>
        <v>1</v>
      </c>
      <c r="N197" s="31" t="n">
        <f aca="false">IF(ISNUMBER('16 VENDOR ENQUIRY (RFQ)'!H69),'16 VENDOR ENQUIRY (RFQ)'!H69,120000)</f>
        <v>120000</v>
      </c>
      <c r="O197" s="9" t="s">
        <v>1485</v>
      </c>
    </row>
    <row r="198" customFormat="false" ht="32.25" hidden="false" customHeight="true" outlineLevel="0" collapsed="false">
      <c r="A198" s="9" t="s">
        <v>1444</v>
      </c>
      <c r="B198" s="9" t="s">
        <v>2005</v>
      </c>
      <c r="C198" s="5" t="s">
        <v>1981</v>
      </c>
      <c r="D198" s="9" t="s">
        <v>212</v>
      </c>
      <c r="E198" s="13" t="n">
        <f aca="false">IF(INDEX('08 LOCATION RATE LIBRARY'!$D$236:$N$236,MATCH(City,'08 LOCATION RATE LIBRARY'!$D$4:$N$4,0))="","",INDEX('08 LOCATION RATE LIBRARY'!$D$236:$N$236,MATCH(City,'08 LOCATION RATE LIBRARY'!$D$4:$N$4,0)))</f>
        <v>1200</v>
      </c>
      <c r="F198" s="29"/>
      <c r="G198" s="29"/>
      <c r="H198" s="10" t="str">
        <f aca="false">City</f>
        <v>Lahore</v>
      </c>
      <c r="I198" s="9" t="s">
        <v>110</v>
      </c>
      <c r="J198" s="10" t="str">
        <f aca="false">IF(ISNUMBER('16 VENDOR ENQUIRY (RFQ)'!H70),"Vendor quote","ASSUMED")</f>
        <v>ASSUMED</v>
      </c>
      <c r="K198" s="9" t="s">
        <v>1494</v>
      </c>
      <c r="L198" s="5" t="s">
        <v>2006</v>
      </c>
      <c r="M198" s="10" t="n">
        <f aca="false">IF(NOT(ISNUMBER(E198)),0,IF(OR(J198="OLD SOURCE",J198="UNDATED SOURCE"),2,1))</f>
        <v>1</v>
      </c>
      <c r="N198" s="31" t="n">
        <f aca="false">IF(ISNUMBER('16 VENDOR ENQUIRY (RFQ)'!H70),'16 VENDOR ENQUIRY (RFQ)'!H70,1200)</f>
        <v>1200</v>
      </c>
      <c r="O198" s="9" t="s">
        <v>1485</v>
      </c>
    </row>
    <row r="199" customFormat="false" ht="32.25" hidden="false" customHeight="true" outlineLevel="0" collapsed="false">
      <c r="A199" s="9" t="s">
        <v>1445</v>
      </c>
      <c r="B199" s="9" t="s">
        <v>2007</v>
      </c>
      <c r="C199" s="5" t="s">
        <v>1981</v>
      </c>
      <c r="D199" s="9" t="s">
        <v>212</v>
      </c>
      <c r="E199" s="13" t="n">
        <f aca="false">IF(INDEX('08 LOCATION RATE LIBRARY'!$D$237:$N$237,MATCH(City,'08 LOCATION RATE LIBRARY'!$D$4:$N$4,0))="","",INDEX('08 LOCATION RATE LIBRARY'!$D$237:$N$237,MATCH(City,'08 LOCATION RATE LIBRARY'!$D$4:$N$4,0)))</f>
        <v>650</v>
      </c>
      <c r="F199" s="29"/>
      <c r="G199" s="29"/>
      <c r="H199" s="10" t="str">
        <f aca="false">City</f>
        <v>Lahore</v>
      </c>
      <c r="I199" s="9" t="s">
        <v>110</v>
      </c>
      <c r="J199" s="10" t="str">
        <f aca="false">IF(ISNUMBER('16 VENDOR ENQUIRY (RFQ)'!H71),"Vendor quote","ASSUMED")</f>
        <v>ASSUMED</v>
      </c>
      <c r="K199" s="9" t="s">
        <v>1494</v>
      </c>
      <c r="L199" s="5" t="s">
        <v>2008</v>
      </c>
      <c r="M199" s="10" t="n">
        <f aca="false">IF(NOT(ISNUMBER(E199)),0,IF(OR(J199="OLD SOURCE",J199="UNDATED SOURCE"),2,1))</f>
        <v>1</v>
      </c>
      <c r="N199" s="31" t="n">
        <f aca="false">IF(ISNUMBER('16 VENDOR ENQUIRY (RFQ)'!H71),'16 VENDOR ENQUIRY (RFQ)'!H71,650)</f>
        <v>650</v>
      </c>
      <c r="O199" s="9" t="s">
        <v>1485</v>
      </c>
    </row>
    <row r="200" customFormat="false" ht="32.25" hidden="false" customHeight="true" outlineLevel="0" collapsed="false">
      <c r="A200" s="9" t="s">
        <v>1446</v>
      </c>
      <c r="B200" s="9" t="s">
        <v>2009</v>
      </c>
      <c r="C200" s="5" t="s">
        <v>1981</v>
      </c>
      <c r="D200" s="9" t="s">
        <v>212</v>
      </c>
      <c r="E200" s="13" t="n">
        <f aca="false">IF(INDEX('08 LOCATION RATE LIBRARY'!$D$238:$N$238,MATCH(City,'08 LOCATION RATE LIBRARY'!$D$4:$N$4,0))="","",INDEX('08 LOCATION RATE LIBRARY'!$D$238:$N$238,MATCH(City,'08 LOCATION RATE LIBRARY'!$D$4:$N$4,0)))</f>
        <v>3500</v>
      </c>
      <c r="F200" s="29"/>
      <c r="G200" s="29"/>
      <c r="H200" s="10" t="str">
        <f aca="false">City</f>
        <v>Lahore</v>
      </c>
      <c r="I200" s="9" t="s">
        <v>110</v>
      </c>
      <c r="J200" s="10" t="str">
        <f aca="false">IF(ISNUMBER('16 VENDOR ENQUIRY (RFQ)'!H72),"Vendor quote","ASSUMED")</f>
        <v>ASSUMED</v>
      </c>
      <c r="K200" s="9" t="s">
        <v>1494</v>
      </c>
      <c r="L200" s="5" t="s">
        <v>2010</v>
      </c>
      <c r="M200" s="10" t="n">
        <f aca="false">IF(NOT(ISNUMBER(E200)),0,IF(OR(J200="OLD SOURCE",J200="UNDATED SOURCE"),2,1))</f>
        <v>1</v>
      </c>
      <c r="N200" s="31" t="n">
        <f aca="false">IF(ISNUMBER('16 VENDOR ENQUIRY (RFQ)'!H72),'16 VENDOR ENQUIRY (RFQ)'!H72,3500)</f>
        <v>3500</v>
      </c>
      <c r="O200" s="9" t="s">
        <v>1485</v>
      </c>
    </row>
    <row r="201" customFormat="false" ht="32.25" hidden="false" customHeight="true" outlineLevel="0" collapsed="false">
      <c r="A201" s="9" t="s">
        <v>1447</v>
      </c>
      <c r="B201" s="9" t="s">
        <v>2011</v>
      </c>
      <c r="C201" s="5" t="s">
        <v>1981</v>
      </c>
      <c r="D201" s="9" t="s">
        <v>212</v>
      </c>
      <c r="E201" s="13" t="n">
        <f aca="false">IF(INDEX('08 LOCATION RATE LIBRARY'!$D$239:$N$239,MATCH(City,'08 LOCATION RATE LIBRARY'!$D$4:$N$4,0))="","",INDEX('08 LOCATION RATE LIBRARY'!$D$239:$N$239,MATCH(City,'08 LOCATION RATE LIBRARY'!$D$4:$N$4,0)))</f>
        <v>2500</v>
      </c>
      <c r="F201" s="29"/>
      <c r="G201" s="29"/>
      <c r="H201" s="10" t="str">
        <f aca="false">City</f>
        <v>Lahore</v>
      </c>
      <c r="I201" s="9" t="s">
        <v>110</v>
      </c>
      <c r="J201" s="10" t="str">
        <f aca="false">IF(ISNUMBER('16 VENDOR ENQUIRY (RFQ)'!H73),"Vendor quote","ASSUMED")</f>
        <v>ASSUMED</v>
      </c>
      <c r="K201" s="9" t="s">
        <v>1494</v>
      </c>
      <c r="L201" s="5" t="s">
        <v>2012</v>
      </c>
      <c r="M201" s="10" t="n">
        <f aca="false">IF(NOT(ISNUMBER(E201)),0,IF(OR(J201="OLD SOURCE",J201="UNDATED SOURCE"),2,1))</f>
        <v>1</v>
      </c>
      <c r="N201" s="31" t="n">
        <f aca="false">IF(ISNUMBER('16 VENDOR ENQUIRY (RFQ)'!H73),'16 VENDOR ENQUIRY (RFQ)'!H73,2500)</f>
        <v>2500</v>
      </c>
      <c r="O201" s="9" t="s">
        <v>1485</v>
      </c>
    </row>
    <row r="202" customFormat="false" ht="32.25" hidden="false" customHeight="true" outlineLevel="0" collapsed="false">
      <c r="A202" s="9" t="s">
        <v>1448</v>
      </c>
      <c r="B202" s="9" t="s">
        <v>2013</v>
      </c>
      <c r="C202" s="5" t="s">
        <v>1981</v>
      </c>
      <c r="D202" s="9" t="s">
        <v>368</v>
      </c>
      <c r="E202" s="13" t="n">
        <f aca="false">IF(INDEX('08 LOCATION RATE LIBRARY'!$D$240:$N$240,MATCH(City,'08 LOCATION RATE LIBRARY'!$D$4:$N$4,0))="","",INDEX('08 LOCATION RATE LIBRARY'!$D$240:$N$240,MATCH(City,'08 LOCATION RATE LIBRARY'!$D$4:$N$4,0)))</f>
        <v>25000</v>
      </c>
      <c r="F202" s="29"/>
      <c r="G202" s="29"/>
      <c r="H202" s="10" t="str">
        <f aca="false">City</f>
        <v>Lahore</v>
      </c>
      <c r="I202" s="9" t="s">
        <v>110</v>
      </c>
      <c r="J202" s="10" t="str">
        <f aca="false">IF(ISNUMBER('16 VENDOR ENQUIRY (RFQ)'!H74),"Vendor quote","ASSUMED")</f>
        <v>ASSUMED</v>
      </c>
      <c r="K202" s="9" t="s">
        <v>1494</v>
      </c>
      <c r="L202" s="5" t="s">
        <v>2014</v>
      </c>
      <c r="M202" s="10" t="n">
        <f aca="false">IF(NOT(ISNUMBER(E202)),0,IF(OR(J202="OLD SOURCE",J202="UNDATED SOURCE"),2,1))</f>
        <v>1</v>
      </c>
      <c r="N202" s="31" t="n">
        <f aca="false">IF(ISNUMBER('16 VENDOR ENQUIRY (RFQ)'!H74),'16 VENDOR ENQUIRY (RFQ)'!H74,25000)</f>
        <v>25000</v>
      </c>
      <c r="O202" s="9" t="s">
        <v>1485</v>
      </c>
    </row>
    <row r="203" customFormat="false" ht="32.25" hidden="false" customHeight="true" outlineLevel="0" collapsed="false">
      <c r="A203" s="9" t="s">
        <v>1451</v>
      </c>
      <c r="B203" s="9" t="s">
        <v>2015</v>
      </c>
      <c r="C203" s="5" t="s">
        <v>1981</v>
      </c>
      <c r="D203" s="9" t="s">
        <v>386</v>
      </c>
      <c r="E203" s="13" t="n">
        <f aca="false">IF(INDEX('08 LOCATION RATE LIBRARY'!$D$241:$N$241,MATCH(City,'08 LOCATION RATE LIBRARY'!$D$4:$N$4,0))="","",INDEX('08 LOCATION RATE LIBRARY'!$D$241:$N$241,MATCH(City,'08 LOCATION RATE LIBRARY'!$D$4:$N$4,0)))</f>
        <v>180</v>
      </c>
      <c r="F203" s="29"/>
      <c r="G203" s="29"/>
      <c r="H203" s="10" t="str">
        <f aca="false">City</f>
        <v>Lahore</v>
      </c>
      <c r="I203" s="9" t="s">
        <v>110</v>
      </c>
      <c r="J203" s="10" t="str">
        <f aca="false">IF(ISNUMBER('16 VENDOR ENQUIRY (RFQ)'!H75),"Vendor quote","ASSUMED")</f>
        <v>ASSUMED</v>
      </c>
      <c r="K203" s="9" t="s">
        <v>1494</v>
      </c>
      <c r="L203" s="5" t="s">
        <v>2016</v>
      </c>
      <c r="M203" s="10" t="n">
        <f aca="false">IF(NOT(ISNUMBER(E203)),0,IF(OR(J203="OLD SOURCE",J203="UNDATED SOURCE"),2,1))</f>
        <v>1</v>
      </c>
      <c r="N203" s="31" t="n">
        <f aca="false">IF(ISNUMBER('16 VENDOR ENQUIRY (RFQ)'!H75),'16 VENDOR ENQUIRY (RFQ)'!H75,180)</f>
        <v>180</v>
      </c>
      <c r="O203" s="9" t="s">
        <v>1485</v>
      </c>
    </row>
    <row r="204" customFormat="false" ht="32.25" hidden="false" customHeight="true" outlineLevel="0" collapsed="false">
      <c r="A204" s="9" t="s">
        <v>1454</v>
      </c>
      <c r="B204" s="9" t="s">
        <v>2017</v>
      </c>
      <c r="C204" s="5" t="s">
        <v>1981</v>
      </c>
      <c r="D204" s="9" t="s">
        <v>368</v>
      </c>
      <c r="E204" s="13" t="n">
        <f aca="false">IF(INDEX('08 LOCATION RATE LIBRARY'!$D$242:$N$242,MATCH(City,'08 LOCATION RATE LIBRARY'!$D$4:$N$4,0))="","",INDEX('08 LOCATION RATE LIBRARY'!$D$242:$N$242,MATCH(City,'08 LOCATION RATE LIBRARY'!$D$4:$N$4,0)))</f>
        <v>85000</v>
      </c>
      <c r="F204" s="29"/>
      <c r="G204" s="29"/>
      <c r="H204" s="10" t="str">
        <f aca="false">City</f>
        <v>Lahore</v>
      </c>
      <c r="I204" s="9" t="s">
        <v>110</v>
      </c>
      <c r="J204" s="10" t="str">
        <f aca="false">IF(ISNUMBER('16 VENDOR ENQUIRY (RFQ)'!H76),"Vendor quote","ASSUMED")</f>
        <v>ASSUMED</v>
      </c>
      <c r="K204" s="9" t="s">
        <v>1494</v>
      </c>
      <c r="L204" s="5" t="s">
        <v>2018</v>
      </c>
      <c r="M204" s="10" t="n">
        <f aca="false">IF(NOT(ISNUMBER(E204)),0,IF(OR(J204="OLD SOURCE",J204="UNDATED SOURCE"),2,1))</f>
        <v>1</v>
      </c>
      <c r="N204" s="31" t="n">
        <f aca="false">IF(ISNUMBER('16 VENDOR ENQUIRY (RFQ)'!H76),'16 VENDOR ENQUIRY (RFQ)'!H76,85000)</f>
        <v>85000</v>
      </c>
      <c r="O204" s="9" t="s">
        <v>1485</v>
      </c>
    </row>
    <row r="205" customFormat="false" ht="32.25" hidden="false" customHeight="true" outlineLevel="0" collapsed="false">
      <c r="A205" s="9" t="s">
        <v>1455</v>
      </c>
      <c r="B205" s="9" t="s">
        <v>2019</v>
      </c>
      <c r="C205" s="5" t="s">
        <v>1981</v>
      </c>
      <c r="D205" s="9" t="s">
        <v>368</v>
      </c>
      <c r="E205" s="13" t="n">
        <f aca="false">IF(INDEX('08 LOCATION RATE LIBRARY'!$D$243:$N$243,MATCH(City,'08 LOCATION RATE LIBRARY'!$D$4:$N$4,0))="","",INDEX('08 LOCATION RATE LIBRARY'!$D$243:$N$243,MATCH(City,'08 LOCATION RATE LIBRARY'!$D$4:$N$4,0)))</f>
        <v>22000000</v>
      </c>
      <c r="F205" s="29"/>
      <c r="G205" s="29"/>
      <c r="H205" s="10" t="str">
        <f aca="false">City</f>
        <v>Lahore</v>
      </c>
      <c r="I205" s="9" t="s">
        <v>110</v>
      </c>
      <c r="J205" s="10" t="str">
        <f aca="false">IF(ISNUMBER('16 VENDOR ENQUIRY (RFQ)'!H77),"Vendor quote","ASSUMED")</f>
        <v>ASSUMED</v>
      </c>
      <c r="K205" s="9" t="s">
        <v>1494</v>
      </c>
      <c r="L205" s="5" t="s">
        <v>2020</v>
      </c>
      <c r="M205" s="10" t="n">
        <f aca="false">IF(NOT(ISNUMBER(E205)),0,IF(OR(J205="OLD SOURCE",J205="UNDATED SOURCE"),2,1))</f>
        <v>1</v>
      </c>
      <c r="N205" s="31" t="n">
        <f aca="false">IF(ISNUMBER('16 VENDOR ENQUIRY (RFQ)'!H77),'16 VENDOR ENQUIRY (RFQ)'!H77,22000000)</f>
        <v>22000000</v>
      </c>
      <c r="O205" s="9" t="s">
        <v>1485</v>
      </c>
    </row>
    <row r="206" customFormat="false" ht="32.25" hidden="false" customHeight="true" outlineLevel="0" collapsed="false">
      <c r="A206" s="9" t="s">
        <v>1456</v>
      </c>
      <c r="B206" s="9" t="s">
        <v>2021</v>
      </c>
      <c r="C206" s="5" t="s">
        <v>1981</v>
      </c>
      <c r="D206" s="9" t="s">
        <v>212</v>
      </c>
      <c r="E206" s="13" t="n">
        <f aca="false">IF(INDEX('08 LOCATION RATE LIBRARY'!$D$244:$N$244,MATCH(City,'08 LOCATION RATE LIBRARY'!$D$4:$N$4,0))="","",INDEX('08 LOCATION RATE LIBRARY'!$D$244:$N$244,MATCH(City,'08 LOCATION RATE LIBRARY'!$D$4:$N$4,0)))</f>
        <v>80</v>
      </c>
      <c r="F206" s="29"/>
      <c r="G206" s="29"/>
      <c r="H206" s="10" t="str">
        <f aca="false">City</f>
        <v>Lahore</v>
      </c>
      <c r="I206" s="9" t="s">
        <v>110</v>
      </c>
      <c r="J206" s="10" t="str">
        <f aca="false">IF(ISNUMBER('16 VENDOR ENQUIRY (RFQ)'!H78),"Vendor quote","ASSUMED")</f>
        <v>ASSUMED</v>
      </c>
      <c r="K206" s="9" t="s">
        <v>1494</v>
      </c>
      <c r="L206" s="5" t="s">
        <v>2022</v>
      </c>
      <c r="M206" s="10" t="n">
        <f aca="false">IF(NOT(ISNUMBER(E206)),0,IF(OR(J206="OLD SOURCE",J206="UNDATED SOURCE"),2,1))</f>
        <v>1</v>
      </c>
      <c r="N206" s="31" t="n">
        <f aca="false">IF(ISNUMBER('16 VENDOR ENQUIRY (RFQ)'!H78),'16 VENDOR ENQUIRY (RFQ)'!H78,80)</f>
        <v>80</v>
      </c>
      <c r="O206" s="9" t="s">
        <v>1485</v>
      </c>
    </row>
    <row r="207" customFormat="false" ht="32.25" hidden="false" customHeight="true" outlineLevel="0" collapsed="false">
      <c r="A207" s="9" t="s">
        <v>1458</v>
      </c>
      <c r="B207" s="9" t="s">
        <v>2023</v>
      </c>
      <c r="C207" s="5" t="s">
        <v>1981</v>
      </c>
      <c r="D207" s="9" t="s">
        <v>782</v>
      </c>
      <c r="E207" s="13" t="n">
        <f aca="false">IF(INDEX('08 LOCATION RATE LIBRARY'!$D$245:$N$245,MATCH(City,'08 LOCATION RATE LIBRARY'!$D$4:$N$4,0))="","",INDEX('08 LOCATION RATE LIBRARY'!$D$245:$N$245,MATCH(City,'08 LOCATION RATE LIBRARY'!$D$4:$N$4,0)))</f>
        <v>300000</v>
      </c>
      <c r="F207" s="29"/>
      <c r="G207" s="29"/>
      <c r="H207" s="10" t="str">
        <f aca="false">City</f>
        <v>Lahore</v>
      </c>
      <c r="I207" s="9" t="s">
        <v>110</v>
      </c>
      <c r="J207" s="10" t="str">
        <f aca="false">IF(ISNUMBER('16 VENDOR ENQUIRY (RFQ)'!H79),"Vendor quote","ASSUMED")</f>
        <v>ASSUMED</v>
      </c>
      <c r="K207" s="9" t="s">
        <v>1494</v>
      </c>
      <c r="L207" s="5" t="s">
        <v>2024</v>
      </c>
      <c r="M207" s="10" t="n">
        <f aca="false">IF(NOT(ISNUMBER(E207)),0,IF(OR(J207="OLD SOURCE",J207="UNDATED SOURCE"),2,1))</f>
        <v>1</v>
      </c>
      <c r="N207" s="31" t="n">
        <f aca="false">IF(ISNUMBER('16 VENDOR ENQUIRY (RFQ)'!H79),'16 VENDOR ENQUIRY (RFQ)'!H79,300000)</f>
        <v>300000</v>
      </c>
      <c r="O207" s="9" t="s">
        <v>1485</v>
      </c>
    </row>
    <row r="208" customFormat="false" ht="32.25" hidden="false" customHeight="true" outlineLevel="0" collapsed="false">
      <c r="A208" s="9" t="s">
        <v>1460</v>
      </c>
      <c r="B208" s="9" t="s">
        <v>2025</v>
      </c>
      <c r="C208" s="5" t="s">
        <v>1981</v>
      </c>
      <c r="D208" s="9" t="s">
        <v>368</v>
      </c>
      <c r="E208" s="13" t="n">
        <f aca="false">IF(INDEX('08 LOCATION RATE LIBRARY'!$D$246:$N$246,MATCH(City,'08 LOCATION RATE LIBRARY'!$D$4:$N$4,0))="","",INDEX('08 LOCATION RATE LIBRARY'!$D$246:$N$246,MATCH(City,'08 LOCATION RATE LIBRARY'!$D$4:$N$4,0)))</f>
        <v>2000000</v>
      </c>
      <c r="F208" s="29"/>
      <c r="G208" s="29"/>
      <c r="H208" s="10" t="str">
        <f aca="false">City</f>
        <v>Lahore</v>
      </c>
      <c r="I208" s="9" t="s">
        <v>110</v>
      </c>
      <c r="J208" s="10" t="str">
        <f aca="false">IF(ISNUMBER('16 VENDOR ENQUIRY (RFQ)'!H80),"Vendor quote","ASSUMED")</f>
        <v>ASSUMED</v>
      </c>
      <c r="K208" s="9" t="s">
        <v>1494</v>
      </c>
      <c r="L208" s="5" t="s">
        <v>2026</v>
      </c>
      <c r="M208" s="10" t="n">
        <f aca="false">IF(NOT(ISNUMBER(E208)),0,IF(OR(J208="OLD SOURCE",J208="UNDATED SOURCE"),2,1))</f>
        <v>1</v>
      </c>
      <c r="N208" s="31" t="n">
        <f aca="false">IF(ISNUMBER('16 VENDOR ENQUIRY (RFQ)'!H80),'16 VENDOR ENQUIRY (RFQ)'!H80,2000000)</f>
        <v>2000000</v>
      </c>
      <c r="O208" s="9" t="s">
        <v>1485</v>
      </c>
    </row>
    <row r="209" customFormat="false" ht="42.75" hidden="false" customHeight="true" outlineLevel="0" collapsed="false">
      <c r="A209" s="9" t="s">
        <v>1217</v>
      </c>
      <c r="B209" s="9" t="s">
        <v>2027</v>
      </c>
      <c r="C209" s="5" t="s">
        <v>1981</v>
      </c>
      <c r="D209" s="9" t="s">
        <v>386</v>
      </c>
      <c r="E209" s="13" t="n">
        <f aca="false">IF(INDEX('08 LOCATION RATE LIBRARY'!$D$247:$N$247,MATCH(City,'08 LOCATION RATE LIBRARY'!$D$4:$N$4,0))="","",INDEX('08 LOCATION RATE LIBRARY'!$D$247:$N$247,MATCH(City,'08 LOCATION RATE LIBRARY'!$D$4:$N$4,0)))</f>
        <v>149.54</v>
      </c>
      <c r="F209" s="29"/>
      <c r="G209" s="29"/>
      <c r="H209" s="10" t="str">
        <f aca="false">City</f>
        <v>Lahore</v>
      </c>
      <c r="I209" s="9" t="s">
        <v>110</v>
      </c>
      <c r="J209" s="10" t="str">
        <f aca="false">IF(ISNUMBER('16 VENDOR ENQUIRY (RFQ)'!H81),"Vendor quote","ASSUMED")</f>
        <v>ASSUMED</v>
      </c>
      <c r="K209" s="9" t="s">
        <v>1494</v>
      </c>
      <c r="L209" s="5" t="s">
        <v>2028</v>
      </c>
      <c r="M209" s="10" t="n">
        <f aca="false">IF(NOT(ISNUMBER(E209)),0,IF(OR(J209="OLD SOURCE",J209="UNDATED SOURCE"),2,1))</f>
        <v>1</v>
      </c>
      <c r="N209" s="31" t="n">
        <f aca="false">IF(ISNUMBER('16 VENDOR ENQUIRY (RFQ)'!H81),'16 VENDOR ENQUIRY (RFQ)'!H81,149.54)</f>
        <v>149.54</v>
      </c>
      <c r="O209" s="9" t="s">
        <v>1485</v>
      </c>
    </row>
    <row r="210" customFormat="false" ht="32.25" hidden="false" customHeight="true" outlineLevel="0" collapsed="false">
      <c r="A210" s="9" t="s">
        <v>1226</v>
      </c>
      <c r="B210" s="9" t="s">
        <v>2029</v>
      </c>
      <c r="C210" s="5" t="s">
        <v>1981</v>
      </c>
      <c r="D210" s="9" t="s">
        <v>386</v>
      </c>
      <c r="E210" s="13" t="n">
        <f aca="false">IF(INDEX('08 LOCATION RATE LIBRARY'!$D$248:$N$248,MATCH(City,'08 LOCATION RATE LIBRARY'!$D$4:$N$4,0))="","",INDEX('08 LOCATION RATE LIBRARY'!$D$248:$N$248,MATCH(City,'08 LOCATION RATE LIBRARY'!$D$4:$N$4,0)))</f>
        <v>314.88</v>
      </c>
      <c r="F210" s="29"/>
      <c r="G210" s="29"/>
      <c r="H210" s="10" t="str">
        <f aca="false">City</f>
        <v>Lahore</v>
      </c>
      <c r="I210" s="9" t="s">
        <v>110</v>
      </c>
      <c r="J210" s="10" t="str">
        <f aca="false">IF(ISNUMBER('16 VENDOR ENQUIRY (RFQ)'!H82),"Vendor quote","ASSUMED")</f>
        <v>ASSUMED</v>
      </c>
      <c r="K210" s="9" t="s">
        <v>1494</v>
      </c>
      <c r="L210" s="5" t="s">
        <v>2030</v>
      </c>
      <c r="M210" s="10" t="n">
        <f aca="false">IF(NOT(ISNUMBER(E210)),0,IF(OR(J210="OLD SOURCE",J210="UNDATED SOURCE"),2,1))</f>
        <v>1</v>
      </c>
      <c r="N210" s="31" t="n">
        <f aca="false">IF(ISNUMBER('16 VENDOR ENQUIRY (RFQ)'!H82),'16 VENDOR ENQUIRY (RFQ)'!H82,314.88)</f>
        <v>314.88</v>
      </c>
      <c r="O210" s="9" t="s">
        <v>1485</v>
      </c>
    </row>
    <row r="211" customFormat="false" ht="32.25" hidden="false" customHeight="true" outlineLevel="0" collapsed="false">
      <c r="A211" s="9" t="s">
        <v>1231</v>
      </c>
      <c r="B211" s="9" t="s">
        <v>2031</v>
      </c>
      <c r="C211" s="5" t="s">
        <v>1981</v>
      </c>
      <c r="D211" s="9" t="s">
        <v>386</v>
      </c>
      <c r="E211" s="13" t="n">
        <f aca="false">IF(INDEX('08 LOCATION RATE LIBRARY'!$D$249:$N$249,MATCH(City,'08 LOCATION RATE LIBRARY'!$D$4:$N$4,0))="","",INDEX('08 LOCATION RATE LIBRARY'!$D$249:$N$249,MATCH(City,'08 LOCATION RATE LIBRARY'!$D$4:$N$4,0)))</f>
        <v>907.39</v>
      </c>
      <c r="F211" s="29"/>
      <c r="G211" s="29"/>
      <c r="H211" s="10" t="str">
        <f aca="false">City</f>
        <v>Lahore</v>
      </c>
      <c r="I211" s="9" t="s">
        <v>110</v>
      </c>
      <c r="J211" s="10" t="str">
        <f aca="false">IF(ISNUMBER('16 VENDOR ENQUIRY (RFQ)'!H83),"Vendor quote","ASSUMED")</f>
        <v>ASSUMED</v>
      </c>
      <c r="K211" s="9" t="s">
        <v>1494</v>
      </c>
      <c r="L211" s="5" t="s">
        <v>2032</v>
      </c>
      <c r="M211" s="10" t="n">
        <f aca="false">IF(NOT(ISNUMBER(E211)),0,IF(OR(J211="OLD SOURCE",J211="UNDATED SOURCE"),2,1))</f>
        <v>1</v>
      </c>
      <c r="N211" s="31" t="n">
        <f aca="false">IF(ISNUMBER('16 VENDOR ENQUIRY (RFQ)'!H83),'16 VENDOR ENQUIRY (RFQ)'!H83,907.39)</f>
        <v>907.39</v>
      </c>
      <c r="O211" s="9" t="s">
        <v>1485</v>
      </c>
    </row>
  </sheetData>
  <autoFilter ref="A4:O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6"/>
    <col collapsed="false" customWidth="true" hidden="false" outlineLevel="0" max="4" min="4" style="1" width="13"/>
    <col collapsed="false" customWidth="true" hidden="false" outlineLevel="0" max="6" min="5" style="1" width="9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55"/>
    <col collapsed="false" customWidth="true" hidden="false" outlineLevel="0" max="12" min="12" style="1" width="9"/>
    <col collapsed="false" customWidth="true" hidden="false" outlineLevel="0" max="13" min="13" style="1" width="13"/>
  </cols>
  <sheetData>
    <row r="1" customFormat="false" ht="15.75" hidden="false" customHeight="true" outlineLevel="0" collapsed="false">
      <c r="A1" s="2" t="s">
        <v>2033</v>
      </c>
    </row>
    <row r="2" customFormat="false" ht="15" hidden="false" customHeight="true" outlineLevel="0" collapsed="false">
      <c r="A2" s="3" t="s">
        <v>2034</v>
      </c>
    </row>
    <row r="4" customFormat="false" ht="21.75" hidden="false" customHeight="true" outlineLevel="0" collapsed="false">
      <c r="A4" s="12" t="s">
        <v>2035</v>
      </c>
      <c r="B4" s="12" t="s">
        <v>78</v>
      </c>
      <c r="C4" s="12" t="s">
        <v>81</v>
      </c>
      <c r="D4" s="12" t="s">
        <v>1465</v>
      </c>
      <c r="E4" s="12" t="s">
        <v>1466</v>
      </c>
      <c r="F4" s="12" t="s">
        <v>1467</v>
      </c>
      <c r="G4" s="12" t="s">
        <v>82</v>
      </c>
      <c r="H4" s="12" t="s">
        <v>83</v>
      </c>
      <c r="I4" s="12" t="s">
        <v>72</v>
      </c>
      <c r="J4" s="12" t="s">
        <v>1468</v>
      </c>
      <c r="K4" s="12" t="s">
        <v>1469</v>
      </c>
      <c r="L4" s="12" t="s">
        <v>2036</v>
      </c>
      <c r="M4" s="12" t="s">
        <v>1471</v>
      </c>
    </row>
    <row r="5" customFormat="false" ht="15" hidden="false" customHeight="true" outlineLevel="0" collapsed="false">
      <c r="A5" s="9" t="s">
        <v>813</v>
      </c>
      <c r="B5" s="9" t="s">
        <v>2037</v>
      </c>
      <c r="C5" s="9" t="s">
        <v>815</v>
      </c>
      <c r="D5" s="11" t="n">
        <f aca="false">IF(INDEX('08 LOCATION RATE LIBRARY'!$D$181:$N$181,MATCH(City,'08 LOCATION RATE LIBRARY'!$D$4:$N$4,0))="","",INDEX('08 LOCATION RATE LIBRARY'!$D$181:$N$181,MATCH(City,'08 LOCATION RATE LIBRARY'!$D$4:$N$4,0)))</f>
        <v>2200</v>
      </c>
      <c r="E5" s="32" t="n">
        <v>2000</v>
      </c>
      <c r="F5" s="32" t="n">
        <v>2400</v>
      </c>
      <c r="G5" s="10" t="str">
        <f aca="false">City</f>
        <v>Lahore</v>
      </c>
      <c r="H5" s="9" t="s">
        <v>110</v>
      </c>
      <c r="I5" s="9" t="s">
        <v>1476</v>
      </c>
      <c r="J5" s="9" t="s">
        <v>2038</v>
      </c>
      <c r="K5" s="5" t="s">
        <v>2039</v>
      </c>
      <c r="L5" s="10" t="n">
        <f aca="false">IF(ISNUMBER(D5),1,0)</f>
        <v>1</v>
      </c>
      <c r="M5" s="33" t="n">
        <v>2200</v>
      </c>
    </row>
    <row r="6" customFormat="false" ht="21.75" hidden="false" customHeight="true" outlineLevel="0" collapsed="false">
      <c r="A6" s="9" t="s">
        <v>816</v>
      </c>
      <c r="B6" s="9" t="s">
        <v>2040</v>
      </c>
      <c r="C6" s="9" t="s">
        <v>815</v>
      </c>
      <c r="D6" s="11" t="n">
        <f aca="false">IF(INDEX('08 LOCATION RATE LIBRARY'!$D$182:$N$182,MATCH(City,'08 LOCATION RATE LIBRARY'!$D$4:$N$4,0))="","",INDEX('08 LOCATION RATE LIBRARY'!$D$182:$N$182,MATCH(City,'08 LOCATION RATE LIBRARY'!$D$4:$N$4,0)))</f>
        <v>1538</v>
      </c>
      <c r="E6" s="32"/>
      <c r="F6" s="32"/>
      <c r="G6" s="10" t="str">
        <f aca="false">City</f>
        <v>Lahore</v>
      </c>
      <c r="H6" s="9" t="s">
        <v>110</v>
      </c>
      <c r="I6" s="9" t="s">
        <v>2041</v>
      </c>
      <c r="J6" s="9" t="s">
        <v>2042</v>
      </c>
      <c r="K6" s="5" t="s">
        <v>2043</v>
      </c>
      <c r="L6" s="10" t="n">
        <f aca="false">IF(ISNUMBER(D6),1,0)</f>
        <v>1</v>
      </c>
      <c r="M6" s="33" t="n">
        <v>1538</v>
      </c>
    </row>
    <row r="7" customFormat="false" ht="15" hidden="false" customHeight="true" outlineLevel="0" collapsed="false">
      <c r="A7" s="9" t="s">
        <v>880</v>
      </c>
      <c r="B7" s="9" t="s">
        <v>2044</v>
      </c>
      <c r="C7" s="9" t="s">
        <v>815</v>
      </c>
      <c r="D7" s="11" t="n">
        <f aca="false">IF(INDEX('08 LOCATION RATE LIBRARY'!$D$183:$N$183,MATCH(City,'08 LOCATION RATE LIBRARY'!$D$4:$N$4,0))="","",INDEX('08 LOCATION RATE LIBRARY'!$D$183:$N$183,MATCH(City,'08 LOCATION RATE LIBRARY'!$D$4:$N$4,0)))</f>
        <v>2450</v>
      </c>
      <c r="E7" s="32"/>
      <c r="F7" s="32"/>
      <c r="G7" s="10" t="str">
        <f aca="false">City</f>
        <v>Lahore</v>
      </c>
      <c r="H7" s="9" t="s">
        <v>2045</v>
      </c>
      <c r="I7" s="9" t="s">
        <v>1476</v>
      </c>
      <c r="J7" s="9" t="s">
        <v>1562</v>
      </c>
      <c r="K7" s="5" t="s">
        <v>2046</v>
      </c>
      <c r="L7" s="10" t="n">
        <f aca="false">IF(ISNUMBER(D7),1,0)</f>
        <v>1</v>
      </c>
      <c r="M7" s="33" t="n">
        <v>2450</v>
      </c>
    </row>
    <row r="8" customFormat="false" ht="21.75" hidden="false" customHeight="true" outlineLevel="0" collapsed="false">
      <c r="A8" s="9" t="s">
        <v>892</v>
      </c>
      <c r="B8" s="9" t="s">
        <v>2047</v>
      </c>
      <c r="C8" s="9" t="s">
        <v>815</v>
      </c>
      <c r="D8" s="11" t="n">
        <f aca="false">IF(INDEX('08 LOCATION RATE LIBRARY'!$D$184:$N$184,MATCH(City,'08 LOCATION RATE LIBRARY'!$D$4:$N$4,0))="","",INDEX('08 LOCATION RATE LIBRARY'!$D$184:$N$184,MATCH(City,'08 LOCATION RATE LIBRARY'!$D$4:$N$4,0)))</f>
        <v>2150</v>
      </c>
      <c r="E8" s="32" t="n">
        <v>2000</v>
      </c>
      <c r="F8" s="32" t="n">
        <v>2400</v>
      </c>
      <c r="G8" s="10" t="str">
        <f aca="false">City</f>
        <v>Lahore</v>
      </c>
      <c r="H8" s="9" t="s">
        <v>2045</v>
      </c>
      <c r="I8" s="9" t="s">
        <v>1476</v>
      </c>
      <c r="J8" s="9" t="s">
        <v>1562</v>
      </c>
      <c r="K8" s="5" t="s">
        <v>2048</v>
      </c>
      <c r="L8" s="10" t="n">
        <f aca="false">IF(ISNUMBER(D8),1,0)</f>
        <v>1</v>
      </c>
      <c r="M8" s="33" t="n">
        <v>2150</v>
      </c>
    </row>
    <row r="9" customFormat="false" ht="21.75" hidden="false" customHeight="true" outlineLevel="0" collapsed="false">
      <c r="A9" s="9" t="s">
        <v>907</v>
      </c>
      <c r="B9" s="9" t="s">
        <v>2049</v>
      </c>
      <c r="C9" s="9" t="s">
        <v>815</v>
      </c>
      <c r="D9" s="11" t="n">
        <f aca="false">IF(INDEX('08 LOCATION RATE LIBRARY'!$D$185:$N$185,MATCH(City,'08 LOCATION RATE LIBRARY'!$D$4:$N$4,0))="","",INDEX('08 LOCATION RATE LIBRARY'!$D$185:$N$185,MATCH(City,'08 LOCATION RATE LIBRARY'!$D$4:$N$4,0)))</f>
        <v>2400</v>
      </c>
      <c r="E9" s="32"/>
      <c r="F9" s="32"/>
      <c r="G9" s="10" t="str">
        <f aca="false">City</f>
        <v>Lahore</v>
      </c>
      <c r="H9" s="9" t="s">
        <v>2045</v>
      </c>
      <c r="I9" s="9" t="s">
        <v>1476</v>
      </c>
      <c r="J9" s="9" t="s">
        <v>1562</v>
      </c>
      <c r="K9" s="5" t="s">
        <v>2050</v>
      </c>
      <c r="L9" s="10" t="n">
        <f aca="false">IF(ISNUMBER(D9),1,0)</f>
        <v>1</v>
      </c>
      <c r="M9" s="33" t="n">
        <v>2400</v>
      </c>
    </row>
    <row r="10" customFormat="false" ht="15" hidden="false" customHeight="true" outlineLevel="0" collapsed="false">
      <c r="A10" s="9" t="s">
        <v>953</v>
      </c>
      <c r="B10" s="9" t="s">
        <v>2051</v>
      </c>
      <c r="C10" s="9" t="s">
        <v>815</v>
      </c>
      <c r="D10" s="11" t="n">
        <f aca="false">IF(INDEX('08 LOCATION RATE LIBRARY'!$D$186:$N$186,MATCH(City,'08 LOCATION RATE LIBRARY'!$D$4:$N$4,0))="","",INDEX('08 LOCATION RATE LIBRARY'!$D$186:$N$186,MATCH(City,'08 LOCATION RATE LIBRARY'!$D$4:$N$4,0)))</f>
        <v>2200</v>
      </c>
      <c r="E10" s="32"/>
      <c r="F10" s="32"/>
      <c r="G10" s="10" t="str">
        <f aca="false">City</f>
        <v>Lahore</v>
      </c>
      <c r="H10" s="9" t="s">
        <v>110</v>
      </c>
      <c r="I10" s="10" t="str">
        <f aca="false">IF(ISNUMBER('16 VENDOR ENQUIRY (RFQ)'!H44),"Vendor quote","ASSUMED")</f>
        <v>ASSUMED</v>
      </c>
      <c r="J10" s="9" t="s">
        <v>2052</v>
      </c>
      <c r="K10" s="5" t="s">
        <v>2053</v>
      </c>
      <c r="L10" s="10" t="n">
        <f aca="false">IF(ISNUMBER(D10),1,0)</f>
        <v>1</v>
      </c>
      <c r="M10" s="34" t="n">
        <f aca="false">IF(ISNUMBER('16 VENDOR ENQUIRY (RFQ)'!H44),'16 VENDOR ENQUIRY (RFQ)'!H44,2200)</f>
        <v>2200</v>
      </c>
    </row>
    <row r="11" customFormat="false" ht="21.75" hidden="false" customHeight="true" outlineLevel="0" collapsed="false">
      <c r="A11" s="9" t="s">
        <v>973</v>
      </c>
      <c r="B11" s="9" t="s">
        <v>2054</v>
      </c>
      <c r="C11" s="9" t="s">
        <v>815</v>
      </c>
      <c r="D11" s="11" t="n">
        <f aca="false">IF(INDEX('08 LOCATION RATE LIBRARY'!$D$187:$N$187,MATCH(City,'08 LOCATION RATE LIBRARY'!$D$4:$N$4,0))="","",INDEX('08 LOCATION RATE LIBRARY'!$D$187:$N$187,MATCH(City,'08 LOCATION RATE LIBRARY'!$D$4:$N$4,0)))</f>
        <v>2500</v>
      </c>
      <c r="E11" s="32" t="n">
        <v>2000</v>
      </c>
      <c r="F11" s="32" t="n">
        <v>2400</v>
      </c>
      <c r="G11" s="10" t="str">
        <f aca="false">City</f>
        <v>Lahore</v>
      </c>
      <c r="H11" s="9" t="s">
        <v>2045</v>
      </c>
      <c r="I11" s="9" t="s">
        <v>1476</v>
      </c>
      <c r="J11" s="9" t="s">
        <v>1562</v>
      </c>
      <c r="K11" s="5" t="s">
        <v>2055</v>
      </c>
      <c r="L11" s="10" t="n">
        <f aca="false">IF(ISNUMBER(D11),1,0)</f>
        <v>1</v>
      </c>
      <c r="M11" s="33" t="n">
        <v>2500</v>
      </c>
    </row>
    <row r="12" customFormat="false" ht="15" hidden="false" customHeight="true" outlineLevel="0" collapsed="false">
      <c r="A12" s="9" t="s">
        <v>1000</v>
      </c>
      <c r="B12" s="9" t="s">
        <v>2056</v>
      </c>
      <c r="C12" s="9" t="s">
        <v>815</v>
      </c>
      <c r="D12" s="11" t="n">
        <f aca="false">IF(INDEX('08 LOCATION RATE LIBRARY'!$D$188:$N$188,MATCH(City,'08 LOCATION RATE LIBRARY'!$D$4:$N$4,0))="","",INDEX('08 LOCATION RATE LIBRARY'!$D$188:$N$188,MATCH(City,'08 LOCATION RATE LIBRARY'!$D$4:$N$4,0)))</f>
        <v>2100</v>
      </c>
      <c r="E12" s="32" t="n">
        <v>2000</v>
      </c>
      <c r="F12" s="32" t="n">
        <v>2400</v>
      </c>
      <c r="G12" s="10" t="str">
        <f aca="false">City</f>
        <v>Lahore</v>
      </c>
      <c r="H12" s="9" t="s">
        <v>2057</v>
      </c>
      <c r="I12" s="9" t="s">
        <v>1476</v>
      </c>
      <c r="J12" s="9" t="s">
        <v>2058</v>
      </c>
      <c r="K12" s="5" t="s">
        <v>2059</v>
      </c>
      <c r="L12" s="10" t="n">
        <f aca="false">IF(ISNUMBER(D12),1,0)</f>
        <v>1</v>
      </c>
      <c r="M12" s="33" t="n">
        <v>2100</v>
      </c>
    </row>
    <row r="13" customFormat="false" ht="15" hidden="false" customHeight="true" outlineLevel="0" collapsed="false">
      <c r="A13" s="9" t="s">
        <v>989</v>
      </c>
      <c r="B13" s="9" t="s">
        <v>2060</v>
      </c>
      <c r="C13" s="9" t="s">
        <v>815</v>
      </c>
      <c r="D13" s="11" t="n">
        <f aca="false">IF(INDEX('08 LOCATION RATE LIBRARY'!$D$189:$N$189,MATCH(City,'08 LOCATION RATE LIBRARY'!$D$4:$N$4,0))="","",INDEX('08 LOCATION RATE LIBRARY'!$D$189:$N$189,MATCH(City,'08 LOCATION RATE LIBRARY'!$D$4:$N$4,0)))</f>
        <v>2200</v>
      </c>
      <c r="E13" s="32"/>
      <c r="F13" s="32"/>
      <c r="G13" s="10" t="str">
        <f aca="false">City</f>
        <v>Lahore</v>
      </c>
      <c r="H13" s="9" t="s">
        <v>110</v>
      </c>
      <c r="I13" s="10" t="str">
        <f aca="false">IF(ISNUMBER('16 VENDOR ENQUIRY (RFQ)'!H38),"Vendor quote","ASSUMED")</f>
        <v>ASSUMED</v>
      </c>
      <c r="J13" s="9" t="s">
        <v>2052</v>
      </c>
      <c r="K13" s="5" t="s">
        <v>2061</v>
      </c>
      <c r="L13" s="10" t="n">
        <f aca="false">IF(ISNUMBER(D13),1,0)</f>
        <v>1</v>
      </c>
      <c r="M13" s="34" t="n">
        <f aca="false">IF(ISNUMBER('16 VENDOR ENQUIRY (RFQ)'!H38),'16 VENDOR ENQUIRY (RFQ)'!H38,2200)</f>
        <v>2200</v>
      </c>
    </row>
    <row r="14" customFormat="false" ht="21.75" hidden="false" customHeight="true" outlineLevel="0" collapsed="false">
      <c r="A14" s="9" t="s">
        <v>1009</v>
      </c>
      <c r="B14" s="9" t="s">
        <v>2062</v>
      </c>
      <c r="C14" s="9" t="s">
        <v>815</v>
      </c>
      <c r="D14" s="11" t="n">
        <f aca="false">IF(INDEX('08 LOCATION RATE LIBRARY'!$D$190:$N$190,MATCH(City,'08 LOCATION RATE LIBRARY'!$D$4:$N$4,0))="","",INDEX('08 LOCATION RATE LIBRARY'!$D$190:$N$190,MATCH(City,'08 LOCATION RATE LIBRARY'!$D$4:$N$4,0)))</f>
        <v>2200</v>
      </c>
      <c r="E14" s="32"/>
      <c r="F14" s="32"/>
      <c r="G14" s="10" t="str">
        <f aca="false">City</f>
        <v>Lahore</v>
      </c>
      <c r="H14" s="9" t="s">
        <v>110</v>
      </c>
      <c r="I14" s="10" t="str">
        <f aca="false">IF(ISNUMBER('16 VENDOR ENQUIRY (RFQ)'!H43),"Vendor quote","ASSUMED")</f>
        <v>ASSUMED</v>
      </c>
      <c r="J14" s="9" t="s">
        <v>2052</v>
      </c>
      <c r="K14" s="5" t="s">
        <v>2063</v>
      </c>
      <c r="L14" s="10" t="n">
        <f aca="false">IF(ISNUMBER(D14),1,0)</f>
        <v>1</v>
      </c>
      <c r="M14" s="34" t="n">
        <f aca="false">IF(ISNUMBER('16 VENDOR ENQUIRY (RFQ)'!H43),'16 VENDOR ENQUIRY (RFQ)'!H43,2200)</f>
        <v>2200</v>
      </c>
    </row>
    <row r="15" customFormat="false" ht="15" hidden="false" customHeight="true" outlineLevel="0" collapsed="false">
      <c r="A15" s="9" t="s">
        <v>1134</v>
      </c>
      <c r="B15" s="9" t="s">
        <v>2064</v>
      </c>
      <c r="C15" s="9" t="s">
        <v>815</v>
      </c>
      <c r="D15" s="11" t="n">
        <f aca="false">IF(INDEX('08 LOCATION RATE LIBRARY'!$D$191:$N$191,MATCH(City,'08 LOCATION RATE LIBRARY'!$D$4:$N$4,0))="","",INDEX('08 LOCATION RATE LIBRARY'!$D$191:$N$191,MATCH(City,'08 LOCATION RATE LIBRARY'!$D$4:$N$4,0)))</f>
        <v>2600</v>
      </c>
      <c r="E15" s="32"/>
      <c r="F15" s="32"/>
      <c r="G15" s="10" t="str">
        <f aca="false">City</f>
        <v>Lahore</v>
      </c>
      <c r="H15" s="9" t="s">
        <v>2045</v>
      </c>
      <c r="I15" s="9" t="s">
        <v>1476</v>
      </c>
      <c r="J15" s="9" t="s">
        <v>1562</v>
      </c>
      <c r="K15" s="5" t="s">
        <v>2065</v>
      </c>
      <c r="L15" s="10" t="n">
        <f aca="false">IF(ISNUMBER(D15),1,0)</f>
        <v>1</v>
      </c>
      <c r="M15" s="33" t="n">
        <v>2600</v>
      </c>
    </row>
    <row r="16" customFormat="false" ht="15" hidden="false" customHeight="true" outlineLevel="0" collapsed="false">
      <c r="A16" s="9" t="s">
        <v>1249</v>
      </c>
      <c r="B16" s="9" t="s">
        <v>2066</v>
      </c>
      <c r="C16" s="9" t="s">
        <v>815</v>
      </c>
      <c r="D16" s="11" t="n">
        <f aca="false">IF(INDEX('08 LOCATION RATE LIBRARY'!$D$192:$N$192,MATCH(City,'08 LOCATION RATE LIBRARY'!$D$4:$N$4,0))="","",INDEX('08 LOCATION RATE LIBRARY'!$D$192:$N$192,MATCH(City,'08 LOCATION RATE LIBRARY'!$D$4:$N$4,0)))</f>
        <v>2800</v>
      </c>
      <c r="E16" s="32"/>
      <c r="F16" s="32"/>
      <c r="G16" s="10" t="str">
        <f aca="false">City</f>
        <v>Lahore</v>
      </c>
      <c r="H16" s="9" t="s">
        <v>2045</v>
      </c>
      <c r="I16" s="9" t="s">
        <v>1476</v>
      </c>
      <c r="J16" s="9" t="s">
        <v>1562</v>
      </c>
      <c r="K16" s="5" t="s">
        <v>2067</v>
      </c>
      <c r="L16" s="10" t="n">
        <f aca="false">IF(ISNUMBER(D16),1,0)</f>
        <v>1</v>
      </c>
      <c r="M16" s="33" t="n">
        <v>2800</v>
      </c>
    </row>
    <row r="17" customFormat="false" ht="15" hidden="false" customHeight="true" outlineLevel="0" collapsed="false">
      <c r="A17" s="9" t="s">
        <v>1057</v>
      </c>
      <c r="B17" s="9" t="s">
        <v>2068</v>
      </c>
      <c r="C17" s="9" t="s">
        <v>815</v>
      </c>
      <c r="D17" s="11" t="n">
        <f aca="false">IF(INDEX('08 LOCATION RATE LIBRARY'!$D$193:$N$193,MATCH(City,'08 LOCATION RATE LIBRARY'!$D$4:$N$4,0))="","",INDEX('08 LOCATION RATE LIBRARY'!$D$193:$N$193,MATCH(City,'08 LOCATION RATE LIBRARY'!$D$4:$N$4,0)))</f>
        <v>2200</v>
      </c>
      <c r="E17" s="32"/>
      <c r="F17" s="32"/>
      <c r="G17" s="10" t="str">
        <f aca="false">City</f>
        <v>Lahore</v>
      </c>
      <c r="H17" s="9" t="s">
        <v>110</v>
      </c>
      <c r="I17" s="10" t="str">
        <f aca="false">IF(ISNUMBER('16 VENDOR ENQUIRY (RFQ)'!H40),"Vendor quote","ASSUMED")</f>
        <v>ASSUMED</v>
      </c>
      <c r="J17" s="9" t="s">
        <v>2052</v>
      </c>
      <c r="K17" s="5" t="s">
        <v>2061</v>
      </c>
      <c r="L17" s="10" t="n">
        <f aca="false">IF(ISNUMBER(D17),1,0)</f>
        <v>1</v>
      </c>
      <c r="M17" s="34" t="n">
        <f aca="false">IF(ISNUMBER('16 VENDOR ENQUIRY (RFQ)'!H40),'16 VENDOR ENQUIRY (RFQ)'!H40,2200)</f>
        <v>2200</v>
      </c>
    </row>
    <row r="18" customFormat="false" ht="15" hidden="false" customHeight="true" outlineLevel="0" collapsed="false">
      <c r="A18" s="9" t="s">
        <v>1083</v>
      </c>
      <c r="B18" s="9" t="s">
        <v>2069</v>
      </c>
      <c r="C18" s="9" t="s">
        <v>815</v>
      </c>
      <c r="D18" s="11" t="n">
        <f aca="false">IF(INDEX('08 LOCATION RATE LIBRARY'!$D$194:$N$194,MATCH(City,'08 LOCATION RATE LIBRARY'!$D$4:$N$4,0))="","",INDEX('08 LOCATION RATE LIBRARY'!$D$194:$N$194,MATCH(City,'08 LOCATION RATE LIBRARY'!$D$4:$N$4,0)))</f>
        <v>2200</v>
      </c>
      <c r="E18" s="32"/>
      <c r="F18" s="32"/>
      <c r="G18" s="10" t="str">
        <f aca="false">City</f>
        <v>Lahore</v>
      </c>
      <c r="H18" s="9" t="s">
        <v>110</v>
      </c>
      <c r="I18" s="10" t="str">
        <f aca="false">IF(ISNUMBER('16 VENDOR ENQUIRY (RFQ)'!H37),"Vendor quote","ASSUMED")</f>
        <v>ASSUMED</v>
      </c>
      <c r="J18" s="9" t="s">
        <v>2052</v>
      </c>
      <c r="K18" s="5" t="s">
        <v>2061</v>
      </c>
      <c r="L18" s="10" t="n">
        <f aca="false">IF(ISNUMBER(D18),1,0)</f>
        <v>1</v>
      </c>
      <c r="M18" s="34" t="n">
        <f aca="false">IF(ISNUMBER('16 VENDOR ENQUIRY (RFQ)'!H37),'16 VENDOR ENQUIRY (RFQ)'!H37,2200)</f>
        <v>2200</v>
      </c>
    </row>
    <row r="19" customFormat="false" ht="15" hidden="false" customHeight="true" outlineLevel="0" collapsed="false">
      <c r="A19" s="9" t="s">
        <v>1222</v>
      </c>
      <c r="B19" s="9" t="s">
        <v>2070</v>
      </c>
      <c r="C19" s="9" t="s">
        <v>815</v>
      </c>
      <c r="D19" s="11" t="n">
        <f aca="false">IF(INDEX('08 LOCATION RATE LIBRARY'!$D$195:$N$195,MATCH(City,'08 LOCATION RATE LIBRARY'!$D$4:$N$4,0))="","",INDEX('08 LOCATION RATE LIBRARY'!$D$195:$N$195,MATCH(City,'08 LOCATION RATE LIBRARY'!$D$4:$N$4,0)))</f>
        <v>2600</v>
      </c>
      <c r="E19" s="32"/>
      <c r="F19" s="32"/>
      <c r="G19" s="10" t="str">
        <f aca="false">City</f>
        <v>Lahore</v>
      </c>
      <c r="H19" s="9" t="s">
        <v>110</v>
      </c>
      <c r="I19" s="10" t="str">
        <f aca="false">IF(ISNUMBER('16 VENDOR ENQUIRY (RFQ)'!H42),"Vendor quote","ASSUMED")</f>
        <v>ASSUMED</v>
      </c>
      <c r="J19" s="9" t="s">
        <v>1562</v>
      </c>
      <c r="K19" s="5" t="s">
        <v>2071</v>
      </c>
      <c r="L19" s="10" t="n">
        <f aca="false">IF(ISNUMBER(D19),1,0)</f>
        <v>1</v>
      </c>
      <c r="M19" s="34" t="n">
        <f aca="false">IF(ISNUMBER('16 VENDOR ENQUIRY (RFQ)'!H42),'16 VENDOR ENQUIRY (RFQ)'!H42,2600)</f>
        <v>2600</v>
      </c>
    </row>
    <row r="20" customFormat="false" ht="15" hidden="false" customHeight="true" outlineLevel="0" collapsed="false">
      <c r="A20" s="9" t="s">
        <v>1302</v>
      </c>
      <c r="B20" s="9" t="s">
        <v>2072</v>
      </c>
      <c r="C20" s="9" t="s">
        <v>815</v>
      </c>
      <c r="D20" s="11" t="n">
        <f aca="false">IF(INDEX('08 LOCATION RATE LIBRARY'!$D$196:$N$196,MATCH(City,'08 LOCATION RATE LIBRARY'!$D$4:$N$4,0))="","",INDEX('08 LOCATION RATE LIBRARY'!$D$196:$N$196,MATCH(City,'08 LOCATION RATE LIBRARY'!$D$4:$N$4,0)))</f>
        <v>2800</v>
      </c>
      <c r="E20" s="32"/>
      <c r="F20" s="32"/>
      <c r="G20" s="10" t="str">
        <f aca="false">City</f>
        <v>Lahore</v>
      </c>
      <c r="H20" s="9" t="s">
        <v>110</v>
      </c>
      <c r="I20" s="10" t="str">
        <f aca="false">IF(ISNUMBER('16 VENDOR ENQUIRY (RFQ)'!H41),"Vendor quote","ASSUMED")</f>
        <v>ASSUMED</v>
      </c>
      <c r="J20" s="9" t="s">
        <v>1562</v>
      </c>
      <c r="K20" s="5" t="s">
        <v>2073</v>
      </c>
      <c r="L20" s="10" t="n">
        <f aca="false">IF(ISNUMBER(D20),1,0)</f>
        <v>1</v>
      </c>
      <c r="M20" s="34" t="n">
        <f aca="false">IF(ISNUMBER('16 VENDOR ENQUIRY (RFQ)'!H41),'16 VENDOR ENQUIRY (RFQ)'!H41,2800)</f>
        <v>2800</v>
      </c>
    </row>
    <row r="21" customFormat="false" ht="15" hidden="false" customHeight="true" outlineLevel="0" collapsed="false">
      <c r="A21" s="9" t="s">
        <v>1321</v>
      </c>
      <c r="B21" s="9" t="s">
        <v>2074</v>
      </c>
      <c r="C21" s="9" t="s">
        <v>815</v>
      </c>
      <c r="D21" s="11" t="n">
        <f aca="false">IF(INDEX('08 LOCATION RATE LIBRARY'!$D$197:$N$197,MATCH(City,'08 LOCATION RATE LIBRARY'!$D$4:$N$4,0))="","",INDEX('08 LOCATION RATE LIBRARY'!$D$197:$N$197,MATCH(City,'08 LOCATION RATE LIBRARY'!$D$4:$N$4,0)))</f>
        <v>2200</v>
      </c>
      <c r="E21" s="32"/>
      <c r="F21" s="32"/>
      <c r="G21" s="10" t="str">
        <f aca="false">City</f>
        <v>Lahore</v>
      </c>
      <c r="H21" s="9" t="s">
        <v>110</v>
      </c>
      <c r="I21" s="10" t="str">
        <f aca="false">IF(ISNUMBER('16 VENDOR ENQUIRY (RFQ)'!H39),"Vendor quote","ASSUMED")</f>
        <v>ASSUMED</v>
      </c>
      <c r="J21" s="9" t="s">
        <v>2052</v>
      </c>
      <c r="K21" s="5" t="s">
        <v>2061</v>
      </c>
      <c r="L21" s="10" t="n">
        <f aca="false">IF(ISNUMBER(D21),1,0)</f>
        <v>1</v>
      </c>
      <c r="M21" s="34" t="n">
        <f aca="false">IF(ISNUMBER('16 VENDOR ENQUIRY (RFQ)'!H39),'16 VENDOR ENQUIRY (RFQ)'!H39,2200)</f>
        <v>2200</v>
      </c>
    </row>
    <row r="22" customFormat="false" ht="32.25" hidden="false" customHeight="true" outlineLevel="0" collapsed="false">
      <c r="A22" s="9" t="s">
        <v>1404</v>
      </c>
      <c r="B22" s="9" t="s">
        <v>2075</v>
      </c>
      <c r="C22" s="9" t="s">
        <v>109</v>
      </c>
      <c r="D22" s="11" t="n">
        <f aca="false">IF(INDEX('08 LOCATION RATE LIBRARY'!$D$211:$N$211,MATCH(City,'08 LOCATION RATE LIBRARY'!$D$4:$N$4,0))="","",INDEX('08 LOCATION RATE LIBRARY'!$D$211:$N$211,MATCH(City,'08 LOCATION RATE LIBRARY'!$D$4:$N$4,0)))</f>
        <v>60.9</v>
      </c>
      <c r="E22" s="32"/>
      <c r="F22" s="32"/>
      <c r="G22" s="10" t="str">
        <f aca="false">City</f>
        <v>Lahore</v>
      </c>
      <c r="H22" s="9" t="s">
        <v>1777</v>
      </c>
      <c r="I22" s="10" t="s">
        <v>1769</v>
      </c>
      <c r="J22" s="9" t="s">
        <v>2076</v>
      </c>
      <c r="K22" s="5" t="s">
        <v>2077</v>
      </c>
      <c r="L22" s="10" t="n">
        <f aca="false">IF(ISNUMBER(D22),1,0)</f>
        <v>1</v>
      </c>
      <c r="M22" s="34" t="n">
        <v>60.9</v>
      </c>
    </row>
    <row r="23" customFormat="false" ht="42.75" hidden="false" customHeight="true" outlineLevel="0" collapsed="false">
      <c r="A23" s="9" t="s">
        <v>1406</v>
      </c>
      <c r="B23" s="9" t="s">
        <v>2078</v>
      </c>
      <c r="C23" s="9" t="s">
        <v>109</v>
      </c>
      <c r="D23" s="11" t="n">
        <f aca="false">IF(INDEX('08 LOCATION RATE LIBRARY'!$D$212:$N$212,MATCH(City,'08 LOCATION RATE LIBRARY'!$D$4:$N$4,0))="","",INDEX('08 LOCATION RATE LIBRARY'!$D$212:$N$212,MATCH(City,'08 LOCATION RATE LIBRARY'!$D$4:$N$4,0)))</f>
        <v>17.9345</v>
      </c>
      <c r="E23" s="32"/>
      <c r="F23" s="32"/>
      <c r="G23" s="10" t="str">
        <f aca="false">City</f>
        <v>Lahore</v>
      </c>
      <c r="H23" s="9" t="s">
        <v>1777</v>
      </c>
      <c r="I23" s="10" t="s">
        <v>1769</v>
      </c>
      <c r="J23" s="9" t="s">
        <v>2076</v>
      </c>
      <c r="K23" s="5" t="s">
        <v>2079</v>
      </c>
      <c r="L23" s="10" t="n">
        <f aca="false">IF(ISNUMBER(D23),1,0)</f>
        <v>1</v>
      </c>
      <c r="M23" s="34" t="n">
        <v>17.9345</v>
      </c>
    </row>
    <row r="24" customFormat="false" ht="42.75" hidden="false" customHeight="true" outlineLevel="0" collapsed="false">
      <c r="A24" s="9" t="s">
        <v>1407</v>
      </c>
      <c r="B24" s="9" t="s">
        <v>2080</v>
      </c>
      <c r="C24" s="9" t="s">
        <v>109</v>
      </c>
      <c r="D24" s="11" t="n">
        <f aca="false">IF(INDEX('08 LOCATION RATE LIBRARY'!$D$213:$N$213,MATCH(City,'08 LOCATION RATE LIBRARY'!$D$4:$N$4,0))="","",INDEX('08 LOCATION RATE LIBRARY'!$D$213:$N$213,MATCH(City,'08 LOCATION RATE LIBRARY'!$D$4:$N$4,0)))</f>
        <v>40.269</v>
      </c>
      <c r="E24" s="32"/>
      <c r="F24" s="32"/>
      <c r="G24" s="10" t="str">
        <f aca="false">City</f>
        <v>Lahore</v>
      </c>
      <c r="H24" s="9" t="s">
        <v>1777</v>
      </c>
      <c r="I24" s="10" t="s">
        <v>1769</v>
      </c>
      <c r="J24" s="9" t="s">
        <v>2076</v>
      </c>
      <c r="K24" s="5" t="s">
        <v>2081</v>
      </c>
      <c r="L24" s="10" t="n">
        <f aca="false">IF(ISNUMBER(D24),1,0)</f>
        <v>1</v>
      </c>
      <c r="M24" s="34" t="n">
        <v>40.269</v>
      </c>
    </row>
    <row r="25" customFormat="false" ht="42.75" hidden="false" customHeight="true" outlineLevel="0" collapsed="false">
      <c r="A25" s="9" t="s">
        <v>1408</v>
      </c>
      <c r="B25" s="9" t="s">
        <v>2082</v>
      </c>
      <c r="C25" s="9" t="s">
        <v>109</v>
      </c>
      <c r="D25" s="11" t="n">
        <f aca="false">IF(INDEX('08 LOCATION RATE LIBRARY'!$D$214:$N$214,MATCH(City,'08 LOCATION RATE LIBRARY'!$D$4:$N$4,0))="","",INDEX('08 LOCATION RATE LIBRARY'!$D$214:$N$214,MATCH(City,'08 LOCATION RATE LIBRARY'!$D$4:$N$4,0)))</f>
        <v>62.603</v>
      </c>
      <c r="E25" s="32"/>
      <c r="F25" s="32"/>
      <c r="G25" s="10" t="str">
        <f aca="false">City</f>
        <v>Lahore</v>
      </c>
      <c r="H25" s="9" t="s">
        <v>1777</v>
      </c>
      <c r="I25" s="10" t="s">
        <v>1769</v>
      </c>
      <c r="J25" s="9" t="s">
        <v>2076</v>
      </c>
      <c r="K25" s="5" t="s">
        <v>2083</v>
      </c>
      <c r="L25" s="10" t="n">
        <f aca="false">IF(ISNUMBER(D25),1,0)</f>
        <v>1</v>
      </c>
      <c r="M25" s="34" t="n">
        <v>62.603</v>
      </c>
    </row>
    <row r="26" customFormat="false" ht="42.75" hidden="false" customHeight="true" outlineLevel="0" collapsed="false">
      <c r="A26" s="9" t="s">
        <v>1409</v>
      </c>
      <c r="B26" s="9" t="s">
        <v>2084</v>
      </c>
      <c r="C26" s="9" t="s">
        <v>109</v>
      </c>
      <c r="D26" s="11" t="n">
        <f aca="false">IF(INDEX('08 LOCATION RATE LIBRARY'!$D$215:$N$215,MATCH(City,'08 LOCATION RATE LIBRARY'!$D$4:$N$4,0))="","",INDEX('08 LOCATION RATE LIBRARY'!$D$215:$N$215,MATCH(City,'08 LOCATION RATE LIBRARY'!$D$4:$N$4,0)))</f>
        <v>100.505</v>
      </c>
      <c r="E26" s="32"/>
      <c r="F26" s="32"/>
      <c r="G26" s="10" t="str">
        <f aca="false">City</f>
        <v>Lahore</v>
      </c>
      <c r="H26" s="9" t="s">
        <v>1777</v>
      </c>
      <c r="I26" s="10" t="s">
        <v>1769</v>
      </c>
      <c r="J26" s="9" t="s">
        <v>2076</v>
      </c>
      <c r="K26" s="5" t="s">
        <v>2085</v>
      </c>
      <c r="L26" s="10" t="n">
        <f aca="false">IF(ISNUMBER(D26),1,0)</f>
        <v>1</v>
      </c>
      <c r="M26" s="34" t="n">
        <v>100.505</v>
      </c>
    </row>
    <row r="27" customFormat="false" ht="42.75" hidden="false" customHeight="true" outlineLevel="0" collapsed="false">
      <c r="A27" s="9" t="s">
        <v>1410</v>
      </c>
      <c r="B27" s="9" t="s">
        <v>2086</v>
      </c>
      <c r="C27" s="9" t="s">
        <v>109</v>
      </c>
      <c r="D27" s="11" t="n">
        <f aca="false">IF(INDEX('08 LOCATION RATE LIBRARY'!$D$216:$N$216,MATCH(City,'08 LOCATION RATE LIBRARY'!$D$4:$N$4,0))="","",INDEX('08 LOCATION RATE LIBRARY'!$D$216:$N$216,MATCH(City,'08 LOCATION RATE LIBRARY'!$D$4:$N$4,0)))</f>
        <v>10.7605</v>
      </c>
      <c r="E27" s="32"/>
      <c r="F27" s="32"/>
      <c r="G27" s="10" t="str">
        <f aca="false">City</f>
        <v>Lahore</v>
      </c>
      <c r="H27" s="9" t="s">
        <v>1777</v>
      </c>
      <c r="I27" s="10" t="s">
        <v>1769</v>
      </c>
      <c r="J27" s="9" t="s">
        <v>2076</v>
      </c>
      <c r="K27" s="5" t="s">
        <v>2087</v>
      </c>
      <c r="L27" s="10" t="n">
        <f aca="false">IF(ISNUMBER(D27),1,0)</f>
        <v>1</v>
      </c>
      <c r="M27" s="34" t="n">
        <v>10.7605</v>
      </c>
    </row>
    <row r="28" customFormat="false" ht="42.75" hidden="false" customHeight="true" outlineLevel="0" collapsed="false">
      <c r="A28" s="9" t="s">
        <v>1411</v>
      </c>
      <c r="B28" s="9" t="s">
        <v>2088</v>
      </c>
      <c r="C28" s="9" t="s">
        <v>212</v>
      </c>
      <c r="D28" s="11" t="n">
        <f aca="false">IF(INDEX('08 LOCATION RATE LIBRARY'!$D$217:$N$217,MATCH(City,'08 LOCATION RATE LIBRARY'!$D$4:$N$4,0))="","",INDEX('08 LOCATION RATE LIBRARY'!$D$217:$N$217,MATCH(City,'08 LOCATION RATE LIBRARY'!$D$4:$N$4,0)))</f>
        <v>6.5945</v>
      </c>
      <c r="E28" s="32"/>
      <c r="F28" s="32"/>
      <c r="G28" s="10" t="str">
        <f aca="false">City</f>
        <v>Lahore</v>
      </c>
      <c r="H28" s="9" t="s">
        <v>1777</v>
      </c>
      <c r="I28" s="10" t="s">
        <v>1769</v>
      </c>
      <c r="J28" s="9" t="s">
        <v>2076</v>
      </c>
      <c r="K28" s="5" t="s">
        <v>2089</v>
      </c>
      <c r="L28" s="10" t="n">
        <f aca="false">IF(ISNUMBER(D28),1,0)</f>
        <v>1</v>
      </c>
      <c r="M28" s="34" t="n">
        <v>6.5945</v>
      </c>
    </row>
    <row r="29" customFormat="false" ht="42.75" hidden="false" customHeight="true" outlineLevel="0" collapsed="false">
      <c r="A29" s="9" t="s">
        <v>1412</v>
      </c>
      <c r="B29" s="9" t="s">
        <v>2090</v>
      </c>
      <c r="C29" s="9" t="s">
        <v>212</v>
      </c>
      <c r="D29" s="11" t="n">
        <f aca="false">IF(INDEX('08 LOCATION RATE LIBRARY'!$D$218:$N$218,MATCH(City,'08 LOCATION RATE LIBRARY'!$D$4:$N$4,0))="","",INDEX('08 LOCATION RATE LIBRARY'!$D$218:$N$218,MATCH(City,'08 LOCATION RATE LIBRARY'!$D$4:$N$4,0)))</f>
        <v>12.181</v>
      </c>
      <c r="E29" s="32"/>
      <c r="F29" s="32"/>
      <c r="G29" s="10" t="str">
        <f aca="false">City</f>
        <v>Lahore</v>
      </c>
      <c r="H29" s="9" t="s">
        <v>1777</v>
      </c>
      <c r="I29" s="10" t="s">
        <v>1769</v>
      </c>
      <c r="J29" s="9" t="s">
        <v>2076</v>
      </c>
      <c r="K29" s="5" t="s">
        <v>2091</v>
      </c>
      <c r="L29" s="10" t="n">
        <f aca="false">IF(ISNUMBER(D29),1,0)</f>
        <v>1</v>
      </c>
      <c r="M29" s="34" t="n">
        <v>12.181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6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55"/>
    <col collapsed="false" customWidth="true" hidden="false" outlineLevel="0" max="8" min="8" style="1" width="9"/>
    <col collapsed="false" customWidth="true" hidden="false" outlineLevel="0" max="9" min="9" style="1" width="13"/>
  </cols>
  <sheetData>
    <row r="1" customFormat="false" ht="15.75" hidden="false" customHeight="true" outlineLevel="0" collapsed="false">
      <c r="A1" s="2" t="s">
        <v>2092</v>
      </c>
    </row>
    <row r="2" customFormat="false" ht="15" hidden="false" customHeight="true" outlineLevel="0" collapsed="false">
      <c r="A2" s="3" t="s">
        <v>2093</v>
      </c>
    </row>
    <row r="4" customFormat="false" ht="21.75" hidden="false" customHeight="true" outlineLevel="0" collapsed="false">
      <c r="A4" s="12" t="s">
        <v>2094</v>
      </c>
      <c r="B4" s="12" t="s">
        <v>818</v>
      </c>
      <c r="C4" s="12" t="s">
        <v>81</v>
      </c>
      <c r="D4" s="12" t="s">
        <v>1465</v>
      </c>
      <c r="E4" s="12" t="s">
        <v>72</v>
      </c>
      <c r="F4" s="12" t="s">
        <v>1468</v>
      </c>
      <c r="G4" s="12" t="s">
        <v>1469</v>
      </c>
      <c r="H4" s="12" t="s">
        <v>2036</v>
      </c>
      <c r="I4" s="12" t="s">
        <v>1471</v>
      </c>
    </row>
    <row r="5" customFormat="false" ht="15" hidden="false" customHeight="true" outlineLevel="0" collapsed="false">
      <c r="A5" s="9" t="s">
        <v>821</v>
      </c>
      <c r="B5" s="9" t="s">
        <v>2095</v>
      </c>
      <c r="C5" s="9" t="s">
        <v>815</v>
      </c>
      <c r="D5" s="11" t="n">
        <f aca="false">IF(INDEX('08 LOCATION RATE LIBRARY'!$D$198:$N$198,MATCH(City,'08 LOCATION RATE LIBRARY'!$D$4:$N$4,0))="","",INDEX('08 LOCATION RATE LIBRARY'!$D$198:$N$198,MATCH(City,'08 LOCATION RATE LIBRARY'!$D$4:$N$4,0)))</f>
        <v>3500</v>
      </c>
      <c r="E5" s="10" t="str">
        <f aca="false">IF(ISNUMBER('16 VENDOR ENQUIRY (RFQ)'!H48),"Vendor quote","ASSUMED")</f>
        <v>ASSUMED</v>
      </c>
      <c r="F5" s="9" t="s">
        <v>1494</v>
      </c>
      <c r="G5" s="5" t="s">
        <v>2096</v>
      </c>
      <c r="H5" s="10" t="n">
        <f aca="false">IF(ISNUMBER(D5),1,0)</f>
        <v>1</v>
      </c>
      <c r="I5" s="34" t="n">
        <f aca="false">IF(ISNUMBER('16 VENDOR ENQUIRY (RFQ)'!H48),'16 VENDOR ENQUIRY (RFQ)'!H48,3500)</f>
        <v>3500</v>
      </c>
    </row>
    <row r="6" customFormat="false" ht="32.25" hidden="false" customHeight="true" outlineLevel="0" collapsed="false">
      <c r="A6" s="9" t="s">
        <v>819</v>
      </c>
      <c r="B6" s="9" t="s">
        <v>2097</v>
      </c>
      <c r="C6" s="9" t="s">
        <v>815</v>
      </c>
      <c r="D6" s="11" t="n">
        <f aca="false">IF(INDEX('08 LOCATION RATE LIBRARY'!$D$199:$N$199,MATCH(City,'08 LOCATION RATE LIBRARY'!$D$4:$N$4,0))="","",INDEX('08 LOCATION RATE LIBRARY'!$D$199:$N$199,MATCH(City,'08 LOCATION RATE LIBRARY'!$D$4:$N$4,0)))</f>
        <v>227</v>
      </c>
      <c r="E6" s="10" t="str">
        <f aca="false">IF(ISNUMBER('16 VENDOR ENQUIRY (RFQ)'!H53),"Vendor quote","ASSUMED")</f>
        <v>ASSUMED</v>
      </c>
      <c r="F6" s="9" t="s">
        <v>1490</v>
      </c>
      <c r="G6" s="5" t="s">
        <v>2098</v>
      </c>
      <c r="H6" s="10" t="n">
        <f aca="false">IF(ISNUMBER(D6),1,0)</f>
        <v>1</v>
      </c>
      <c r="I6" s="34" t="n">
        <f aca="false">IF(ISNUMBER('16 VENDOR ENQUIRY (RFQ)'!H53),'16 VENDOR ENQUIRY (RFQ)'!H53,227)</f>
        <v>227</v>
      </c>
    </row>
    <row r="7" customFormat="false" ht="21.75" hidden="false" customHeight="true" outlineLevel="0" collapsed="false">
      <c r="A7" s="9" t="s">
        <v>823</v>
      </c>
      <c r="B7" s="9" t="s">
        <v>2099</v>
      </c>
      <c r="C7" s="9" t="s">
        <v>109</v>
      </c>
      <c r="D7" s="11" t="n">
        <f aca="false">IF(INDEX('08 LOCATION RATE LIBRARY'!$D$200:$N$200,MATCH(City,'08 LOCATION RATE LIBRARY'!$D$4:$N$4,0))="","",INDEX('08 LOCATION RATE LIBRARY'!$D$200:$N$200,MATCH(City,'08 LOCATION RATE LIBRARY'!$D$4:$N$4,0)))</f>
        <v>28.32</v>
      </c>
      <c r="E7" s="10" t="s">
        <v>1489</v>
      </c>
      <c r="F7" s="9" t="s">
        <v>1490</v>
      </c>
      <c r="G7" s="5" t="s">
        <v>2100</v>
      </c>
      <c r="H7" s="10" t="n">
        <f aca="false">IF(ISNUMBER(D7),1,0)</f>
        <v>1</v>
      </c>
      <c r="I7" s="33" t="n">
        <v>28.32</v>
      </c>
    </row>
    <row r="8" customFormat="false" ht="15" hidden="false" customHeight="true" outlineLevel="0" collapsed="false">
      <c r="A8" s="9" t="s">
        <v>2101</v>
      </c>
      <c r="B8" s="9" t="s">
        <v>2102</v>
      </c>
      <c r="C8" s="9" t="s">
        <v>109</v>
      </c>
      <c r="D8" s="11" t="n">
        <f aca="false">IF(INDEX('08 LOCATION RATE LIBRARY'!$D$201:$N$201,MATCH(City,'08 LOCATION RATE LIBRARY'!$D$4:$N$4,0))="","",INDEX('08 LOCATION RATE LIBRARY'!$D$201:$N$201,MATCH(City,'08 LOCATION RATE LIBRARY'!$D$4:$N$4,0)))</f>
        <v>45</v>
      </c>
      <c r="E8" s="10" t="str">
        <f aca="false">IF(ISNUMBER('16 VENDOR ENQUIRY (RFQ)'!H46),"Vendor quote","ASSUMED")</f>
        <v>ASSUMED</v>
      </c>
      <c r="F8" s="9" t="s">
        <v>1494</v>
      </c>
      <c r="G8" s="5" t="s">
        <v>2103</v>
      </c>
      <c r="H8" s="10" t="n">
        <f aca="false">IF(ISNUMBER(D8),1,0)</f>
        <v>1</v>
      </c>
      <c r="I8" s="34" t="n">
        <f aca="false">IF(ISNUMBER('16 VENDOR ENQUIRY (RFQ)'!H46),'16 VENDOR ENQUIRY (RFQ)'!H46,45)</f>
        <v>45</v>
      </c>
    </row>
    <row r="9" customFormat="false" ht="15" hidden="false" customHeight="true" outlineLevel="0" collapsed="false">
      <c r="A9" s="9" t="s">
        <v>910</v>
      </c>
      <c r="B9" s="9" t="s">
        <v>2104</v>
      </c>
      <c r="C9" s="9" t="s">
        <v>212</v>
      </c>
      <c r="D9" s="11" t="n">
        <f aca="false">IF(INDEX('08 LOCATION RATE LIBRARY'!$D$202:$N$202,MATCH(City,'08 LOCATION RATE LIBRARY'!$D$4:$N$4,0))="","",INDEX('08 LOCATION RATE LIBRARY'!$D$202:$N$202,MATCH(City,'08 LOCATION RATE LIBRARY'!$D$4:$N$4,0)))</f>
        <v>10</v>
      </c>
      <c r="E9" s="10" t="str">
        <f aca="false">IF(ISNUMBER('16 VENDOR ENQUIRY (RFQ)'!H49),"Vendor quote","ASSUMED")</f>
        <v>ASSUMED</v>
      </c>
      <c r="F9" s="9" t="s">
        <v>1494</v>
      </c>
      <c r="G9" s="5" t="s">
        <v>2105</v>
      </c>
      <c r="H9" s="10" t="n">
        <f aca="false">IF(ISNUMBER(D9),1,0)</f>
        <v>1</v>
      </c>
      <c r="I9" s="34" t="n">
        <f aca="false">IF(ISNUMBER('16 VENDOR ENQUIRY (RFQ)'!H49),'16 VENDOR ENQUIRY (RFQ)'!H49,10)</f>
        <v>10</v>
      </c>
    </row>
    <row r="10" customFormat="false" ht="15" hidden="false" customHeight="true" outlineLevel="0" collapsed="false">
      <c r="A10" s="9" t="s">
        <v>951</v>
      </c>
      <c r="B10" s="9" t="s">
        <v>2106</v>
      </c>
      <c r="C10" s="9" t="s">
        <v>815</v>
      </c>
      <c r="D10" s="11" t="n">
        <f aca="false">IF(INDEX('08 LOCATION RATE LIBRARY'!$D$203:$N$203,MATCH(City,'08 LOCATION RATE LIBRARY'!$D$4:$N$4,0))="","",INDEX('08 LOCATION RATE LIBRARY'!$D$203:$N$203,MATCH(City,'08 LOCATION RATE LIBRARY'!$D$4:$N$4,0)))</f>
        <v>800</v>
      </c>
      <c r="E10" s="10" t="str">
        <f aca="false">IF(ISNUMBER('16 VENDOR ENQUIRY (RFQ)'!H51),"Vendor quote","ASSUMED")</f>
        <v>ASSUMED</v>
      </c>
      <c r="F10" s="9" t="s">
        <v>1494</v>
      </c>
      <c r="G10" s="5" t="s">
        <v>2107</v>
      </c>
      <c r="H10" s="10" t="n">
        <f aca="false">IF(ISNUMBER(D10),1,0)</f>
        <v>1</v>
      </c>
      <c r="I10" s="34" t="n">
        <f aca="false">IF(ISNUMBER('16 VENDOR ENQUIRY (RFQ)'!H51),'16 VENDOR ENQUIRY (RFQ)'!H51,800)</f>
        <v>800</v>
      </c>
    </row>
    <row r="11" customFormat="false" ht="32.25" hidden="false" customHeight="true" outlineLevel="0" collapsed="false">
      <c r="A11" s="9" t="s">
        <v>1015</v>
      </c>
      <c r="B11" s="9" t="s">
        <v>2108</v>
      </c>
      <c r="C11" s="9" t="s">
        <v>109</v>
      </c>
      <c r="D11" s="11" t="n">
        <f aca="false">IF(INDEX('08 LOCATION RATE LIBRARY'!$D$204:$N$204,MATCH(City,'08 LOCATION RATE LIBRARY'!$D$4:$N$4,0))="","",INDEX('08 LOCATION RATE LIBRARY'!$D$204:$N$204,MATCH(City,'08 LOCATION RATE LIBRARY'!$D$4:$N$4,0)))</f>
        <v>9.523</v>
      </c>
      <c r="E11" s="10" t="s">
        <v>1769</v>
      </c>
      <c r="F11" s="9" t="s">
        <v>1770</v>
      </c>
      <c r="G11" s="5" t="s">
        <v>2109</v>
      </c>
      <c r="H11" s="10" t="n">
        <f aca="false">IF(ISNUMBER(D11),1,0)</f>
        <v>1</v>
      </c>
      <c r="I11" s="33" t="n">
        <v>9.523</v>
      </c>
    </row>
    <row r="12" customFormat="false" ht="32.25" hidden="false" customHeight="true" outlineLevel="0" collapsed="false">
      <c r="A12" s="9" t="s">
        <v>1022</v>
      </c>
      <c r="B12" s="9" t="s">
        <v>2110</v>
      </c>
      <c r="C12" s="9" t="s">
        <v>109</v>
      </c>
      <c r="D12" s="11" t="n">
        <f aca="false">IF(INDEX('08 LOCATION RATE LIBRARY'!$D$205:$N$205,MATCH(City,'08 LOCATION RATE LIBRARY'!$D$4:$N$4,0))="","",INDEX('08 LOCATION RATE LIBRARY'!$D$205:$N$205,MATCH(City,'08 LOCATION RATE LIBRARY'!$D$4:$N$4,0)))</f>
        <v>2.011</v>
      </c>
      <c r="E12" s="10" t="s">
        <v>1769</v>
      </c>
      <c r="F12" s="9" t="s">
        <v>1770</v>
      </c>
      <c r="G12" s="5" t="s">
        <v>2111</v>
      </c>
      <c r="H12" s="10" t="n">
        <f aca="false">IF(ISNUMBER(D12),1,0)</f>
        <v>1</v>
      </c>
      <c r="I12" s="33" t="n">
        <v>2.011</v>
      </c>
    </row>
    <row r="13" customFormat="false" ht="21.75" hidden="false" customHeight="true" outlineLevel="0" collapsed="false">
      <c r="A13" s="9" t="s">
        <v>1013</v>
      </c>
      <c r="B13" s="9" t="s">
        <v>2112</v>
      </c>
      <c r="C13" s="9" t="s">
        <v>109</v>
      </c>
      <c r="D13" s="11" t="n">
        <f aca="false">IF(INDEX('08 LOCATION RATE LIBRARY'!$D$206:$N$206,MATCH(City,'08 LOCATION RATE LIBRARY'!$D$4:$N$4,0))="","",INDEX('08 LOCATION RATE LIBRARY'!$D$206:$N$206,MATCH(City,'08 LOCATION RATE LIBRARY'!$D$4:$N$4,0)))</f>
        <v>45</v>
      </c>
      <c r="E13" s="10" t="str">
        <f aca="false">IF(ISNUMBER('16 VENDOR ENQUIRY (RFQ)'!H52),"Vendor quote","ASSUMED")</f>
        <v>ASSUMED</v>
      </c>
      <c r="F13" s="9" t="s">
        <v>1562</v>
      </c>
      <c r="G13" s="5" t="s">
        <v>2113</v>
      </c>
      <c r="H13" s="10" t="n">
        <f aca="false">IF(ISNUMBER(D13),1,0)</f>
        <v>1</v>
      </c>
      <c r="I13" s="34" t="n">
        <f aca="false">IF(ISNUMBER('16 VENDOR ENQUIRY (RFQ)'!H52),'16 VENDOR ENQUIRY (RFQ)'!H52,45)</f>
        <v>45</v>
      </c>
    </row>
    <row r="14" customFormat="false" ht="15" hidden="false" customHeight="true" outlineLevel="0" collapsed="false">
      <c r="A14" s="9" t="s">
        <v>1109</v>
      </c>
      <c r="B14" s="9" t="s">
        <v>2114</v>
      </c>
      <c r="C14" s="9" t="s">
        <v>109</v>
      </c>
      <c r="D14" s="11" t="n">
        <f aca="false">IF(INDEX('08 LOCATION RATE LIBRARY'!$D$207:$N$207,MATCH(City,'08 LOCATION RATE LIBRARY'!$D$4:$N$4,0))="","",INDEX('08 LOCATION RATE LIBRARY'!$D$207:$N$207,MATCH(City,'08 LOCATION RATE LIBRARY'!$D$4:$N$4,0)))</f>
        <v>2.011</v>
      </c>
      <c r="E14" s="10" t="s">
        <v>1769</v>
      </c>
      <c r="F14" s="9" t="s">
        <v>1770</v>
      </c>
      <c r="G14" s="5" t="s">
        <v>2115</v>
      </c>
      <c r="H14" s="10" t="n">
        <f aca="false">IF(ISNUMBER(D14),1,0)</f>
        <v>1</v>
      </c>
      <c r="I14" s="33" t="n">
        <v>2.011</v>
      </c>
    </row>
    <row r="15" customFormat="false" ht="21.75" hidden="false" customHeight="true" outlineLevel="0" collapsed="false">
      <c r="A15" s="9" t="s">
        <v>1007</v>
      </c>
      <c r="B15" s="9" t="s">
        <v>2116</v>
      </c>
      <c r="C15" s="9" t="s">
        <v>212</v>
      </c>
      <c r="D15" s="11" t="n">
        <f aca="false">IF(INDEX('08 LOCATION RATE LIBRARY'!$D$208:$N$208,MATCH(City,'08 LOCATION RATE LIBRARY'!$D$4:$N$4,0))="","",INDEX('08 LOCATION RATE LIBRARY'!$D$208:$N$208,MATCH(City,'08 LOCATION RATE LIBRARY'!$D$4:$N$4,0)))</f>
        <v>75</v>
      </c>
      <c r="E15" s="10" t="str">
        <f aca="false">IF(ISNUMBER('16 VENDOR ENQUIRY (RFQ)'!H50),"Vendor quote","ASSUMED")</f>
        <v>ASSUMED</v>
      </c>
      <c r="F15" s="9" t="s">
        <v>1562</v>
      </c>
      <c r="G15" s="5" t="s">
        <v>2117</v>
      </c>
      <c r="H15" s="10" t="n">
        <f aca="false">IF(ISNUMBER(D15),1,0)</f>
        <v>1</v>
      </c>
      <c r="I15" s="34" t="n">
        <f aca="false">IF(ISNUMBER('16 VENDOR ENQUIRY (RFQ)'!H50),'16 VENDOR ENQUIRY (RFQ)'!H50,75)</f>
        <v>75</v>
      </c>
    </row>
    <row r="16" customFormat="false" ht="15" hidden="false" customHeight="true" outlineLevel="0" collapsed="false">
      <c r="A16" s="9" t="s">
        <v>1074</v>
      </c>
      <c r="B16" s="9" t="s">
        <v>2118</v>
      </c>
      <c r="C16" s="9" t="s">
        <v>212</v>
      </c>
      <c r="D16" s="11" t="n">
        <f aca="false">IF(INDEX('08 LOCATION RATE LIBRARY'!$D$209:$N$209,MATCH(City,'08 LOCATION RATE LIBRARY'!$D$4:$N$4,0))="","",INDEX('08 LOCATION RATE LIBRARY'!$D$209:$N$209,MATCH(City,'08 LOCATION RATE LIBRARY'!$D$4:$N$4,0)))</f>
        <v>3.75</v>
      </c>
      <c r="E16" s="10" t="str">
        <f aca="false">IF(ISNUMBER('16 VENDOR ENQUIRY (RFQ)'!H47),"Vendor quote","ASSUMED")</f>
        <v>ASSUMED</v>
      </c>
      <c r="F16" s="9" t="s">
        <v>1494</v>
      </c>
      <c r="G16" s="5" t="s">
        <v>2119</v>
      </c>
      <c r="H16" s="10" t="n">
        <f aca="false">IF(ISNUMBER(D16),1,0)</f>
        <v>1</v>
      </c>
      <c r="I16" s="34" t="n">
        <f aca="false">IF(ISNUMBER('16 VENDOR ENQUIRY (RFQ)'!H47),'16 VENDOR ENQUIRY (RFQ)'!H47,3.75)</f>
        <v>3.75</v>
      </c>
    </row>
    <row r="17" customFormat="false" ht="21.75" hidden="false" customHeight="true" outlineLevel="0" collapsed="false">
      <c r="A17" s="9" t="s">
        <v>1018</v>
      </c>
      <c r="B17" s="9" t="s">
        <v>2120</v>
      </c>
      <c r="C17" s="9" t="s">
        <v>109</v>
      </c>
      <c r="D17" s="11" t="n">
        <f aca="false">IF(INDEX('08 LOCATION RATE LIBRARY'!$D$210:$N$210,MATCH(City,'08 LOCATION RATE LIBRARY'!$D$4:$N$4,0))="","",INDEX('08 LOCATION RATE LIBRARY'!$D$210:$N$210,MATCH(City,'08 LOCATION RATE LIBRARY'!$D$4:$N$4,0)))</f>
        <v>11.164</v>
      </c>
      <c r="E17" s="10" t="s">
        <v>1769</v>
      </c>
      <c r="F17" s="9" t="s">
        <v>1770</v>
      </c>
      <c r="G17" s="5" t="s">
        <v>2121</v>
      </c>
      <c r="H17" s="10" t="n">
        <f aca="false">IF(ISNUMBER(D17),1,0)</f>
        <v>1</v>
      </c>
      <c r="I17" s="33" t="n">
        <v>11.164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7"/>
    <col collapsed="false" customWidth="true" hidden="false" outlineLevel="0" max="14" min="4" style="1" width="11"/>
    <col collapsed="false" customWidth="true" hidden="false" outlineLevel="0" max="15" min="15" style="1" width="60"/>
  </cols>
  <sheetData>
    <row r="1" customFormat="false" ht="15.75" hidden="false" customHeight="true" outlineLevel="0" collapsed="false">
      <c r="A1" s="2" t="s">
        <v>2122</v>
      </c>
    </row>
    <row r="2" customFormat="false" ht="15" hidden="false" customHeight="true" outlineLevel="0" collapsed="false">
      <c r="A2" s="3" t="s">
        <v>2123</v>
      </c>
    </row>
    <row r="4" customFormat="false" ht="15" hidden="false" customHeight="true" outlineLevel="0" collapsed="false">
      <c r="A4" s="12" t="s">
        <v>790</v>
      </c>
      <c r="B4" s="12" t="s">
        <v>791</v>
      </c>
      <c r="C4" s="12" t="s">
        <v>81</v>
      </c>
      <c r="D4" s="12" t="s">
        <v>2124</v>
      </c>
      <c r="E4" s="12" t="s">
        <v>2125</v>
      </c>
      <c r="F4" s="12" t="s">
        <v>2126</v>
      </c>
      <c r="G4" s="12" t="s">
        <v>2127</v>
      </c>
      <c r="H4" s="12" t="s">
        <v>2128</v>
      </c>
      <c r="I4" s="12" t="s">
        <v>2129</v>
      </c>
      <c r="J4" s="12" t="s">
        <v>2130</v>
      </c>
      <c r="K4" s="12" t="s">
        <v>2131</v>
      </c>
      <c r="L4" s="12" t="s">
        <v>2132</v>
      </c>
      <c r="M4" s="12" t="s">
        <v>2133</v>
      </c>
      <c r="N4" s="12" t="s">
        <v>2134</v>
      </c>
      <c r="O4" s="12" t="s">
        <v>2135</v>
      </c>
    </row>
    <row r="5" customFormat="false" ht="15" hidden="false" customHeight="true" outlineLevel="0" collapsed="false">
      <c r="A5" s="9" t="s">
        <v>799</v>
      </c>
      <c r="B5" s="9" t="s">
        <v>1473</v>
      </c>
      <c r="C5" s="9" t="s">
        <v>801</v>
      </c>
      <c r="D5" s="13" t="n">
        <f aca="false">IF(ISNUMBER('05 MATERIAL RATE LIBRARY'!N5),'05 MATERIAL RATE LIBRARY'!N5,"")</f>
        <v>1575</v>
      </c>
      <c r="E5" s="13" t="n">
        <f aca="false">IF(ISNUMBER($D5),$D5,"")</f>
        <v>1575</v>
      </c>
      <c r="F5" s="13" t="n">
        <f aca="false">IF(ISNUMBER($D5),$D5,"")</f>
        <v>1575</v>
      </c>
      <c r="G5" s="13" t="n">
        <f aca="false">IF(ISNUMBER($D5),$D5,"")</f>
        <v>1575</v>
      </c>
      <c r="H5" s="13" t="n">
        <f aca="false">IF(ISNUMBER($D5),$D5,"")</f>
        <v>1575</v>
      </c>
      <c r="I5" s="13" t="n">
        <f aca="false">IF(ISNUMBER($D5),$D5,"")</f>
        <v>1575</v>
      </c>
      <c r="J5" s="13" t="n">
        <f aca="false">IF(ISNUMBER($D5),$D5,"")</f>
        <v>1575</v>
      </c>
      <c r="K5" s="13" t="n">
        <f aca="false">IF(ISNUMBER($D5),$D5,"")</f>
        <v>1575</v>
      </c>
      <c r="L5" s="13" t="n">
        <f aca="false">IF(ISNUMBER($D5),$D5,"")</f>
        <v>1575</v>
      </c>
      <c r="M5" s="13" t="n">
        <f aca="false">IF(ISNUMBER($D5),$D5,"")</f>
        <v>1575</v>
      </c>
      <c r="N5" s="13" t="n">
        <f aca="false">IF(ISNUMBER($D5),$D5,"")</f>
        <v>1575</v>
      </c>
      <c r="O5" s="5" t="s">
        <v>2136</v>
      </c>
    </row>
    <row r="6" customFormat="false" ht="15" hidden="false" customHeight="true" outlineLevel="0" collapsed="false">
      <c r="A6" s="9" t="s">
        <v>805</v>
      </c>
      <c r="B6" s="9" t="s">
        <v>1480</v>
      </c>
      <c r="C6" s="9" t="s">
        <v>109</v>
      </c>
      <c r="D6" s="13" t="n">
        <f aca="false">IF(ISNUMBER('05 MATERIAL RATE LIBRARY'!N6),'05 MATERIAL RATE LIBRARY'!N6,"")</f>
        <v>240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5" t="s">
        <v>2137</v>
      </c>
    </row>
    <row r="7" customFormat="false" ht="15" hidden="false" customHeight="true" outlineLevel="0" collapsed="false">
      <c r="A7" s="9" t="s">
        <v>864</v>
      </c>
      <c r="B7" s="9" t="s">
        <v>1486</v>
      </c>
      <c r="C7" s="9" t="s">
        <v>109</v>
      </c>
      <c r="D7" s="13" t="n">
        <f aca="false">IF(ISNUMBER('05 MATERIAL RATE LIBRARY'!N7),'05 MATERIAL RATE LIBRARY'!N7,"")</f>
        <v>80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5" t="s">
        <v>2137</v>
      </c>
    </row>
    <row r="8" customFormat="false" ht="15" hidden="false" customHeight="true" outlineLevel="0" collapsed="false">
      <c r="A8" s="9" t="s">
        <v>846</v>
      </c>
      <c r="B8" s="9" t="s">
        <v>1492</v>
      </c>
      <c r="C8" s="9" t="s">
        <v>109</v>
      </c>
      <c r="D8" s="13" t="n">
        <f aca="false">IF(ISNUMBER('05 MATERIAL RATE LIBRARY'!N8),'05 MATERIAL RATE LIBRARY'!N8,"")</f>
        <v>70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5" t="s">
        <v>2137</v>
      </c>
    </row>
    <row r="9" customFormat="false" ht="15" hidden="false" customHeight="true" outlineLevel="0" collapsed="false">
      <c r="A9" s="9" t="s">
        <v>839</v>
      </c>
      <c r="B9" s="9" t="s">
        <v>1496</v>
      </c>
      <c r="C9" s="9" t="s">
        <v>109</v>
      </c>
      <c r="D9" s="13" t="n">
        <f aca="false">IF(ISNUMBER('05 MATERIAL RATE LIBRARY'!N9),'05 MATERIAL RATE LIBRARY'!N9,"")</f>
        <v>180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5" t="s">
        <v>2137</v>
      </c>
    </row>
    <row r="10" customFormat="false" ht="15" hidden="false" customHeight="true" outlineLevel="0" collapsed="false">
      <c r="A10" s="9" t="s">
        <v>802</v>
      </c>
      <c r="B10" s="9" t="s">
        <v>1501</v>
      </c>
      <c r="C10" s="9" t="s">
        <v>109</v>
      </c>
      <c r="D10" s="13" t="n">
        <f aca="false">IF(ISNUMBER('05 MATERIAL RATE LIBRARY'!N10),'05 MATERIAL RATE LIBRARY'!N10,"")</f>
        <v>185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5" t="s">
        <v>2137</v>
      </c>
    </row>
    <row r="11" customFormat="false" ht="15" hidden="false" customHeight="true" outlineLevel="0" collapsed="false">
      <c r="A11" s="9" t="s">
        <v>807</v>
      </c>
      <c r="B11" s="9" t="s">
        <v>1504</v>
      </c>
      <c r="C11" s="9" t="s">
        <v>198</v>
      </c>
      <c r="D11" s="13" t="n">
        <f aca="false">IF(ISNUMBER('05 MATERIAL RATE LIBRARY'!N11),'05 MATERIAL RATE LIBRARY'!N11,"")</f>
        <v>185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5" t="s">
        <v>2137</v>
      </c>
    </row>
    <row r="12" customFormat="false" ht="15" hidden="false" customHeight="true" outlineLevel="0" collapsed="false">
      <c r="A12" s="9" t="s">
        <v>809</v>
      </c>
      <c r="B12" s="9" t="s">
        <v>1508</v>
      </c>
      <c r="C12" s="9" t="s">
        <v>811</v>
      </c>
      <c r="D12" s="13" t="n">
        <f aca="false">IF(ISNUMBER('05 MATERIAL RATE LIBRARY'!N12),'05 MATERIAL RATE LIBRARY'!N12,"")</f>
        <v>0.686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5" t="s">
        <v>2137</v>
      </c>
    </row>
    <row r="13" customFormat="false" ht="15" hidden="false" customHeight="true" outlineLevel="0" collapsed="false">
      <c r="A13" s="9" t="s">
        <v>876</v>
      </c>
      <c r="B13" s="9" t="s">
        <v>1512</v>
      </c>
      <c r="C13" s="9" t="s">
        <v>198</v>
      </c>
      <c r="D13" s="13" t="n">
        <f aca="false">IF(ISNUMBER('05 MATERIAL RATE LIBRARY'!N13),'05 MATERIAL RATE LIBRARY'!N13,"")</f>
        <v>242</v>
      </c>
      <c r="E13" s="13" t="n">
        <f aca="false">IF(ISNUMBER($D13),$D13,"")</f>
        <v>242</v>
      </c>
      <c r="F13" s="13" t="n">
        <f aca="false">IF(ISNUMBER($D13),$D13,"")</f>
        <v>242</v>
      </c>
      <c r="G13" s="13" t="n">
        <f aca="false">IF(ISNUMBER($D13),$D13,"")</f>
        <v>242</v>
      </c>
      <c r="H13" s="13" t="n">
        <f aca="false">IF(ISNUMBER($D13),$D13,"")</f>
        <v>242</v>
      </c>
      <c r="I13" s="13" t="n">
        <f aca="false">IF(ISNUMBER($D13),$D13,"")</f>
        <v>242</v>
      </c>
      <c r="J13" s="13" t="n">
        <f aca="false">IF(ISNUMBER($D13),$D13,"")</f>
        <v>242</v>
      </c>
      <c r="K13" s="13" t="n">
        <f aca="false">IF(ISNUMBER($D13),$D13,"")</f>
        <v>242</v>
      </c>
      <c r="L13" s="13" t="n">
        <f aca="false">IF(ISNUMBER($D13),$D13,"")</f>
        <v>242</v>
      </c>
      <c r="M13" s="13" t="n">
        <f aca="false">IF(ISNUMBER($D13),$D13,"")</f>
        <v>242</v>
      </c>
      <c r="N13" s="13" t="n">
        <f aca="false">IF(ISNUMBER($D13),$D13,"")</f>
        <v>242</v>
      </c>
      <c r="O13" s="5" t="s">
        <v>2136</v>
      </c>
    </row>
    <row r="14" customFormat="false" ht="15" hidden="false" customHeight="true" outlineLevel="0" collapsed="false">
      <c r="A14" s="9" t="s">
        <v>878</v>
      </c>
      <c r="B14" s="9" t="s">
        <v>1516</v>
      </c>
      <c r="C14" s="9" t="s">
        <v>198</v>
      </c>
      <c r="D14" s="13" t="n">
        <f aca="false">IF(ISNUMBER('05 MATERIAL RATE LIBRARY'!N14),'05 MATERIAL RATE LIBRARY'!N14,"")</f>
        <v>345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5" t="s">
        <v>2137</v>
      </c>
    </row>
    <row r="15" customFormat="false" ht="15" hidden="false" customHeight="true" outlineLevel="0" collapsed="false">
      <c r="A15" s="9" t="s">
        <v>884</v>
      </c>
      <c r="B15" s="9" t="s">
        <v>1520</v>
      </c>
      <c r="C15" s="9" t="s">
        <v>368</v>
      </c>
      <c r="D15" s="13" t="n">
        <f aca="false">IF(ISNUMBER('05 MATERIAL RATE LIBRARY'!N15),'05 MATERIAL RATE LIBRARY'!N15,"")</f>
        <v>17.5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5" t="s">
        <v>2137</v>
      </c>
    </row>
    <row r="16" customFormat="false" ht="21.75" hidden="false" customHeight="true" outlineLevel="0" collapsed="false">
      <c r="A16" s="9" t="s">
        <v>920</v>
      </c>
      <c r="B16" s="9" t="s">
        <v>1525</v>
      </c>
      <c r="C16" s="9" t="s">
        <v>368</v>
      </c>
      <c r="D16" s="13" t="n">
        <f aca="false">IF(ISNUMBER('05 MATERIAL RATE LIBRARY'!N16),'05 MATERIAL RATE LIBRARY'!N16,"")</f>
        <v>210</v>
      </c>
      <c r="E16" s="13" t="n">
        <f aca="false">IF(ISNUMBER($D16),$D16,"")</f>
        <v>210</v>
      </c>
      <c r="F16" s="13" t="n">
        <f aca="false">IF(ISNUMBER($D16),$D16,"")</f>
        <v>210</v>
      </c>
      <c r="G16" s="13" t="n">
        <f aca="false">IF(ISNUMBER($D16),$D16,"")</f>
        <v>210</v>
      </c>
      <c r="H16" s="35"/>
      <c r="I16" s="35"/>
      <c r="J16" s="35"/>
      <c r="K16" s="35"/>
      <c r="L16" s="35"/>
      <c r="M16" s="35"/>
      <c r="N16" s="35"/>
      <c r="O16" s="5" t="s">
        <v>2138</v>
      </c>
    </row>
    <row r="17" customFormat="false" ht="21.75" hidden="false" customHeight="true" outlineLevel="0" collapsed="false">
      <c r="A17" s="9" t="s">
        <v>926</v>
      </c>
      <c r="B17" s="9" t="s">
        <v>1529</v>
      </c>
      <c r="C17" s="9" t="s">
        <v>368</v>
      </c>
      <c r="D17" s="13" t="n">
        <f aca="false">IF(ISNUMBER('05 MATERIAL RATE LIBRARY'!N17),'05 MATERIAL RATE LIBRARY'!N17,"")</f>
        <v>165</v>
      </c>
      <c r="E17" s="13" t="n">
        <f aca="false">IF(ISNUMBER($D17),$D17,"")</f>
        <v>165</v>
      </c>
      <c r="F17" s="13" t="n">
        <f aca="false">IF(ISNUMBER($D17),$D17,"")</f>
        <v>165</v>
      </c>
      <c r="G17" s="13" t="n">
        <f aca="false">IF(ISNUMBER($D17),$D17,"")</f>
        <v>165</v>
      </c>
      <c r="H17" s="35"/>
      <c r="I17" s="35"/>
      <c r="J17" s="35"/>
      <c r="K17" s="35"/>
      <c r="L17" s="35"/>
      <c r="M17" s="35"/>
      <c r="N17" s="35"/>
      <c r="O17" s="5" t="s">
        <v>2138</v>
      </c>
    </row>
    <row r="18" customFormat="false" ht="21.75" hidden="false" customHeight="true" outlineLevel="0" collapsed="false">
      <c r="A18" s="9" t="s">
        <v>930</v>
      </c>
      <c r="B18" s="9" t="s">
        <v>1534</v>
      </c>
      <c r="C18" s="9" t="s">
        <v>368</v>
      </c>
      <c r="D18" s="13" t="n">
        <f aca="false">IF(ISNUMBER('05 MATERIAL RATE LIBRARY'!N18),'05 MATERIAL RATE LIBRARY'!N18,"")</f>
        <v>140</v>
      </c>
      <c r="E18" s="13" t="n">
        <f aca="false">IF(ISNUMBER($D18),$D18,"")</f>
        <v>140</v>
      </c>
      <c r="F18" s="13" t="n">
        <f aca="false">IF(ISNUMBER($D18),$D18,"")</f>
        <v>140</v>
      </c>
      <c r="G18" s="13" t="n">
        <f aca="false">IF(ISNUMBER($D18),$D18,"")</f>
        <v>140</v>
      </c>
      <c r="H18" s="35"/>
      <c r="I18" s="35"/>
      <c r="J18" s="35"/>
      <c r="K18" s="35"/>
      <c r="L18" s="35"/>
      <c r="M18" s="35"/>
      <c r="N18" s="35"/>
      <c r="O18" s="5" t="s">
        <v>2138</v>
      </c>
    </row>
    <row r="19" customFormat="false" ht="15" hidden="false" customHeight="true" outlineLevel="0" collapsed="false">
      <c r="A19" s="9" t="s">
        <v>898</v>
      </c>
      <c r="B19" s="9" t="s">
        <v>1537</v>
      </c>
      <c r="C19" s="9" t="s">
        <v>900</v>
      </c>
      <c r="D19" s="13" t="n">
        <f aca="false">IF(ISNUMBER('05 MATERIAL RATE LIBRARY'!N19),'05 MATERIAL RATE LIBRARY'!N19,"")</f>
        <v>5500</v>
      </c>
      <c r="E19" s="13" t="n">
        <f aca="false">IF(ISNUMBER($D19),$D19,"")</f>
        <v>5500</v>
      </c>
      <c r="F19" s="13" t="n">
        <f aca="false">IF(ISNUMBER($D19),$D19,"")</f>
        <v>5500</v>
      </c>
      <c r="G19" s="13" t="n">
        <f aca="false">IF(ISNUMBER($D19),$D19,"")</f>
        <v>5500</v>
      </c>
      <c r="H19" s="13" t="n">
        <f aca="false">IF(ISNUMBER($D19),$D19,"")</f>
        <v>5500</v>
      </c>
      <c r="I19" s="13" t="n">
        <f aca="false">IF(ISNUMBER($D19),$D19,"")</f>
        <v>5500</v>
      </c>
      <c r="J19" s="13" t="n">
        <f aca="false">IF(ISNUMBER($D19),$D19,"")</f>
        <v>5500</v>
      </c>
      <c r="K19" s="13" t="n">
        <f aca="false">IF(ISNUMBER($D19),$D19,"")</f>
        <v>5500</v>
      </c>
      <c r="L19" s="13" t="n">
        <f aca="false">IF(ISNUMBER($D19),$D19,"")</f>
        <v>5500</v>
      </c>
      <c r="M19" s="13" t="n">
        <f aca="false">IF(ISNUMBER($D19),$D19,"")</f>
        <v>5500</v>
      </c>
      <c r="N19" s="13" t="n">
        <f aca="false">IF(ISNUMBER($D19),$D19,"")</f>
        <v>5500</v>
      </c>
      <c r="O19" s="5" t="s">
        <v>2136</v>
      </c>
    </row>
    <row r="20" customFormat="false" ht="15" hidden="false" customHeight="true" outlineLevel="0" collapsed="false">
      <c r="A20" s="9" t="s">
        <v>901</v>
      </c>
      <c r="B20" s="9" t="s">
        <v>1541</v>
      </c>
      <c r="C20" s="9" t="s">
        <v>109</v>
      </c>
      <c r="D20" s="13" t="n">
        <f aca="false">IF(ISNUMBER('05 MATERIAL RATE LIBRARY'!N20),'05 MATERIAL RATE LIBRARY'!N20,"")</f>
        <v>3680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5" t="s">
        <v>2137</v>
      </c>
    </row>
    <row r="21" customFormat="false" ht="15" hidden="false" customHeight="true" outlineLevel="0" collapsed="false">
      <c r="A21" s="9" t="s">
        <v>903</v>
      </c>
      <c r="B21" s="9" t="s">
        <v>1545</v>
      </c>
      <c r="C21" s="9" t="s">
        <v>198</v>
      </c>
      <c r="D21" s="13" t="n">
        <f aca="false">IF(ISNUMBER('05 MATERIAL RATE LIBRARY'!N21),'05 MATERIAL RATE LIBRARY'!N21,"")</f>
        <v>715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5" t="s">
        <v>2137</v>
      </c>
    </row>
    <row r="22" customFormat="false" ht="15" hidden="false" customHeight="true" outlineLevel="0" collapsed="false">
      <c r="A22" s="9" t="s">
        <v>905</v>
      </c>
      <c r="B22" s="9" t="s">
        <v>1549</v>
      </c>
      <c r="C22" s="9" t="s">
        <v>811</v>
      </c>
      <c r="D22" s="13" t="n">
        <f aca="false">IF(ISNUMBER('05 MATERIAL RATE LIBRARY'!N22),'05 MATERIAL RATE LIBRARY'!N22,"")</f>
        <v>400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5" t="s">
        <v>2137</v>
      </c>
    </row>
    <row r="23" customFormat="false" ht="15" hidden="false" customHeight="true" outlineLevel="0" collapsed="false">
      <c r="A23" s="9" t="s">
        <v>947</v>
      </c>
      <c r="B23" s="9" t="s">
        <v>1552</v>
      </c>
      <c r="C23" s="9" t="s">
        <v>212</v>
      </c>
      <c r="D23" s="13" t="n">
        <f aca="false">IF(ISNUMBER('05 MATERIAL RATE LIBRARY'!N23),'05 MATERIAL RATE LIBRARY'!N23,"")</f>
        <v>98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5" t="s">
        <v>2137</v>
      </c>
    </row>
    <row r="24" customFormat="false" ht="15" hidden="false" customHeight="true" outlineLevel="0" collapsed="false">
      <c r="A24" s="9" t="s">
        <v>945</v>
      </c>
      <c r="B24" s="9" t="s">
        <v>1556</v>
      </c>
      <c r="C24" s="9" t="s">
        <v>811</v>
      </c>
      <c r="D24" s="13" t="n">
        <f aca="false">IF(ISNUMBER('05 MATERIAL RATE LIBRARY'!N24),'05 MATERIAL RATE LIBRARY'!N24,"")</f>
        <v>87.5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5" t="s">
        <v>2137</v>
      </c>
    </row>
    <row r="25" customFormat="false" ht="15" hidden="false" customHeight="true" outlineLevel="0" collapsed="false">
      <c r="A25" s="9" t="s">
        <v>963</v>
      </c>
      <c r="B25" s="9" t="s">
        <v>1560</v>
      </c>
      <c r="C25" s="9" t="s">
        <v>198</v>
      </c>
      <c r="D25" s="13" t="n">
        <f aca="false">IF(ISNUMBER('05 MATERIAL RATE LIBRARY'!N25),'05 MATERIAL RATE LIBRARY'!N25,"")</f>
        <v>197.5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5" t="s">
        <v>2137</v>
      </c>
    </row>
    <row r="26" customFormat="false" ht="15" hidden="false" customHeight="true" outlineLevel="0" collapsed="false">
      <c r="A26" s="9" t="s">
        <v>949</v>
      </c>
      <c r="B26" s="9" t="s">
        <v>1564</v>
      </c>
      <c r="C26" s="9" t="s">
        <v>198</v>
      </c>
      <c r="D26" s="13" t="n">
        <f aca="false">IF(ISNUMBER('05 MATERIAL RATE LIBRARY'!N26),'05 MATERIAL RATE LIBRARY'!N26,"")</f>
        <v>258.65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" t="s">
        <v>2137</v>
      </c>
    </row>
    <row r="27" customFormat="false" ht="15" hidden="false" customHeight="true" outlineLevel="0" collapsed="false">
      <c r="A27" s="9" t="s">
        <v>956</v>
      </c>
      <c r="B27" s="9" t="s">
        <v>1570</v>
      </c>
      <c r="C27" s="9" t="s">
        <v>212</v>
      </c>
      <c r="D27" s="13" t="n">
        <f aca="false">IF(ISNUMBER('05 MATERIAL RATE LIBRARY'!N27),'05 MATERIAL RATE LIBRARY'!N27,"")</f>
        <v>47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5" t="s">
        <v>2137</v>
      </c>
    </row>
    <row r="28" customFormat="false" ht="15" hidden="false" customHeight="true" outlineLevel="0" collapsed="false">
      <c r="A28" s="9" t="s">
        <v>967</v>
      </c>
      <c r="B28" s="9" t="s">
        <v>1574</v>
      </c>
      <c r="C28" s="9" t="s">
        <v>212</v>
      </c>
      <c r="D28" s="13" t="n">
        <f aca="false">IF(ISNUMBER('05 MATERIAL RATE LIBRARY'!N28),'05 MATERIAL RATE LIBRARY'!N28,"")</f>
        <v>209</v>
      </c>
      <c r="E28" s="13" t="n">
        <f aca="false">IF(ISNUMBER($D28),$D28,"")</f>
        <v>209</v>
      </c>
      <c r="F28" s="13" t="n">
        <f aca="false">IF(ISNUMBER($D28),$D28,"")</f>
        <v>209</v>
      </c>
      <c r="G28" s="13" t="n">
        <f aca="false">IF(ISNUMBER($D28),$D28,"")</f>
        <v>209</v>
      </c>
      <c r="H28" s="13" t="n">
        <f aca="false">IF(ISNUMBER($D28),$D28,"")</f>
        <v>209</v>
      </c>
      <c r="I28" s="13" t="n">
        <f aca="false">IF(ISNUMBER($D28),$D28,"")</f>
        <v>209</v>
      </c>
      <c r="J28" s="13" t="n">
        <f aca="false">IF(ISNUMBER($D28),$D28,"")</f>
        <v>209</v>
      </c>
      <c r="K28" s="13" t="n">
        <f aca="false">IF(ISNUMBER($D28),$D28,"")</f>
        <v>209</v>
      </c>
      <c r="L28" s="13" t="n">
        <f aca="false">IF(ISNUMBER($D28),$D28,"")</f>
        <v>209</v>
      </c>
      <c r="M28" s="13" t="n">
        <f aca="false">IF(ISNUMBER($D28),$D28,"")</f>
        <v>209</v>
      </c>
      <c r="N28" s="13" t="n">
        <f aca="false">IF(ISNUMBER($D28),$D28,"")</f>
        <v>209</v>
      </c>
      <c r="O28" s="5" t="s">
        <v>2136</v>
      </c>
    </row>
    <row r="29" customFormat="false" ht="15" hidden="false" customHeight="true" outlineLevel="0" collapsed="false">
      <c r="A29" s="9" t="s">
        <v>976</v>
      </c>
      <c r="B29" s="9" t="s">
        <v>1578</v>
      </c>
      <c r="C29" s="9" t="s">
        <v>212</v>
      </c>
      <c r="D29" s="13" t="n">
        <f aca="false">IF(ISNUMBER('05 MATERIAL RATE LIBRARY'!N29),'05 MATERIAL RATE LIBRARY'!N29,"")</f>
        <v>125</v>
      </c>
      <c r="E29" s="13" t="n">
        <f aca="false">IF(ISNUMBER($D29),$D29,"")</f>
        <v>125</v>
      </c>
      <c r="F29" s="13" t="n">
        <f aca="false">IF(ISNUMBER($D29),$D29,"")</f>
        <v>125</v>
      </c>
      <c r="G29" s="13" t="n">
        <f aca="false">IF(ISNUMBER($D29),$D29,"")</f>
        <v>125</v>
      </c>
      <c r="H29" s="13" t="n">
        <f aca="false">IF(ISNUMBER($D29),$D29,"")</f>
        <v>125</v>
      </c>
      <c r="I29" s="13" t="n">
        <f aca="false">IF(ISNUMBER($D29),$D29,"")</f>
        <v>125</v>
      </c>
      <c r="J29" s="13" t="n">
        <f aca="false">IF(ISNUMBER($D29),$D29,"")</f>
        <v>125</v>
      </c>
      <c r="K29" s="13" t="n">
        <f aca="false">IF(ISNUMBER($D29),$D29,"")</f>
        <v>125</v>
      </c>
      <c r="L29" s="13" t="n">
        <f aca="false">IF(ISNUMBER($D29),$D29,"")</f>
        <v>125</v>
      </c>
      <c r="M29" s="13" t="n">
        <f aca="false">IF(ISNUMBER($D29),$D29,"")</f>
        <v>125</v>
      </c>
      <c r="N29" s="13" t="n">
        <f aca="false">IF(ISNUMBER($D29),$D29,"")</f>
        <v>125</v>
      </c>
      <c r="O29" s="5" t="s">
        <v>2136</v>
      </c>
    </row>
    <row r="30" customFormat="false" ht="15" hidden="false" customHeight="true" outlineLevel="0" collapsed="false">
      <c r="A30" s="9" t="s">
        <v>969</v>
      </c>
      <c r="B30" s="9" t="s">
        <v>1580</v>
      </c>
      <c r="C30" s="9" t="s">
        <v>801</v>
      </c>
      <c r="D30" s="13" t="n">
        <f aca="false">IF(ISNUMBER('05 MATERIAL RATE LIBRARY'!N30),'05 MATERIAL RATE LIBRARY'!N30,"")</f>
        <v>650</v>
      </c>
      <c r="E30" s="13" t="n">
        <f aca="false">IF(ISNUMBER($D30),$D30,"")</f>
        <v>650</v>
      </c>
      <c r="F30" s="13" t="n">
        <f aca="false">IF(ISNUMBER($D30),$D30,"")</f>
        <v>650</v>
      </c>
      <c r="G30" s="13" t="n">
        <f aca="false">IF(ISNUMBER($D30),$D30,"")</f>
        <v>650</v>
      </c>
      <c r="H30" s="13" t="n">
        <f aca="false">IF(ISNUMBER($D30),$D30,"")</f>
        <v>650</v>
      </c>
      <c r="I30" s="13" t="n">
        <f aca="false">IF(ISNUMBER($D30),$D30,"")</f>
        <v>650</v>
      </c>
      <c r="J30" s="13" t="n">
        <f aca="false">IF(ISNUMBER($D30),$D30,"")</f>
        <v>650</v>
      </c>
      <c r="K30" s="13" t="n">
        <f aca="false">IF(ISNUMBER($D30),$D30,"")</f>
        <v>650</v>
      </c>
      <c r="L30" s="13" t="n">
        <f aca="false">IF(ISNUMBER($D30),$D30,"")</f>
        <v>650</v>
      </c>
      <c r="M30" s="13" t="n">
        <f aca="false">IF(ISNUMBER($D30),$D30,"")</f>
        <v>650</v>
      </c>
      <c r="N30" s="13" t="n">
        <f aca="false">IF(ISNUMBER($D30),$D30,"")</f>
        <v>650</v>
      </c>
      <c r="O30" s="5" t="s">
        <v>2136</v>
      </c>
    </row>
    <row r="31" customFormat="false" ht="15" hidden="false" customHeight="true" outlineLevel="0" collapsed="false">
      <c r="A31" s="9" t="s">
        <v>971</v>
      </c>
      <c r="B31" s="9" t="s">
        <v>1584</v>
      </c>
      <c r="C31" s="9" t="s">
        <v>198</v>
      </c>
      <c r="D31" s="13" t="n">
        <f aca="false">IF(ISNUMBER('05 MATERIAL RATE LIBRARY'!N31),'05 MATERIAL RATE LIBRARY'!N31,"")</f>
        <v>300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5" t="s">
        <v>2137</v>
      </c>
    </row>
    <row r="32" customFormat="false" ht="15" hidden="false" customHeight="true" outlineLevel="0" collapsed="false">
      <c r="A32" s="9" t="s">
        <v>980</v>
      </c>
      <c r="B32" s="9" t="s">
        <v>1588</v>
      </c>
      <c r="C32" s="9" t="s">
        <v>212</v>
      </c>
      <c r="D32" s="13" t="n">
        <f aca="false">IF(ISNUMBER('05 MATERIAL RATE LIBRARY'!N32),'05 MATERIAL RATE LIBRARY'!N32,"")</f>
        <v>337.5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5" t="s">
        <v>2137</v>
      </c>
    </row>
    <row r="33" customFormat="false" ht="15" hidden="false" customHeight="true" outlineLevel="0" collapsed="false">
      <c r="A33" s="9" t="s">
        <v>986</v>
      </c>
      <c r="B33" s="9" t="s">
        <v>1593</v>
      </c>
      <c r="C33" s="9" t="s">
        <v>212</v>
      </c>
      <c r="D33" s="13" t="n">
        <f aca="false">IF(ISNUMBER('05 MATERIAL RATE LIBRARY'!N33),'05 MATERIAL RATE LIBRARY'!N33,"")</f>
        <v>92.5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5" t="s">
        <v>2137</v>
      </c>
    </row>
    <row r="34" customFormat="false" ht="15" hidden="false" customHeight="true" outlineLevel="0" collapsed="false">
      <c r="A34" s="9" t="s">
        <v>1596</v>
      </c>
      <c r="B34" s="9" t="s">
        <v>1597</v>
      </c>
      <c r="C34" s="9" t="s">
        <v>900</v>
      </c>
      <c r="D34" s="13" t="n">
        <f aca="false">IF(ISNUMBER('05 MATERIAL RATE LIBRARY'!N34),'05 MATERIAL RATE LIBRARY'!N34,"")</f>
        <v>3550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5" t="s">
        <v>2137</v>
      </c>
    </row>
    <row r="35" customFormat="false" ht="15" hidden="false" customHeight="true" outlineLevel="0" collapsed="false">
      <c r="A35" s="9" t="s">
        <v>1600</v>
      </c>
      <c r="B35" s="9" t="s">
        <v>1601</v>
      </c>
      <c r="C35" s="9" t="s">
        <v>900</v>
      </c>
      <c r="D35" s="13" t="n">
        <f aca="false">IF(ISNUMBER('05 MATERIAL RATE LIBRARY'!N35),'05 MATERIAL RATE LIBRARY'!N35,"")</f>
        <v>4600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5" t="s">
        <v>2137</v>
      </c>
    </row>
    <row r="36" customFormat="false" ht="15" hidden="false" customHeight="true" outlineLevel="0" collapsed="false">
      <c r="A36" s="9" t="s">
        <v>1604</v>
      </c>
      <c r="B36" s="9" t="s">
        <v>1605</v>
      </c>
      <c r="C36" s="9" t="s">
        <v>386</v>
      </c>
      <c r="D36" s="13" t="n">
        <f aca="false">IF(ISNUMBER('05 MATERIAL RATE LIBRARY'!N36),'05 MATERIAL RATE LIBRARY'!N36,"")</f>
        <v>60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5" t="s">
        <v>2137</v>
      </c>
    </row>
    <row r="37" customFormat="false" ht="15" hidden="false" customHeight="true" outlineLevel="0" collapsed="false">
      <c r="A37" s="9" t="s">
        <v>1608</v>
      </c>
      <c r="B37" s="9" t="s">
        <v>1609</v>
      </c>
      <c r="C37" s="9" t="s">
        <v>386</v>
      </c>
      <c r="D37" s="13" t="n">
        <f aca="false">IF(ISNUMBER('05 MATERIAL RATE LIBRARY'!N37),'05 MATERIAL RATE LIBRARY'!N37,"")</f>
        <v>45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5" t="s">
        <v>2137</v>
      </c>
    </row>
    <row r="38" customFormat="false" ht="15" hidden="false" customHeight="true" outlineLevel="0" collapsed="false">
      <c r="A38" s="9" t="s">
        <v>1611</v>
      </c>
      <c r="B38" s="9" t="s">
        <v>1612</v>
      </c>
      <c r="C38" s="9" t="s">
        <v>386</v>
      </c>
      <c r="D38" s="13" t="n">
        <f aca="false">IF(ISNUMBER('05 MATERIAL RATE LIBRARY'!N38),'05 MATERIAL RATE LIBRARY'!N38,"")</f>
        <v>35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5" t="s">
        <v>2137</v>
      </c>
    </row>
    <row r="39" customFormat="false" ht="15" hidden="false" customHeight="true" outlineLevel="0" collapsed="false">
      <c r="A39" s="9" t="s">
        <v>1614</v>
      </c>
      <c r="B39" s="9" t="s">
        <v>1615</v>
      </c>
      <c r="C39" s="9" t="s">
        <v>368</v>
      </c>
      <c r="D39" s="13" t="n">
        <f aca="false">IF(ISNUMBER('05 MATERIAL RATE LIBRARY'!N39),'05 MATERIAL RATE LIBRARY'!N39,"")</f>
        <v>217.76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5" t="s">
        <v>2137</v>
      </c>
    </row>
    <row r="40" customFormat="false" ht="15" hidden="false" customHeight="true" outlineLevel="0" collapsed="false">
      <c r="A40" s="9" t="s">
        <v>1619</v>
      </c>
      <c r="B40" s="9" t="s">
        <v>1620</v>
      </c>
      <c r="C40" s="9" t="s">
        <v>368</v>
      </c>
      <c r="D40" s="13" t="n">
        <f aca="false">IF(ISNUMBER('05 MATERIAL RATE LIBRARY'!N40),'05 MATERIAL RATE LIBRARY'!N40,"")</f>
        <v>2.5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5" t="s">
        <v>2137</v>
      </c>
    </row>
    <row r="41" customFormat="false" ht="15" hidden="false" customHeight="true" outlineLevel="0" collapsed="false">
      <c r="A41" s="9" t="s">
        <v>1624</v>
      </c>
      <c r="B41" s="9" t="s">
        <v>1625</v>
      </c>
      <c r="C41" s="9" t="s">
        <v>386</v>
      </c>
      <c r="D41" s="13" t="n">
        <f aca="false">IF(ISNUMBER('05 MATERIAL RATE LIBRARY'!N41),'05 MATERIAL RATE LIBRARY'!N41,"")</f>
        <v>3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5" t="s">
        <v>2137</v>
      </c>
    </row>
    <row r="42" customFormat="false" ht="15" hidden="false" customHeight="true" outlineLevel="0" collapsed="false">
      <c r="A42" s="9" t="s">
        <v>1627</v>
      </c>
      <c r="B42" s="9" t="s">
        <v>1628</v>
      </c>
      <c r="C42" s="9" t="s">
        <v>198</v>
      </c>
      <c r="D42" s="13" t="n">
        <f aca="false">IF(ISNUMBER('05 MATERIAL RATE LIBRARY'!N42),'05 MATERIAL RATE LIBRARY'!N42,"")</f>
        <v>120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5" t="s">
        <v>2137</v>
      </c>
    </row>
    <row r="43" customFormat="false" ht="15" hidden="false" customHeight="true" outlineLevel="0" collapsed="false">
      <c r="A43" s="9" t="s">
        <v>998</v>
      </c>
      <c r="B43" s="9" t="s">
        <v>1630</v>
      </c>
      <c r="C43" s="9" t="s">
        <v>995</v>
      </c>
      <c r="D43" s="13" t="n">
        <f aca="false">IF(ISNUMBER('05 MATERIAL RATE LIBRARY'!N43),'05 MATERIAL RATE LIBRARY'!N43,"")</f>
        <v>2850</v>
      </c>
      <c r="E43" s="13" t="n">
        <f aca="false">IF(ISNUMBER($D43),$D43,"")</f>
        <v>2850</v>
      </c>
      <c r="F43" s="13" t="n">
        <f aca="false">IF(ISNUMBER($D43),$D43,"")</f>
        <v>2850</v>
      </c>
      <c r="G43" s="13" t="n">
        <f aca="false">IF(ISNUMBER($D43),$D43,"")</f>
        <v>2850</v>
      </c>
      <c r="H43" s="13" t="n">
        <f aca="false">IF(ISNUMBER($D43),$D43,"")</f>
        <v>2850</v>
      </c>
      <c r="I43" s="13" t="n">
        <f aca="false">IF(ISNUMBER($D43),$D43,"")</f>
        <v>2850</v>
      </c>
      <c r="J43" s="13" t="n">
        <f aca="false">IF(ISNUMBER($D43),$D43,"")</f>
        <v>2850</v>
      </c>
      <c r="K43" s="13" t="n">
        <f aca="false">IF(ISNUMBER($D43),$D43,"")</f>
        <v>2850</v>
      </c>
      <c r="L43" s="13" t="n">
        <f aca="false">IF(ISNUMBER($D43),$D43,"")</f>
        <v>2850</v>
      </c>
      <c r="M43" s="13" t="n">
        <f aca="false">IF(ISNUMBER($D43),$D43,"")</f>
        <v>2850</v>
      </c>
      <c r="N43" s="13" t="n">
        <f aca="false">IF(ISNUMBER($D43),$D43,"")</f>
        <v>2850</v>
      </c>
      <c r="O43" s="5" t="s">
        <v>2136</v>
      </c>
    </row>
    <row r="44" customFormat="false" ht="15" hidden="false" customHeight="true" outlineLevel="0" collapsed="false">
      <c r="A44" s="9" t="s">
        <v>1003</v>
      </c>
      <c r="B44" s="9" t="s">
        <v>1634</v>
      </c>
      <c r="C44" s="9" t="s">
        <v>995</v>
      </c>
      <c r="D44" s="13" t="n">
        <f aca="false">IF(ISNUMBER('05 MATERIAL RATE LIBRARY'!N44),'05 MATERIAL RATE LIBRARY'!N44,"")</f>
        <v>5987.8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5" t="s">
        <v>2137</v>
      </c>
    </row>
    <row r="45" customFormat="false" ht="15" hidden="false" customHeight="true" outlineLevel="0" collapsed="false">
      <c r="A45" s="9" t="s">
        <v>993</v>
      </c>
      <c r="B45" s="9" t="s">
        <v>1638</v>
      </c>
      <c r="C45" s="9" t="s">
        <v>995</v>
      </c>
      <c r="D45" s="13" t="n">
        <f aca="false">IF(ISNUMBER('05 MATERIAL RATE LIBRARY'!N45),'05 MATERIAL RATE LIBRARY'!N45,"")</f>
        <v>1011.11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5" t="s">
        <v>2137</v>
      </c>
    </row>
    <row r="46" customFormat="false" ht="15" hidden="false" customHeight="true" outlineLevel="0" collapsed="false">
      <c r="A46" s="9" t="s">
        <v>996</v>
      </c>
      <c r="B46" s="9" t="s">
        <v>1642</v>
      </c>
      <c r="C46" s="9" t="s">
        <v>198</v>
      </c>
      <c r="D46" s="13" t="n">
        <f aca="false">IF(ISNUMBER('05 MATERIAL RATE LIBRARY'!N46),'05 MATERIAL RATE LIBRARY'!N46,"")</f>
        <v>93.33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5" t="s">
        <v>2137</v>
      </c>
    </row>
    <row r="47" customFormat="false" ht="15" hidden="false" customHeight="true" outlineLevel="0" collapsed="false">
      <c r="A47" s="9" t="s">
        <v>1124</v>
      </c>
      <c r="B47" s="9" t="s">
        <v>1646</v>
      </c>
      <c r="C47" s="9" t="s">
        <v>386</v>
      </c>
      <c r="D47" s="13" t="n">
        <f aca="false">IF(ISNUMBER('05 MATERIAL RATE LIBRARY'!N47),'05 MATERIAL RATE LIBRARY'!N47,"")</f>
        <v>98.75</v>
      </c>
      <c r="E47" s="13" t="n">
        <f aca="false">IF(ISNUMBER($D47),$D47,"")</f>
        <v>98.75</v>
      </c>
      <c r="F47" s="13" t="n">
        <f aca="false">IF(ISNUMBER($D47),$D47,"")</f>
        <v>98.75</v>
      </c>
      <c r="G47" s="13" t="n">
        <f aca="false">IF(ISNUMBER($D47),$D47,"")</f>
        <v>98.75</v>
      </c>
      <c r="H47" s="13" t="n">
        <f aca="false">IF(ISNUMBER($D47),$D47,"")</f>
        <v>98.75</v>
      </c>
      <c r="I47" s="13" t="n">
        <f aca="false">IF(ISNUMBER($D47),$D47,"")</f>
        <v>98.75</v>
      </c>
      <c r="J47" s="13" t="n">
        <f aca="false">IF(ISNUMBER($D47),$D47,"")</f>
        <v>98.75</v>
      </c>
      <c r="K47" s="13" t="n">
        <f aca="false">IF(ISNUMBER($D47),$D47,"")</f>
        <v>98.75</v>
      </c>
      <c r="L47" s="13" t="n">
        <f aca="false">IF(ISNUMBER($D47),$D47,"")</f>
        <v>98.75</v>
      </c>
      <c r="M47" s="13" t="n">
        <f aca="false">IF(ISNUMBER($D47),$D47,"")</f>
        <v>98.75</v>
      </c>
      <c r="N47" s="13" t="n">
        <f aca="false">IF(ISNUMBER($D47),$D47,"")</f>
        <v>98.75</v>
      </c>
      <c r="O47" s="5" t="s">
        <v>2136</v>
      </c>
    </row>
    <row r="48" customFormat="false" ht="15" hidden="false" customHeight="true" outlineLevel="0" collapsed="false">
      <c r="A48" s="9" t="s">
        <v>1126</v>
      </c>
      <c r="B48" s="9" t="s">
        <v>1651</v>
      </c>
      <c r="C48" s="9" t="s">
        <v>368</v>
      </c>
      <c r="D48" s="13" t="n">
        <f aca="false">IF(ISNUMBER('05 MATERIAL RATE LIBRARY'!N48),'05 MATERIAL RATE LIBRARY'!N48,"")</f>
        <v>38</v>
      </c>
      <c r="E48" s="13" t="n">
        <f aca="false">IF(ISNUMBER($D48),$D48,"")</f>
        <v>38</v>
      </c>
      <c r="F48" s="13" t="n">
        <f aca="false">IF(ISNUMBER($D48),$D48,"")</f>
        <v>38</v>
      </c>
      <c r="G48" s="13" t="n">
        <f aca="false">IF(ISNUMBER($D48),$D48,"")</f>
        <v>38</v>
      </c>
      <c r="H48" s="13" t="n">
        <f aca="false">IF(ISNUMBER($D48),$D48,"")</f>
        <v>38</v>
      </c>
      <c r="I48" s="13" t="n">
        <f aca="false">IF(ISNUMBER($D48),$D48,"")</f>
        <v>38</v>
      </c>
      <c r="J48" s="13" t="n">
        <f aca="false">IF(ISNUMBER($D48),$D48,"")</f>
        <v>38</v>
      </c>
      <c r="K48" s="13" t="n">
        <f aca="false">IF(ISNUMBER($D48),$D48,"")</f>
        <v>38</v>
      </c>
      <c r="L48" s="13" t="n">
        <f aca="false">IF(ISNUMBER($D48),$D48,"")</f>
        <v>38</v>
      </c>
      <c r="M48" s="13" t="n">
        <f aca="false">IF(ISNUMBER($D48),$D48,"")</f>
        <v>38</v>
      </c>
      <c r="N48" s="13" t="n">
        <f aca="false">IF(ISNUMBER($D48),$D48,"")</f>
        <v>38</v>
      </c>
      <c r="O48" s="5" t="s">
        <v>2136</v>
      </c>
    </row>
    <row r="49" customFormat="false" ht="15" hidden="false" customHeight="true" outlineLevel="0" collapsed="false">
      <c r="A49" s="9" t="s">
        <v>1128</v>
      </c>
      <c r="B49" s="9" t="s">
        <v>1654</v>
      </c>
      <c r="C49" s="9" t="s">
        <v>368</v>
      </c>
      <c r="D49" s="13" t="n">
        <f aca="false">IF(ISNUMBER('05 MATERIAL RATE LIBRARY'!N49),'05 MATERIAL RATE LIBRARY'!N49,"")</f>
        <v>27</v>
      </c>
      <c r="E49" s="13" t="n">
        <f aca="false">IF(ISNUMBER($D49),$D49,"")</f>
        <v>27</v>
      </c>
      <c r="F49" s="13" t="n">
        <f aca="false">IF(ISNUMBER($D49),$D49,"")</f>
        <v>27</v>
      </c>
      <c r="G49" s="13" t="n">
        <f aca="false">IF(ISNUMBER($D49),$D49,"")</f>
        <v>27</v>
      </c>
      <c r="H49" s="13" t="n">
        <f aca="false">IF(ISNUMBER($D49),$D49,"")</f>
        <v>27</v>
      </c>
      <c r="I49" s="13" t="n">
        <f aca="false">IF(ISNUMBER($D49),$D49,"")</f>
        <v>27</v>
      </c>
      <c r="J49" s="13" t="n">
        <f aca="false">IF(ISNUMBER($D49),$D49,"")</f>
        <v>27</v>
      </c>
      <c r="K49" s="13" t="n">
        <f aca="false">IF(ISNUMBER($D49),$D49,"")</f>
        <v>27</v>
      </c>
      <c r="L49" s="13" t="n">
        <f aca="false">IF(ISNUMBER($D49),$D49,"")</f>
        <v>27</v>
      </c>
      <c r="M49" s="13" t="n">
        <f aca="false">IF(ISNUMBER($D49),$D49,"")</f>
        <v>27</v>
      </c>
      <c r="N49" s="13" t="n">
        <f aca="false">IF(ISNUMBER($D49),$D49,"")</f>
        <v>27</v>
      </c>
      <c r="O49" s="5" t="s">
        <v>2136</v>
      </c>
    </row>
    <row r="50" customFormat="false" ht="15" hidden="false" customHeight="true" outlineLevel="0" collapsed="false">
      <c r="A50" s="9" t="s">
        <v>1130</v>
      </c>
      <c r="B50" s="9" t="s">
        <v>1657</v>
      </c>
      <c r="C50" s="9" t="s">
        <v>368</v>
      </c>
      <c r="D50" s="13" t="n">
        <f aca="false">IF(ISNUMBER('05 MATERIAL RATE LIBRARY'!N50),'05 MATERIAL RATE LIBRARY'!N50,"")</f>
        <v>50</v>
      </c>
      <c r="E50" s="13" t="n">
        <f aca="false">IF(ISNUMBER($D50),$D50,"")</f>
        <v>50</v>
      </c>
      <c r="F50" s="13" t="n">
        <f aca="false">IF(ISNUMBER($D50),$D50,"")</f>
        <v>50</v>
      </c>
      <c r="G50" s="13" t="n">
        <f aca="false">IF(ISNUMBER($D50),$D50,"")</f>
        <v>50</v>
      </c>
      <c r="H50" s="13" t="n">
        <f aca="false">IF(ISNUMBER($D50),$D50,"")</f>
        <v>50</v>
      </c>
      <c r="I50" s="13" t="n">
        <f aca="false">IF(ISNUMBER($D50),$D50,"")</f>
        <v>50</v>
      </c>
      <c r="J50" s="13" t="n">
        <f aca="false">IF(ISNUMBER($D50),$D50,"")</f>
        <v>50</v>
      </c>
      <c r="K50" s="13" t="n">
        <f aca="false">IF(ISNUMBER($D50),$D50,"")</f>
        <v>50</v>
      </c>
      <c r="L50" s="13" t="n">
        <f aca="false">IF(ISNUMBER($D50),$D50,"")</f>
        <v>50</v>
      </c>
      <c r="M50" s="13" t="n">
        <f aca="false">IF(ISNUMBER($D50),$D50,"")</f>
        <v>50</v>
      </c>
      <c r="N50" s="13" t="n">
        <f aca="false">IF(ISNUMBER($D50),$D50,"")</f>
        <v>50</v>
      </c>
      <c r="O50" s="5" t="s">
        <v>2136</v>
      </c>
    </row>
    <row r="51" customFormat="false" ht="15" hidden="false" customHeight="true" outlineLevel="0" collapsed="false">
      <c r="A51" s="9" t="s">
        <v>1137</v>
      </c>
      <c r="B51" s="9" t="s">
        <v>1660</v>
      </c>
      <c r="C51" s="9" t="s">
        <v>386</v>
      </c>
      <c r="D51" s="13" t="n">
        <f aca="false">IF(ISNUMBER('05 MATERIAL RATE LIBRARY'!N51),'05 MATERIAL RATE LIBRARY'!N51,"")</f>
        <v>145.38</v>
      </c>
      <c r="E51" s="13" t="n">
        <f aca="false">IF(ISNUMBER($D51),$D51,"")</f>
        <v>145.38</v>
      </c>
      <c r="F51" s="13" t="n">
        <f aca="false">IF(ISNUMBER($D51),$D51,"")</f>
        <v>145.38</v>
      </c>
      <c r="G51" s="13" t="n">
        <f aca="false">IF(ISNUMBER($D51),$D51,"")</f>
        <v>145.38</v>
      </c>
      <c r="H51" s="13" t="n">
        <f aca="false">IF(ISNUMBER($D51),$D51,"")</f>
        <v>145.38</v>
      </c>
      <c r="I51" s="13" t="n">
        <f aca="false">IF(ISNUMBER($D51),$D51,"")</f>
        <v>145.38</v>
      </c>
      <c r="J51" s="13" t="n">
        <f aca="false">IF(ISNUMBER($D51),$D51,"")</f>
        <v>145.38</v>
      </c>
      <c r="K51" s="13" t="n">
        <f aca="false">IF(ISNUMBER($D51),$D51,"")</f>
        <v>145.38</v>
      </c>
      <c r="L51" s="13" t="n">
        <f aca="false">IF(ISNUMBER($D51),$D51,"")</f>
        <v>145.38</v>
      </c>
      <c r="M51" s="13" t="n">
        <f aca="false">IF(ISNUMBER($D51),$D51,"")</f>
        <v>145.38</v>
      </c>
      <c r="N51" s="13" t="n">
        <f aca="false">IF(ISNUMBER($D51),$D51,"")</f>
        <v>145.38</v>
      </c>
      <c r="O51" s="5" t="s">
        <v>2136</v>
      </c>
    </row>
    <row r="52" customFormat="false" ht="15" hidden="false" customHeight="true" outlineLevel="0" collapsed="false">
      <c r="A52" s="9" t="s">
        <v>1139</v>
      </c>
      <c r="B52" s="9" t="s">
        <v>1661</v>
      </c>
      <c r="C52" s="9" t="s">
        <v>368</v>
      </c>
      <c r="D52" s="13" t="n">
        <f aca="false">IF(ISNUMBER('05 MATERIAL RATE LIBRARY'!N52),'05 MATERIAL RATE LIBRARY'!N52,"")</f>
        <v>54.5</v>
      </c>
      <c r="E52" s="13" t="n">
        <f aca="false">IF(ISNUMBER($D52),$D52,"")</f>
        <v>54.5</v>
      </c>
      <c r="F52" s="13" t="n">
        <f aca="false">IF(ISNUMBER($D52),$D52,"")</f>
        <v>54.5</v>
      </c>
      <c r="G52" s="13" t="n">
        <f aca="false">IF(ISNUMBER($D52),$D52,"")</f>
        <v>54.5</v>
      </c>
      <c r="H52" s="13" t="n">
        <f aca="false">IF(ISNUMBER($D52),$D52,"")</f>
        <v>54.5</v>
      </c>
      <c r="I52" s="13" t="n">
        <f aca="false">IF(ISNUMBER($D52),$D52,"")</f>
        <v>54.5</v>
      </c>
      <c r="J52" s="13" t="n">
        <f aca="false">IF(ISNUMBER($D52),$D52,"")</f>
        <v>54.5</v>
      </c>
      <c r="K52" s="13" t="n">
        <f aca="false">IF(ISNUMBER($D52),$D52,"")</f>
        <v>54.5</v>
      </c>
      <c r="L52" s="13" t="n">
        <f aca="false">IF(ISNUMBER($D52),$D52,"")</f>
        <v>54.5</v>
      </c>
      <c r="M52" s="13" t="n">
        <f aca="false">IF(ISNUMBER($D52),$D52,"")</f>
        <v>54.5</v>
      </c>
      <c r="N52" s="13" t="n">
        <f aca="false">IF(ISNUMBER($D52),$D52,"")</f>
        <v>54.5</v>
      </c>
      <c r="O52" s="5" t="s">
        <v>2136</v>
      </c>
    </row>
    <row r="53" customFormat="false" ht="15" hidden="false" customHeight="true" outlineLevel="0" collapsed="false">
      <c r="A53" s="9" t="s">
        <v>1140</v>
      </c>
      <c r="B53" s="9" t="s">
        <v>1664</v>
      </c>
      <c r="C53" s="9" t="s">
        <v>368</v>
      </c>
      <c r="D53" s="13" t="n">
        <f aca="false">IF(ISNUMBER('05 MATERIAL RATE LIBRARY'!N53),'05 MATERIAL RATE LIBRARY'!N53,"")</f>
        <v>38.5</v>
      </c>
      <c r="E53" s="13" t="n">
        <f aca="false">IF(ISNUMBER($D53),$D53,"")</f>
        <v>38.5</v>
      </c>
      <c r="F53" s="13" t="n">
        <f aca="false">IF(ISNUMBER($D53),$D53,"")</f>
        <v>38.5</v>
      </c>
      <c r="G53" s="13" t="n">
        <f aca="false">IF(ISNUMBER($D53),$D53,"")</f>
        <v>38.5</v>
      </c>
      <c r="H53" s="13" t="n">
        <f aca="false">IF(ISNUMBER($D53),$D53,"")</f>
        <v>38.5</v>
      </c>
      <c r="I53" s="13" t="n">
        <f aca="false">IF(ISNUMBER($D53),$D53,"")</f>
        <v>38.5</v>
      </c>
      <c r="J53" s="13" t="n">
        <f aca="false">IF(ISNUMBER($D53),$D53,"")</f>
        <v>38.5</v>
      </c>
      <c r="K53" s="13" t="n">
        <f aca="false">IF(ISNUMBER($D53),$D53,"")</f>
        <v>38.5</v>
      </c>
      <c r="L53" s="13" t="n">
        <f aca="false">IF(ISNUMBER($D53),$D53,"")</f>
        <v>38.5</v>
      </c>
      <c r="M53" s="13" t="n">
        <f aca="false">IF(ISNUMBER($D53),$D53,"")</f>
        <v>38.5</v>
      </c>
      <c r="N53" s="13" t="n">
        <f aca="false">IF(ISNUMBER($D53),$D53,"")</f>
        <v>38.5</v>
      </c>
      <c r="O53" s="5" t="s">
        <v>2136</v>
      </c>
    </row>
    <row r="54" customFormat="false" ht="15" hidden="false" customHeight="true" outlineLevel="0" collapsed="false">
      <c r="A54" s="9" t="s">
        <v>1141</v>
      </c>
      <c r="B54" s="9" t="s">
        <v>1666</v>
      </c>
      <c r="C54" s="9" t="s">
        <v>368</v>
      </c>
      <c r="D54" s="13" t="n">
        <f aca="false">IF(ISNUMBER('05 MATERIAL RATE LIBRARY'!N54),'05 MATERIAL RATE LIBRARY'!N54,"")</f>
        <v>71.5</v>
      </c>
      <c r="E54" s="13" t="n">
        <f aca="false">IF(ISNUMBER($D54),$D54,"")</f>
        <v>71.5</v>
      </c>
      <c r="F54" s="13" t="n">
        <f aca="false">IF(ISNUMBER($D54),$D54,"")</f>
        <v>71.5</v>
      </c>
      <c r="G54" s="13" t="n">
        <f aca="false">IF(ISNUMBER($D54),$D54,"")</f>
        <v>71.5</v>
      </c>
      <c r="H54" s="13" t="n">
        <f aca="false">IF(ISNUMBER($D54),$D54,"")</f>
        <v>71.5</v>
      </c>
      <c r="I54" s="13" t="n">
        <f aca="false">IF(ISNUMBER($D54),$D54,"")</f>
        <v>71.5</v>
      </c>
      <c r="J54" s="13" t="n">
        <f aca="false">IF(ISNUMBER($D54),$D54,"")</f>
        <v>71.5</v>
      </c>
      <c r="K54" s="13" t="n">
        <f aca="false">IF(ISNUMBER($D54),$D54,"")</f>
        <v>71.5</v>
      </c>
      <c r="L54" s="13" t="n">
        <f aca="false">IF(ISNUMBER($D54),$D54,"")</f>
        <v>71.5</v>
      </c>
      <c r="M54" s="13" t="n">
        <f aca="false">IF(ISNUMBER($D54),$D54,"")</f>
        <v>71.5</v>
      </c>
      <c r="N54" s="13" t="n">
        <f aca="false">IF(ISNUMBER($D54),$D54,"")</f>
        <v>71.5</v>
      </c>
      <c r="O54" s="5" t="s">
        <v>2136</v>
      </c>
    </row>
    <row r="55" customFormat="false" ht="15" hidden="false" customHeight="true" outlineLevel="0" collapsed="false">
      <c r="A55" s="9" t="s">
        <v>1142</v>
      </c>
      <c r="B55" s="9" t="s">
        <v>1668</v>
      </c>
      <c r="C55" s="9" t="s">
        <v>386</v>
      </c>
      <c r="D55" s="13" t="n">
        <f aca="false">IF(ISNUMBER('05 MATERIAL RATE LIBRARY'!N55),'05 MATERIAL RATE LIBRARY'!N55,"")</f>
        <v>242.61</v>
      </c>
      <c r="E55" s="13" t="n">
        <f aca="false">IF(ISNUMBER($D55),$D55,"")</f>
        <v>242.61</v>
      </c>
      <c r="F55" s="13" t="n">
        <f aca="false">IF(ISNUMBER($D55),$D55,"")</f>
        <v>242.61</v>
      </c>
      <c r="G55" s="13" t="n">
        <f aca="false">IF(ISNUMBER($D55),$D55,"")</f>
        <v>242.61</v>
      </c>
      <c r="H55" s="13" t="n">
        <f aca="false">IF(ISNUMBER($D55),$D55,"")</f>
        <v>242.61</v>
      </c>
      <c r="I55" s="13" t="n">
        <f aca="false">IF(ISNUMBER($D55),$D55,"")</f>
        <v>242.61</v>
      </c>
      <c r="J55" s="13" t="n">
        <f aca="false">IF(ISNUMBER($D55),$D55,"")</f>
        <v>242.61</v>
      </c>
      <c r="K55" s="13" t="n">
        <f aca="false">IF(ISNUMBER($D55),$D55,"")</f>
        <v>242.61</v>
      </c>
      <c r="L55" s="13" t="n">
        <f aca="false">IF(ISNUMBER($D55),$D55,"")</f>
        <v>242.61</v>
      </c>
      <c r="M55" s="13" t="n">
        <f aca="false">IF(ISNUMBER($D55),$D55,"")</f>
        <v>242.61</v>
      </c>
      <c r="N55" s="13" t="n">
        <f aca="false">IF(ISNUMBER($D55),$D55,"")</f>
        <v>242.61</v>
      </c>
      <c r="O55" s="5" t="s">
        <v>2136</v>
      </c>
    </row>
    <row r="56" customFormat="false" ht="15" hidden="false" customHeight="true" outlineLevel="0" collapsed="false">
      <c r="A56" s="9" t="s">
        <v>1144</v>
      </c>
      <c r="B56" s="9" t="s">
        <v>1669</v>
      </c>
      <c r="C56" s="9" t="s">
        <v>368</v>
      </c>
      <c r="D56" s="13" t="n">
        <f aca="false">IF(ISNUMBER('05 MATERIAL RATE LIBRARY'!N56),'05 MATERIAL RATE LIBRARY'!N56,"")</f>
        <v>93</v>
      </c>
      <c r="E56" s="13" t="n">
        <f aca="false">IF(ISNUMBER($D56),$D56,"")</f>
        <v>93</v>
      </c>
      <c r="F56" s="13" t="n">
        <f aca="false">IF(ISNUMBER($D56),$D56,"")</f>
        <v>93</v>
      </c>
      <c r="G56" s="13" t="n">
        <f aca="false">IF(ISNUMBER($D56),$D56,"")</f>
        <v>93</v>
      </c>
      <c r="H56" s="13" t="n">
        <f aca="false">IF(ISNUMBER($D56),$D56,"")</f>
        <v>93</v>
      </c>
      <c r="I56" s="13" t="n">
        <f aca="false">IF(ISNUMBER($D56),$D56,"")</f>
        <v>93</v>
      </c>
      <c r="J56" s="13" t="n">
        <f aca="false">IF(ISNUMBER($D56),$D56,"")</f>
        <v>93</v>
      </c>
      <c r="K56" s="13" t="n">
        <f aca="false">IF(ISNUMBER($D56),$D56,"")</f>
        <v>93</v>
      </c>
      <c r="L56" s="13" t="n">
        <f aca="false">IF(ISNUMBER($D56),$D56,"")</f>
        <v>93</v>
      </c>
      <c r="M56" s="13" t="n">
        <f aca="false">IF(ISNUMBER($D56),$D56,"")</f>
        <v>93</v>
      </c>
      <c r="N56" s="13" t="n">
        <f aca="false">IF(ISNUMBER($D56),$D56,"")</f>
        <v>93</v>
      </c>
      <c r="O56" s="5" t="s">
        <v>2136</v>
      </c>
    </row>
    <row r="57" customFormat="false" ht="15" hidden="false" customHeight="true" outlineLevel="0" collapsed="false">
      <c r="A57" s="9" t="s">
        <v>1145</v>
      </c>
      <c r="B57" s="9" t="s">
        <v>1671</v>
      </c>
      <c r="C57" s="9" t="s">
        <v>368</v>
      </c>
      <c r="D57" s="13" t="n">
        <f aca="false">IF(ISNUMBER('05 MATERIAL RATE LIBRARY'!N57),'05 MATERIAL RATE LIBRARY'!N57,"")</f>
        <v>64.5</v>
      </c>
      <c r="E57" s="13" t="n">
        <f aca="false">IF(ISNUMBER($D57),$D57,"")</f>
        <v>64.5</v>
      </c>
      <c r="F57" s="13" t="n">
        <f aca="false">IF(ISNUMBER($D57),$D57,"")</f>
        <v>64.5</v>
      </c>
      <c r="G57" s="13" t="n">
        <f aca="false">IF(ISNUMBER($D57),$D57,"")</f>
        <v>64.5</v>
      </c>
      <c r="H57" s="13" t="n">
        <f aca="false">IF(ISNUMBER($D57),$D57,"")</f>
        <v>64.5</v>
      </c>
      <c r="I57" s="13" t="n">
        <f aca="false">IF(ISNUMBER($D57),$D57,"")</f>
        <v>64.5</v>
      </c>
      <c r="J57" s="13" t="n">
        <f aca="false">IF(ISNUMBER($D57),$D57,"")</f>
        <v>64.5</v>
      </c>
      <c r="K57" s="13" t="n">
        <f aca="false">IF(ISNUMBER($D57),$D57,"")</f>
        <v>64.5</v>
      </c>
      <c r="L57" s="13" t="n">
        <f aca="false">IF(ISNUMBER($D57),$D57,"")</f>
        <v>64.5</v>
      </c>
      <c r="M57" s="13" t="n">
        <f aca="false">IF(ISNUMBER($D57),$D57,"")</f>
        <v>64.5</v>
      </c>
      <c r="N57" s="13" t="n">
        <f aca="false">IF(ISNUMBER($D57),$D57,"")</f>
        <v>64.5</v>
      </c>
      <c r="O57" s="5" t="s">
        <v>2136</v>
      </c>
    </row>
    <row r="58" customFormat="false" ht="15" hidden="false" customHeight="true" outlineLevel="0" collapsed="false">
      <c r="A58" s="9" t="s">
        <v>1146</v>
      </c>
      <c r="B58" s="9" t="s">
        <v>1673</v>
      </c>
      <c r="C58" s="9" t="s">
        <v>368</v>
      </c>
      <c r="D58" s="13" t="n">
        <f aca="false">IF(ISNUMBER('05 MATERIAL RATE LIBRARY'!N58),'05 MATERIAL RATE LIBRARY'!N58,"")</f>
        <v>139</v>
      </c>
      <c r="E58" s="13" t="n">
        <f aca="false">IF(ISNUMBER($D58),$D58,"")</f>
        <v>139</v>
      </c>
      <c r="F58" s="13" t="n">
        <f aca="false">IF(ISNUMBER($D58),$D58,"")</f>
        <v>139</v>
      </c>
      <c r="G58" s="13" t="n">
        <f aca="false">IF(ISNUMBER($D58),$D58,"")</f>
        <v>139</v>
      </c>
      <c r="H58" s="13" t="n">
        <f aca="false">IF(ISNUMBER($D58),$D58,"")</f>
        <v>139</v>
      </c>
      <c r="I58" s="13" t="n">
        <f aca="false">IF(ISNUMBER($D58),$D58,"")</f>
        <v>139</v>
      </c>
      <c r="J58" s="13" t="n">
        <f aca="false">IF(ISNUMBER($D58),$D58,"")</f>
        <v>139</v>
      </c>
      <c r="K58" s="13" t="n">
        <f aca="false">IF(ISNUMBER($D58),$D58,"")</f>
        <v>139</v>
      </c>
      <c r="L58" s="13" t="n">
        <f aca="false">IF(ISNUMBER($D58),$D58,"")</f>
        <v>139</v>
      </c>
      <c r="M58" s="13" t="n">
        <f aca="false">IF(ISNUMBER($D58),$D58,"")</f>
        <v>139</v>
      </c>
      <c r="N58" s="13" t="n">
        <f aca="false">IF(ISNUMBER($D58),$D58,"")</f>
        <v>139</v>
      </c>
      <c r="O58" s="5" t="s">
        <v>2136</v>
      </c>
    </row>
    <row r="59" customFormat="false" ht="15" hidden="false" customHeight="true" outlineLevel="0" collapsed="false">
      <c r="A59" s="9" t="s">
        <v>1147</v>
      </c>
      <c r="B59" s="9" t="s">
        <v>1675</v>
      </c>
      <c r="C59" s="9" t="s">
        <v>386</v>
      </c>
      <c r="D59" s="13" t="n">
        <f aca="false">IF(ISNUMBER('05 MATERIAL RATE LIBRARY'!N59),'05 MATERIAL RATE LIBRARY'!N59,"")</f>
        <v>366.96</v>
      </c>
      <c r="E59" s="13" t="n">
        <f aca="false">IF(ISNUMBER($D59),$D59,"")</f>
        <v>366.96</v>
      </c>
      <c r="F59" s="13" t="n">
        <f aca="false">IF(ISNUMBER($D59),$D59,"")</f>
        <v>366.96</v>
      </c>
      <c r="G59" s="13" t="n">
        <f aca="false">IF(ISNUMBER($D59),$D59,"")</f>
        <v>366.96</v>
      </c>
      <c r="H59" s="13" t="n">
        <f aca="false">IF(ISNUMBER($D59),$D59,"")</f>
        <v>366.96</v>
      </c>
      <c r="I59" s="13" t="n">
        <f aca="false">IF(ISNUMBER($D59),$D59,"")</f>
        <v>366.96</v>
      </c>
      <c r="J59" s="13" t="n">
        <f aca="false">IF(ISNUMBER($D59),$D59,"")</f>
        <v>366.96</v>
      </c>
      <c r="K59" s="13" t="n">
        <f aca="false">IF(ISNUMBER($D59),$D59,"")</f>
        <v>366.96</v>
      </c>
      <c r="L59" s="13" t="n">
        <f aca="false">IF(ISNUMBER($D59),$D59,"")</f>
        <v>366.96</v>
      </c>
      <c r="M59" s="13" t="n">
        <f aca="false">IF(ISNUMBER($D59),$D59,"")</f>
        <v>366.96</v>
      </c>
      <c r="N59" s="13" t="n">
        <f aca="false">IF(ISNUMBER($D59),$D59,"")</f>
        <v>366.96</v>
      </c>
      <c r="O59" s="5" t="s">
        <v>2136</v>
      </c>
    </row>
    <row r="60" customFormat="false" ht="15" hidden="false" customHeight="true" outlineLevel="0" collapsed="false">
      <c r="A60" s="9" t="s">
        <v>1149</v>
      </c>
      <c r="B60" s="9" t="s">
        <v>1676</v>
      </c>
      <c r="C60" s="9" t="s">
        <v>368</v>
      </c>
      <c r="D60" s="13" t="n">
        <f aca="false">IF(ISNUMBER('05 MATERIAL RATE LIBRARY'!N60),'05 MATERIAL RATE LIBRARY'!N60,"")</f>
        <v>160</v>
      </c>
      <c r="E60" s="13" t="n">
        <f aca="false">IF(ISNUMBER($D60),$D60,"")</f>
        <v>160</v>
      </c>
      <c r="F60" s="13" t="n">
        <f aca="false">IF(ISNUMBER($D60),$D60,"")</f>
        <v>160</v>
      </c>
      <c r="G60" s="13" t="n">
        <f aca="false">IF(ISNUMBER($D60),$D60,"")</f>
        <v>160</v>
      </c>
      <c r="H60" s="13" t="n">
        <f aca="false">IF(ISNUMBER($D60),$D60,"")</f>
        <v>160</v>
      </c>
      <c r="I60" s="13" t="n">
        <f aca="false">IF(ISNUMBER($D60),$D60,"")</f>
        <v>160</v>
      </c>
      <c r="J60" s="13" t="n">
        <f aca="false">IF(ISNUMBER($D60),$D60,"")</f>
        <v>160</v>
      </c>
      <c r="K60" s="13" t="n">
        <f aca="false">IF(ISNUMBER($D60),$D60,"")</f>
        <v>160</v>
      </c>
      <c r="L60" s="13" t="n">
        <f aca="false">IF(ISNUMBER($D60),$D60,"")</f>
        <v>160</v>
      </c>
      <c r="M60" s="13" t="n">
        <f aca="false">IF(ISNUMBER($D60),$D60,"")</f>
        <v>160</v>
      </c>
      <c r="N60" s="13" t="n">
        <f aca="false">IF(ISNUMBER($D60),$D60,"")</f>
        <v>160</v>
      </c>
      <c r="O60" s="5" t="s">
        <v>2136</v>
      </c>
    </row>
    <row r="61" customFormat="false" ht="15" hidden="false" customHeight="true" outlineLevel="0" collapsed="false">
      <c r="A61" s="9" t="s">
        <v>1150</v>
      </c>
      <c r="B61" s="9" t="s">
        <v>1678</v>
      </c>
      <c r="C61" s="9" t="s">
        <v>368</v>
      </c>
      <c r="D61" s="13" t="n">
        <f aca="false">IF(ISNUMBER('05 MATERIAL RATE LIBRARY'!N61),'05 MATERIAL RATE LIBRARY'!N61,"")</f>
        <v>111</v>
      </c>
      <c r="E61" s="13" t="n">
        <f aca="false">IF(ISNUMBER($D61),$D61,"")</f>
        <v>111</v>
      </c>
      <c r="F61" s="13" t="n">
        <f aca="false">IF(ISNUMBER($D61),$D61,"")</f>
        <v>111</v>
      </c>
      <c r="G61" s="13" t="n">
        <f aca="false">IF(ISNUMBER($D61),$D61,"")</f>
        <v>111</v>
      </c>
      <c r="H61" s="13" t="n">
        <f aca="false">IF(ISNUMBER($D61),$D61,"")</f>
        <v>111</v>
      </c>
      <c r="I61" s="13" t="n">
        <f aca="false">IF(ISNUMBER($D61),$D61,"")</f>
        <v>111</v>
      </c>
      <c r="J61" s="13" t="n">
        <f aca="false">IF(ISNUMBER($D61),$D61,"")</f>
        <v>111</v>
      </c>
      <c r="K61" s="13" t="n">
        <f aca="false">IF(ISNUMBER($D61),$D61,"")</f>
        <v>111</v>
      </c>
      <c r="L61" s="13" t="n">
        <f aca="false">IF(ISNUMBER($D61),$D61,"")</f>
        <v>111</v>
      </c>
      <c r="M61" s="13" t="n">
        <f aca="false">IF(ISNUMBER($D61),$D61,"")</f>
        <v>111</v>
      </c>
      <c r="N61" s="13" t="n">
        <f aca="false">IF(ISNUMBER($D61),$D61,"")</f>
        <v>111</v>
      </c>
      <c r="O61" s="5" t="s">
        <v>2136</v>
      </c>
    </row>
    <row r="62" customFormat="false" ht="15" hidden="false" customHeight="true" outlineLevel="0" collapsed="false">
      <c r="A62" s="9" t="s">
        <v>1151</v>
      </c>
      <c r="B62" s="9" t="s">
        <v>1680</v>
      </c>
      <c r="C62" s="9" t="s">
        <v>368</v>
      </c>
      <c r="D62" s="13" t="n">
        <f aca="false">IF(ISNUMBER('05 MATERIAL RATE LIBRARY'!N62),'05 MATERIAL RATE LIBRARY'!N62,"")</f>
        <v>203</v>
      </c>
      <c r="E62" s="13" t="n">
        <f aca="false">IF(ISNUMBER($D62),$D62,"")</f>
        <v>203</v>
      </c>
      <c r="F62" s="13" t="n">
        <f aca="false">IF(ISNUMBER($D62),$D62,"")</f>
        <v>203</v>
      </c>
      <c r="G62" s="13" t="n">
        <f aca="false">IF(ISNUMBER($D62),$D62,"")</f>
        <v>203</v>
      </c>
      <c r="H62" s="13" t="n">
        <f aca="false">IF(ISNUMBER($D62),$D62,"")</f>
        <v>203</v>
      </c>
      <c r="I62" s="13" t="n">
        <f aca="false">IF(ISNUMBER($D62),$D62,"")</f>
        <v>203</v>
      </c>
      <c r="J62" s="13" t="n">
        <f aca="false">IF(ISNUMBER($D62),$D62,"")</f>
        <v>203</v>
      </c>
      <c r="K62" s="13" t="n">
        <f aca="false">IF(ISNUMBER($D62),$D62,"")</f>
        <v>203</v>
      </c>
      <c r="L62" s="13" t="n">
        <f aca="false">IF(ISNUMBER($D62),$D62,"")</f>
        <v>203</v>
      </c>
      <c r="M62" s="13" t="n">
        <f aca="false">IF(ISNUMBER($D62),$D62,"")</f>
        <v>203</v>
      </c>
      <c r="N62" s="13" t="n">
        <f aca="false">IF(ISNUMBER($D62),$D62,"")</f>
        <v>203</v>
      </c>
      <c r="O62" s="5" t="s">
        <v>2136</v>
      </c>
    </row>
    <row r="63" customFormat="false" ht="15" hidden="false" customHeight="true" outlineLevel="0" collapsed="false">
      <c r="A63" s="9" t="s">
        <v>1154</v>
      </c>
      <c r="B63" s="9" t="s">
        <v>1682</v>
      </c>
      <c r="C63" s="9" t="s">
        <v>386</v>
      </c>
      <c r="D63" s="13" t="n">
        <f aca="false">IF(ISNUMBER('05 MATERIAL RATE LIBRARY'!N63),'05 MATERIAL RATE LIBRARY'!N63,"")</f>
        <v>583.05</v>
      </c>
      <c r="E63" s="13" t="n">
        <f aca="false">IF(ISNUMBER($D63),$D63,"")</f>
        <v>583.05</v>
      </c>
      <c r="F63" s="13" t="n">
        <f aca="false">IF(ISNUMBER($D63),$D63,"")</f>
        <v>583.05</v>
      </c>
      <c r="G63" s="13" t="n">
        <f aca="false">IF(ISNUMBER($D63),$D63,"")</f>
        <v>583.05</v>
      </c>
      <c r="H63" s="13" t="n">
        <f aca="false">IF(ISNUMBER($D63),$D63,"")</f>
        <v>583.05</v>
      </c>
      <c r="I63" s="13" t="n">
        <f aca="false">IF(ISNUMBER($D63),$D63,"")</f>
        <v>583.05</v>
      </c>
      <c r="J63" s="13" t="n">
        <f aca="false">IF(ISNUMBER($D63),$D63,"")</f>
        <v>583.05</v>
      </c>
      <c r="K63" s="13" t="n">
        <f aca="false">IF(ISNUMBER($D63),$D63,"")</f>
        <v>583.05</v>
      </c>
      <c r="L63" s="13" t="n">
        <f aca="false">IF(ISNUMBER($D63),$D63,"")</f>
        <v>583.05</v>
      </c>
      <c r="M63" s="13" t="n">
        <f aca="false">IF(ISNUMBER($D63),$D63,"")</f>
        <v>583.05</v>
      </c>
      <c r="N63" s="13" t="n">
        <f aca="false">IF(ISNUMBER($D63),$D63,"")</f>
        <v>583.05</v>
      </c>
      <c r="O63" s="5" t="s">
        <v>2136</v>
      </c>
    </row>
    <row r="64" customFormat="false" ht="15" hidden="false" customHeight="true" outlineLevel="0" collapsed="false">
      <c r="A64" s="9" t="s">
        <v>1156</v>
      </c>
      <c r="B64" s="9" t="s">
        <v>1683</v>
      </c>
      <c r="C64" s="9" t="s">
        <v>368</v>
      </c>
      <c r="D64" s="13" t="n">
        <f aca="false">IF(ISNUMBER('05 MATERIAL RATE LIBRARY'!N64),'05 MATERIAL RATE LIBRARY'!N64,"")</f>
        <v>361</v>
      </c>
      <c r="E64" s="13" t="n">
        <f aca="false">IF(ISNUMBER($D64),$D64,"")</f>
        <v>361</v>
      </c>
      <c r="F64" s="13" t="n">
        <f aca="false">IF(ISNUMBER($D64),$D64,"")</f>
        <v>361</v>
      </c>
      <c r="G64" s="13" t="n">
        <f aca="false">IF(ISNUMBER($D64),$D64,"")</f>
        <v>361</v>
      </c>
      <c r="H64" s="13" t="n">
        <f aca="false">IF(ISNUMBER($D64),$D64,"")</f>
        <v>361</v>
      </c>
      <c r="I64" s="13" t="n">
        <f aca="false">IF(ISNUMBER($D64),$D64,"")</f>
        <v>361</v>
      </c>
      <c r="J64" s="13" t="n">
        <f aca="false">IF(ISNUMBER($D64),$D64,"")</f>
        <v>361</v>
      </c>
      <c r="K64" s="13" t="n">
        <f aca="false">IF(ISNUMBER($D64),$D64,"")</f>
        <v>361</v>
      </c>
      <c r="L64" s="13" t="n">
        <f aca="false">IF(ISNUMBER($D64),$D64,"")</f>
        <v>361</v>
      </c>
      <c r="M64" s="13" t="n">
        <f aca="false">IF(ISNUMBER($D64),$D64,"")</f>
        <v>361</v>
      </c>
      <c r="N64" s="13" t="n">
        <f aca="false">IF(ISNUMBER($D64),$D64,"")</f>
        <v>361</v>
      </c>
      <c r="O64" s="5" t="s">
        <v>2136</v>
      </c>
    </row>
    <row r="65" customFormat="false" ht="15" hidden="false" customHeight="true" outlineLevel="0" collapsed="false">
      <c r="A65" s="9" t="s">
        <v>1157</v>
      </c>
      <c r="B65" s="9" t="s">
        <v>1685</v>
      </c>
      <c r="C65" s="9" t="s">
        <v>368</v>
      </c>
      <c r="D65" s="13" t="n">
        <f aca="false">IF(ISNUMBER('05 MATERIAL RATE LIBRARY'!N65),'05 MATERIAL RATE LIBRARY'!N65,"")</f>
        <v>256</v>
      </c>
      <c r="E65" s="13" t="n">
        <f aca="false">IF(ISNUMBER($D65),$D65,"")</f>
        <v>256</v>
      </c>
      <c r="F65" s="13" t="n">
        <f aca="false">IF(ISNUMBER($D65),$D65,"")</f>
        <v>256</v>
      </c>
      <c r="G65" s="13" t="n">
        <f aca="false">IF(ISNUMBER($D65),$D65,"")</f>
        <v>256</v>
      </c>
      <c r="H65" s="13" t="n">
        <f aca="false">IF(ISNUMBER($D65),$D65,"")</f>
        <v>256</v>
      </c>
      <c r="I65" s="13" t="n">
        <f aca="false">IF(ISNUMBER($D65),$D65,"")</f>
        <v>256</v>
      </c>
      <c r="J65" s="13" t="n">
        <f aca="false">IF(ISNUMBER($D65),$D65,"")</f>
        <v>256</v>
      </c>
      <c r="K65" s="13" t="n">
        <f aca="false">IF(ISNUMBER($D65),$D65,"")</f>
        <v>256</v>
      </c>
      <c r="L65" s="13" t="n">
        <f aca="false">IF(ISNUMBER($D65),$D65,"")</f>
        <v>256</v>
      </c>
      <c r="M65" s="13" t="n">
        <f aca="false">IF(ISNUMBER($D65),$D65,"")</f>
        <v>256</v>
      </c>
      <c r="N65" s="13" t="n">
        <f aca="false">IF(ISNUMBER($D65),$D65,"")</f>
        <v>256</v>
      </c>
      <c r="O65" s="5" t="s">
        <v>2136</v>
      </c>
    </row>
    <row r="66" customFormat="false" ht="15" hidden="false" customHeight="true" outlineLevel="0" collapsed="false">
      <c r="A66" s="9" t="s">
        <v>1158</v>
      </c>
      <c r="B66" s="9" t="s">
        <v>1687</v>
      </c>
      <c r="C66" s="9" t="s">
        <v>368</v>
      </c>
      <c r="D66" s="13" t="n">
        <f aca="false">IF(ISNUMBER('05 MATERIAL RATE LIBRARY'!N66),'05 MATERIAL RATE LIBRARY'!N66,"")</f>
        <v>512</v>
      </c>
      <c r="E66" s="13" t="n">
        <f aca="false">IF(ISNUMBER($D66),$D66,"")</f>
        <v>512</v>
      </c>
      <c r="F66" s="13" t="n">
        <f aca="false">IF(ISNUMBER($D66),$D66,"")</f>
        <v>512</v>
      </c>
      <c r="G66" s="13" t="n">
        <f aca="false">IF(ISNUMBER($D66),$D66,"")</f>
        <v>512</v>
      </c>
      <c r="H66" s="13" t="n">
        <f aca="false">IF(ISNUMBER($D66),$D66,"")</f>
        <v>512</v>
      </c>
      <c r="I66" s="13" t="n">
        <f aca="false">IF(ISNUMBER($D66),$D66,"")</f>
        <v>512</v>
      </c>
      <c r="J66" s="13" t="n">
        <f aca="false">IF(ISNUMBER($D66),$D66,"")</f>
        <v>512</v>
      </c>
      <c r="K66" s="13" t="n">
        <f aca="false">IF(ISNUMBER($D66),$D66,"")</f>
        <v>512</v>
      </c>
      <c r="L66" s="13" t="n">
        <f aca="false">IF(ISNUMBER($D66),$D66,"")</f>
        <v>512</v>
      </c>
      <c r="M66" s="13" t="n">
        <f aca="false">IF(ISNUMBER($D66),$D66,"")</f>
        <v>512</v>
      </c>
      <c r="N66" s="13" t="n">
        <f aca="false">IF(ISNUMBER($D66),$D66,"")</f>
        <v>512</v>
      </c>
      <c r="O66" s="5" t="s">
        <v>2136</v>
      </c>
    </row>
    <row r="67" customFormat="false" ht="15" hidden="false" customHeight="true" outlineLevel="0" collapsed="false">
      <c r="A67" s="9" t="s">
        <v>1159</v>
      </c>
      <c r="B67" s="9" t="s">
        <v>1689</v>
      </c>
      <c r="C67" s="9" t="s">
        <v>386</v>
      </c>
      <c r="D67" s="13" t="n">
        <f aca="false">IF(ISNUMBER('05 MATERIAL RATE LIBRARY'!N67),'05 MATERIAL RATE LIBRARY'!N67,"")</f>
        <v>957.63</v>
      </c>
      <c r="E67" s="13" t="n">
        <f aca="false">IF(ISNUMBER($D67),$D67,"")</f>
        <v>957.63</v>
      </c>
      <c r="F67" s="13" t="n">
        <f aca="false">IF(ISNUMBER($D67),$D67,"")</f>
        <v>957.63</v>
      </c>
      <c r="G67" s="13" t="n">
        <f aca="false">IF(ISNUMBER($D67),$D67,"")</f>
        <v>957.63</v>
      </c>
      <c r="H67" s="13" t="n">
        <f aca="false">IF(ISNUMBER($D67),$D67,"")</f>
        <v>957.63</v>
      </c>
      <c r="I67" s="13" t="n">
        <f aca="false">IF(ISNUMBER($D67),$D67,"")</f>
        <v>957.63</v>
      </c>
      <c r="J67" s="13" t="n">
        <f aca="false">IF(ISNUMBER($D67),$D67,"")</f>
        <v>957.63</v>
      </c>
      <c r="K67" s="13" t="n">
        <f aca="false">IF(ISNUMBER($D67),$D67,"")</f>
        <v>957.63</v>
      </c>
      <c r="L67" s="13" t="n">
        <f aca="false">IF(ISNUMBER($D67),$D67,"")</f>
        <v>957.63</v>
      </c>
      <c r="M67" s="13" t="n">
        <f aca="false">IF(ISNUMBER($D67),$D67,"")</f>
        <v>957.63</v>
      </c>
      <c r="N67" s="13" t="n">
        <f aca="false">IF(ISNUMBER($D67),$D67,"")</f>
        <v>957.63</v>
      </c>
      <c r="O67" s="5" t="s">
        <v>2136</v>
      </c>
    </row>
    <row r="68" customFormat="false" ht="15" hidden="false" customHeight="true" outlineLevel="0" collapsed="false">
      <c r="A68" s="9" t="s">
        <v>1161</v>
      </c>
      <c r="B68" s="9" t="s">
        <v>1690</v>
      </c>
      <c r="C68" s="9" t="s">
        <v>368</v>
      </c>
      <c r="D68" s="13" t="n">
        <f aca="false">IF(ISNUMBER('05 MATERIAL RATE LIBRARY'!N68),'05 MATERIAL RATE LIBRARY'!N68,"")</f>
        <v>695</v>
      </c>
      <c r="E68" s="13" t="n">
        <f aca="false">IF(ISNUMBER($D68),$D68,"")</f>
        <v>695</v>
      </c>
      <c r="F68" s="13" t="n">
        <f aca="false">IF(ISNUMBER($D68),$D68,"")</f>
        <v>695</v>
      </c>
      <c r="G68" s="13" t="n">
        <f aca="false">IF(ISNUMBER($D68),$D68,"")</f>
        <v>695</v>
      </c>
      <c r="H68" s="13" t="n">
        <f aca="false">IF(ISNUMBER($D68),$D68,"")</f>
        <v>695</v>
      </c>
      <c r="I68" s="13" t="n">
        <f aca="false">IF(ISNUMBER($D68),$D68,"")</f>
        <v>695</v>
      </c>
      <c r="J68" s="13" t="n">
        <f aca="false">IF(ISNUMBER($D68),$D68,"")</f>
        <v>695</v>
      </c>
      <c r="K68" s="13" t="n">
        <f aca="false">IF(ISNUMBER($D68),$D68,"")</f>
        <v>695</v>
      </c>
      <c r="L68" s="13" t="n">
        <f aca="false">IF(ISNUMBER($D68),$D68,"")</f>
        <v>695</v>
      </c>
      <c r="M68" s="13" t="n">
        <f aca="false">IF(ISNUMBER($D68),$D68,"")</f>
        <v>695</v>
      </c>
      <c r="N68" s="13" t="n">
        <f aca="false">IF(ISNUMBER($D68),$D68,"")</f>
        <v>695</v>
      </c>
      <c r="O68" s="5" t="s">
        <v>2136</v>
      </c>
    </row>
    <row r="69" customFormat="false" ht="15" hidden="false" customHeight="true" outlineLevel="0" collapsed="false">
      <c r="A69" s="9" t="s">
        <v>1162</v>
      </c>
      <c r="B69" s="9" t="s">
        <v>1692</v>
      </c>
      <c r="C69" s="9" t="s">
        <v>368</v>
      </c>
      <c r="D69" s="13" t="n">
        <f aca="false">IF(ISNUMBER('05 MATERIAL RATE LIBRARY'!N69),'05 MATERIAL RATE LIBRARY'!N69,"")</f>
        <v>422</v>
      </c>
      <c r="E69" s="13" t="n">
        <f aca="false">IF(ISNUMBER($D69),$D69,"")</f>
        <v>422</v>
      </c>
      <c r="F69" s="13" t="n">
        <f aca="false">IF(ISNUMBER($D69),$D69,"")</f>
        <v>422</v>
      </c>
      <c r="G69" s="13" t="n">
        <f aca="false">IF(ISNUMBER($D69),$D69,"")</f>
        <v>422</v>
      </c>
      <c r="H69" s="13" t="n">
        <f aca="false">IF(ISNUMBER($D69),$D69,"")</f>
        <v>422</v>
      </c>
      <c r="I69" s="13" t="n">
        <f aca="false">IF(ISNUMBER($D69),$D69,"")</f>
        <v>422</v>
      </c>
      <c r="J69" s="13" t="n">
        <f aca="false">IF(ISNUMBER($D69),$D69,"")</f>
        <v>422</v>
      </c>
      <c r="K69" s="13" t="n">
        <f aca="false">IF(ISNUMBER($D69),$D69,"")</f>
        <v>422</v>
      </c>
      <c r="L69" s="13" t="n">
        <f aca="false">IF(ISNUMBER($D69),$D69,"")</f>
        <v>422</v>
      </c>
      <c r="M69" s="13" t="n">
        <f aca="false">IF(ISNUMBER($D69),$D69,"")</f>
        <v>422</v>
      </c>
      <c r="N69" s="13" t="n">
        <f aca="false">IF(ISNUMBER($D69),$D69,"")</f>
        <v>422</v>
      </c>
      <c r="O69" s="5" t="s">
        <v>2136</v>
      </c>
    </row>
    <row r="70" customFormat="false" ht="15" hidden="false" customHeight="true" outlineLevel="0" collapsed="false">
      <c r="A70" s="9" t="s">
        <v>1163</v>
      </c>
      <c r="B70" s="9" t="s">
        <v>1694</v>
      </c>
      <c r="C70" s="9" t="s">
        <v>368</v>
      </c>
      <c r="D70" s="13" t="n">
        <f aca="false">IF(ISNUMBER('05 MATERIAL RATE LIBRARY'!N70),'05 MATERIAL RATE LIBRARY'!N70,"")</f>
        <v>825</v>
      </c>
      <c r="E70" s="13" t="n">
        <f aca="false">IF(ISNUMBER($D70),$D70,"")</f>
        <v>825</v>
      </c>
      <c r="F70" s="13" t="n">
        <f aca="false">IF(ISNUMBER($D70),$D70,"")</f>
        <v>825</v>
      </c>
      <c r="G70" s="13" t="n">
        <f aca="false">IF(ISNUMBER($D70),$D70,"")</f>
        <v>825</v>
      </c>
      <c r="H70" s="13" t="n">
        <f aca="false">IF(ISNUMBER($D70),$D70,"")</f>
        <v>825</v>
      </c>
      <c r="I70" s="13" t="n">
        <f aca="false">IF(ISNUMBER($D70),$D70,"")</f>
        <v>825</v>
      </c>
      <c r="J70" s="13" t="n">
        <f aca="false">IF(ISNUMBER($D70),$D70,"")</f>
        <v>825</v>
      </c>
      <c r="K70" s="13" t="n">
        <f aca="false">IF(ISNUMBER($D70),$D70,"")</f>
        <v>825</v>
      </c>
      <c r="L70" s="13" t="n">
        <f aca="false">IF(ISNUMBER($D70),$D70,"")</f>
        <v>825</v>
      </c>
      <c r="M70" s="13" t="n">
        <f aca="false">IF(ISNUMBER($D70),$D70,"")</f>
        <v>825</v>
      </c>
      <c r="N70" s="13" t="n">
        <f aca="false">IF(ISNUMBER($D70),$D70,"")</f>
        <v>825</v>
      </c>
      <c r="O70" s="5" t="s">
        <v>2136</v>
      </c>
    </row>
    <row r="71" customFormat="false" ht="15" hidden="false" customHeight="true" outlineLevel="0" collapsed="false">
      <c r="A71" s="9" t="s">
        <v>1185</v>
      </c>
      <c r="B71" s="9" t="s">
        <v>1696</v>
      </c>
      <c r="C71" s="9" t="s">
        <v>386</v>
      </c>
      <c r="D71" s="13" t="n">
        <f aca="false">IF(ISNUMBER('05 MATERIAL RATE LIBRARY'!N71),'05 MATERIAL RATE LIBRARY'!N71,"")</f>
        <v>160</v>
      </c>
      <c r="E71" s="13" t="n">
        <f aca="false">IF(ISNUMBER($D71),$D71,"")</f>
        <v>160</v>
      </c>
      <c r="F71" s="13" t="n">
        <f aca="false">IF(ISNUMBER($D71),$D71,"")</f>
        <v>160</v>
      </c>
      <c r="G71" s="13" t="n">
        <f aca="false">IF(ISNUMBER($D71),$D71,"")</f>
        <v>160</v>
      </c>
      <c r="H71" s="13" t="n">
        <f aca="false">IF(ISNUMBER($D71),$D71,"")</f>
        <v>160</v>
      </c>
      <c r="I71" s="13" t="n">
        <f aca="false">IF(ISNUMBER($D71),$D71,"")</f>
        <v>160</v>
      </c>
      <c r="J71" s="13" t="n">
        <f aca="false">IF(ISNUMBER($D71),$D71,"")</f>
        <v>160</v>
      </c>
      <c r="K71" s="13" t="n">
        <f aca="false">IF(ISNUMBER($D71),$D71,"")</f>
        <v>160</v>
      </c>
      <c r="L71" s="13" t="n">
        <f aca="false">IF(ISNUMBER($D71),$D71,"")</f>
        <v>160</v>
      </c>
      <c r="M71" s="13" t="n">
        <f aca="false">IF(ISNUMBER($D71),$D71,"")</f>
        <v>160</v>
      </c>
      <c r="N71" s="13" t="n">
        <f aca="false">IF(ISNUMBER($D71),$D71,"")</f>
        <v>160</v>
      </c>
      <c r="O71" s="5" t="s">
        <v>2136</v>
      </c>
    </row>
    <row r="72" customFormat="false" ht="15" hidden="false" customHeight="true" outlineLevel="0" collapsed="false">
      <c r="A72" s="9" t="s">
        <v>1195</v>
      </c>
      <c r="B72" s="9" t="s">
        <v>1700</v>
      </c>
      <c r="C72" s="9" t="s">
        <v>386</v>
      </c>
      <c r="D72" s="13" t="n">
        <f aca="false">IF(ISNUMBER('05 MATERIAL RATE LIBRARY'!N72),'05 MATERIAL RATE LIBRARY'!N72,"")</f>
        <v>304</v>
      </c>
      <c r="E72" s="13" t="n">
        <f aca="false">IF(ISNUMBER($D72),$D72,"")</f>
        <v>304</v>
      </c>
      <c r="F72" s="13" t="n">
        <f aca="false">IF(ISNUMBER($D72),$D72,"")</f>
        <v>304</v>
      </c>
      <c r="G72" s="13" t="n">
        <f aca="false">IF(ISNUMBER($D72),$D72,"")</f>
        <v>304</v>
      </c>
      <c r="H72" s="13" t="n">
        <f aca="false">IF(ISNUMBER($D72),$D72,"")</f>
        <v>304</v>
      </c>
      <c r="I72" s="13" t="n">
        <f aca="false">IF(ISNUMBER($D72),$D72,"")</f>
        <v>304</v>
      </c>
      <c r="J72" s="13" t="n">
        <f aca="false">IF(ISNUMBER($D72),$D72,"")</f>
        <v>304</v>
      </c>
      <c r="K72" s="13" t="n">
        <f aca="false">IF(ISNUMBER($D72),$D72,"")</f>
        <v>304</v>
      </c>
      <c r="L72" s="13" t="n">
        <f aca="false">IF(ISNUMBER($D72),$D72,"")</f>
        <v>304</v>
      </c>
      <c r="M72" s="13" t="n">
        <f aca="false">IF(ISNUMBER($D72),$D72,"")</f>
        <v>304</v>
      </c>
      <c r="N72" s="13" t="n">
        <f aca="false">IF(ISNUMBER($D72),$D72,"")</f>
        <v>304</v>
      </c>
      <c r="O72" s="5" t="s">
        <v>2136</v>
      </c>
    </row>
    <row r="73" customFormat="false" ht="15" hidden="false" customHeight="true" outlineLevel="0" collapsed="false">
      <c r="A73" s="9" t="s">
        <v>1199</v>
      </c>
      <c r="B73" s="9" t="s">
        <v>1701</v>
      </c>
      <c r="C73" s="9" t="s">
        <v>386</v>
      </c>
      <c r="D73" s="13" t="n">
        <f aca="false">IF(ISNUMBER('05 MATERIAL RATE LIBRARY'!N73),'05 MATERIAL RATE LIBRARY'!N73,"")</f>
        <v>497</v>
      </c>
      <c r="E73" s="13" t="n">
        <f aca="false">IF(ISNUMBER($D73),$D73,"")</f>
        <v>497</v>
      </c>
      <c r="F73" s="13" t="n">
        <f aca="false">IF(ISNUMBER($D73),$D73,"")</f>
        <v>497</v>
      </c>
      <c r="G73" s="13" t="n">
        <f aca="false">IF(ISNUMBER($D73),$D73,"")</f>
        <v>497</v>
      </c>
      <c r="H73" s="13" t="n">
        <f aca="false">IF(ISNUMBER($D73),$D73,"")</f>
        <v>497</v>
      </c>
      <c r="I73" s="13" t="n">
        <f aca="false">IF(ISNUMBER($D73),$D73,"")</f>
        <v>497</v>
      </c>
      <c r="J73" s="13" t="n">
        <f aca="false">IF(ISNUMBER($D73),$D73,"")</f>
        <v>497</v>
      </c>
      <c r="K73" s="13" t="n">
        <f aca="false">IF(ISNUMBER($D73),$D73,"")</f>
        <v>497</v>
      </c>
      <c r="L73" s="13" t="n">
        <f aca="false">IF(ISNUMBER($D73),$D73,"")</f>
        <v>497</v>
      </c>
      <c r="M73" s="13" t="n">
        <f aca="false">IF(ISNUMBER($D73),$D73,"")</f>
        <v>497</v>
      </c>
      <c r="N73" s="13" t="n">
        <f aca="false">IF(ISNUMBER($D73),$D73,"")</f>
        <v>497</v>
      </c>
      <c r="O73" s="5" t="s">
        <v>2136</v>
      </c>
    </row>
    <row r="74" customFormat="false" ht="15" hidden="false" customHeight="true" outlineLevel="0" collapsed="false">
      <c r="A74" s="9" t="s">
        <v>1201</v>
      </c>
      <c r="B74" s="9" t="s">
        <v>1702</v>
      </c>
      <c r="C74" s="9" t="s">
        <v>368</v>
      </c>
      <c r="D74" s="13" t="n">
        <f aca="false">IF(ISNUMBER('05 MATERIAL RATE LIBRARY'!N74),'05 MATERIAL RATE LIBRARY'!N74,"")</f>
        <v>655</v>
      </c>
      <c r="E74" s="13" t="n">
        <f aca="false">IF(ISNUMBER($D74),$D74,"")</f>
        <v>655</v>
      </c>
      <c r="F74" s="13" t="n">
        <f aca="false">IF(ISNUMBER($D74),$D74,"")</f>
        <v>655</v>
      </c>
      <c r="G74" s="13" t="n">
        <f aca="false">IF(ISNUMBER($D74),$D74,"")</f>
        <v>655</v>
      </c>
      <c r="H74" s="13" t="n">
        <f aca="false">IF(ISNUMBER($D74),$D74,"")</f>
        <v>655</v>
      </c>
      <c r="I74" s="13" t="n">
        <f aca="false">IF(ISNUMBER($D74),$D74,"")</f>
        <v>655</v>
      </c>
      <c r="J74" s="13" t="n">
        <f aca="false">IF(ISNUMBER($D74),$D74,"")</f>
        <v>655</v>
      </c>
      <c r="K74" s="13" t="n">
        <f aca="false">IF(ISNUMBER($D74),$D74,"")</f>
        <v>655</v>
      </c>
      <c r="L74" s="13" t="n">
        <f aca="false">IF(ISNUMBER($D74),$D74,"")</f>
        <v>655</v>
      </c>
      <c r="M74" s="13" t="n">
        <f aca="false">IF(ISNUMBER($D74),$D74,"")</f>
        <v>655</v>
      </c>
      <c r="N74" s="13" t="n">
        <f aca="false">IF(ISNUMBER($D74),$D74,"")</f>
        <v>655</v>
      </c>
      <c r="O74" s="5" t="s">
        <v>2136</v>
      </c>
    </row>
    <row r="75" customFormat="false" ht="15" hidden="false" customHeight="true" outlineLevel="0" collapsed="false">
      <c r="A75" s="9" t="s">
        <v>1202</v>
      </c>
      <c r="B75" s="9" t="s">
        <v>1704</v>
      </c>
      <c r="C75" s="9" t="s">
        <v>368</v>
      </c>
      <c r="D75" s="13" t="n">
        <f aca="false">IF(ISNUMBER('05 MATERIAL RATE LIBRARY'!N75),'05 MATERIAL RATE LIBRARY'!N75,"")</f>
        <v>910</v>
      </c>
      <c r="E75" s="13" t="n">
        <f aca="false">IF(ISNUMBER($D75),$D75,"")</f>
        <v>910</v>
      </c>
      <c r="F75" s="13" t="n">
        <f aca="false">IF(ISNUMBER($D75),$D75,"")</f>
        <v>910</v>
      </c>
      <c r="G75" s="13" t="n">
        <f aca="false">IF(ISNUMBER($D75),$D75,"")</f>
        <v>910</v>
      </c>
      <c r="H75" s="13" t="n">
        <f aca="false">IF(ISNUMBER($D75),$D75,"")</f>
        <v>910</v>
      </c>
      <c r="I75" s="13" t="n">
        <f aca="false">IF(ISNUMBER($D75),$D75,"")</f>
        <v>910</v>
      </c>
      <c r="J75" s="13" t="n">
        <f aca="false">IF(ISNUMBER($D75),$D75,"")</f>
        <v>910</v>
      </c>
      <c r="K75" s="13" t="n">
        <f aca="false">IF(ISNUMBER($D75),$D75,"")</f>
        <v>910</v>
      </c>
      <c r="L75" s="13" t="n">
        <f aca="false">IF(ISNUMBER($D75),$D75,"")</f>
        <v>910</v>
      </c>
      <c r="M75" s="13" t="n">
        <f aca="false">IF(ISNUMBER($D75),$D75,"")</f>
        <v>910</v>
      </c>
      <c r="N75" s="13" t="n">
        <f aca="false">IF(ISNUMBER($D75),$D75,"")</f>
        <v>910</v>
      </c>
      <c r="O75" s="5" t="s">
        <v>2136</v>
      </c>
    </row>
    <row r="76" customFormat="false" ht="15" hidden="false" customHeight="true" outlineLevel="0" collapsed="false">
      <c r="A76" s="9" t="s">
        <v>1187</v>
      </c>
      <c r="B76" s="9" t="s">
        <v>1705</v>
      </c>
      <c r="C76" s="9" t="s">
        <v>368</v>
      </c>
      <c r="D76" s="13" t="n">
        <f aca="false">IF(ISNUMBER('05 MATERIAL RATE LIBRARY'!N76),'05 MATERIAL RATE LIBRARY'!N76,"")</f>
        <v>112.67</v>
      </c>
      <c r="E76" s="13" t="n">
        <f aca="false">IF(ISNUMBER($D76),$D76,"")</f>
        <v>112.67</v>
      </c>
      <c r="F76" s="13" t="n">
        <f aca="false">IF(ISNUMBER($D76),$D76,"")</f>
        <v>112.67</v>
      </c>
      <c r="G76" s="13" t="n">
        <f aca="false">IF(ISNUMBER($D76),$D76,"")</f>
        <v>112.67</v>
      </c>
      <c r="H76" s="13" t="n">
        <f aca="false">IF(ISNUMBER($D76),$D76,"")</f>
        <v>112.67</v>
      </c>
      <c r="I76" s="13" t="n">
        <f aca="false">IF(ISNUMBER($D76),$D76,"")</f>
        <v>112.67</v>
      </c>
      <c r="J76" s="13" t="n">
        <f aca="false">IF(ISNUMBER($D76),$D76,"")</f>
        <v>112.67</v>
      </c>
      <c r="K76" s="13" t="n">
        <f aca="false">IF(ISNUMBER($D76),$D76,"")</f>
        <v>112.67</v>
      </c>
      <c r="L76" s="13" t="n">
        <f aca="false">IF(ISNUMBER($D76),$D76,"")</f>
        <v>112.67</v>
      </c>
      <c r="M76" s="13" t="n">
        <f aca="false">IF(ISNUMBER($D76),$D76,"")</f>
        <v>112.67</v>
      </c>
      <c r="N76" s="13" t="n">
        <f aca="false">IF(ISNUMBER($D76),$D76,"")</f>
        <v>112.67</v>
      </c>
      <c r="O76" s="5" t="s">
        <v>2136</v>
      </c>
    </row>
    <row r="77" customFormat="false" ht="15" hidden="false" customHeight="true" outlineLevel="0" collapsed="false">
      <c r="A77" s="9" t="s">
        <v>1190</v>
      </c>
      <c r="B77" s="9" t="s">
        <v>1708</v>
      </c>
      <c r="C77" s="9" t="s">
        <v>198</v>
      </c>
      <c r="D77" s="13" t="n">
        <f aca="false">IF(ISNUMBER('05 MATERIAL RATE LIBRARY'!N77),'05 MATERIAL RATE LIBRARY'!N77,"")</f>
        <v>1700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5" t="s">
        <v>2137</v>
      </c>
    </row>
    <row r="78" customFormat="false" ht="15" hidden="false" customHeight="true" outlineLevel="0" collapsed="false">
      <c r="A78" s="9" t="s">
        <v>1132</v>
      </c>
      <c r="B78" s="9" t="s">
        <v>1712</v>
      </c>
      <c r="C78" s="9" t="s">
        <v>368</v>
      </c>
      <c r="D78" s="13" t="n">
        <f aca="false">IF(ISNUMBER('05 MATERIAL RATE LIBRARY'!N78),'05 MATERIAL RATE LIBRARY'!N78,"")</f>
        <v>123.1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5" t="s">
        <v>2137</v>
      </c>
    </row>
    <row r="79" customFormat="false" ht="15" hidden="false" customHeight="true" outlineLevel="0" collapsed="false">
      <c r="A79" s="9" t="s">
        <v>1243</v>
      </c>
      <c r="B79" s="9" t="s">
        <v>1716</v>
      </c>
      <c r="C79" s="9" t="s">
        <v>386</v>
      </c>
      <c r="D79" s="13" t="n">
        <f aca="false">IF(ISNUMBER('05 MATERIAL RATE LIBRARY'!N79),'05 MATERIAL RATE LIBRARY'!N79,"")</f>
        <v>44</v>
      </c>
      <c r="E79" s="13" t="n">
        <f aca="false">IF(ISNUMBER($D79),$D79,"")</f>
        <v>44</v>
      </c>
      <c r="F79" s="13" t="n">
        <f aca="false">IF(ISNUMBER($D79),$D79,"")</f>
        <v>44</v>
      </c>
      <c r="G79" s="13" t="n">
        <f aca="false">IF(ISNUMBER($D79),$D79,"")</f>
        <v>44</v>
      </c>
      <c r="H79" s="13" t="n">
        <f aca="false">IF(ISNUMBER($D79),$D79,"")</f>
        <v>44</v>
      </c>
      <c r="I79" s="13" t="n">
        <f aca="false">IF(ISNUMBER($D79),$D79,"")</f>
        <v>44</v>
      </c>
      <c r="J79" s="13" t="n">
        <f aca="false">IF(ISNUMBER($D79),$D79,"")</f>
        <v>44</v>
      </c>
      <c r="K79" s="13" t="n">
        <f aca="false">IF(ISNUMBER($D79),$D79,"")</f>
        <v>44</v>
      </c>
      <c r="L79" s="13" t="n">
        <f aca="false">IF(ISNUMBER($D79),$D79,"")</f>
        <v>44</v>
      </c>
      <c r="M79" s="13" t="n">
        <f aca="false">IF(ISNUMBER($D79),$D79,"")</f>
        <v>44</v>
      </c>
      <c r="N79" s="13" t="n">
        <f aca="false">IF(ISNUMBER($D79),$D79,"")</f>
        <v>44</v>
      </c>
      <c r="O79" s="5" t="s">
        <v>2136</v>
      </c>
    </row>
    <row r="80" customFormat="false" ht="15" hidden="false" customHeight="true" outlineLevel="0" collapsed="false">
      <c r="A80" s="9" t="s">
        <v>1252</v>
      </c>
      <c r="B80" s="9" t="s">
        <v>1719</v>
      </c>
      <c r="C80" s="9" t="s">
        <v>386</v>
      </c>
      <c r="D80" s="13" t="n">
        <f aca="false">IF(ISNUMBER('05 MATERIAL RATE LIBRARY'!N80),'05 MATERIAL RATE LIBRARY'!N80,"")</f>
        <v>60.4</v>
      </c>
      <c r="E80" s="13" t="n">
        <f aca="false">IF(ISNUMBER($D80),$D80,"")</f>
        <v>60.4</v>
      </c>
      <c r="F80" s="13" t="n">
        <f aca="false">IF(ISNUMBER($D80),$D80,"")</f>
        <v>60.4</v>
      </c>
      <c r="G80" s="13" t="n">
        <f aca="false">IF(ISNUMBER($D80),$D80,"")</f>
        <v>60.4</v>
      </c>
      <c r="H80" s="13" t="n">
        <f aca="false">IF(ISNUMBER($D80),$D80,"")</f>
        <v>60.4</v>
      </c>
      <c r="I80" s="13" t="n">
        <f aca="false">IF(ISNUMBER($D80),$D80,"")</f>
        <v>60.4</v>
      </c>
      <c r="J80" s="13" t="n">
        <f aca="false">IF(ISNUMBER($D80),$D80,"")</f>
        <v>60.4</v>
      </c>
      <c r="K80" s="13" t="n">
        <f aca="false">IF(ISNUMBER($D80),$D80,"")</f>
        <v>60.4</v>
      </c>
      <c r="L80" s="13" t="n">
        <f aca="false">IF(ISNUMBER($D80),$D80,"")</f>
        <v>60.4</v>
      </c>
      <c r="M80" s="13" t="n">
        <f aca="false">IF(ISNUMBER($D80),$D80,"")</f>
        <v>60.4</v>
      </c>
      <c r="N80" s="13" t="n">
        <f aca="false">IF(ISNUMBER($D80),$D80,"")</f>
        <v>60.4</v>
      </c>
      <c r="O80" s="5" t="s">
        <v>2136</v>
      </c>
    </row>
    <row r="81" customFormat="false" ht="15" hidden="false" customHeight="true" outlineLevel="0" collapsed="false">
      <c r="A81" s="9" t="s">
        <v>1245</v>
      </c>
      <c r="B81" s="9" t="s">
        <v>1721</v>
      </c>
      <c r="C81" s="9" t="s">
        <v>368</v>
      </c>
      <c r="D81" s="13" t="n">
        <f aca="false">IF(ISNUMBER('05 MATERIAL RATE LIBRARY'!N81),'05 MATERIAL RATE LIBRARY'!N81,"")</f>
        <v>10.8</v>
      </c>
      <c r="E81" s="13" t="n">
        <f aca="false">IF(ISNUMBER($D81),$D81,"")</f>
        <v>10.8</v>
      </c>
      <c r="F81" s="13" t="n">
        <f aca="false">IF(ISNUMBER($D81),$D81,"")</f>
        <v>10.8</v>
      </c>
      <c r="G81" s="13" t="n">
        <f aca="false">IF(ISNUMBER($D81),$D81,"")</f>
        <v>10.8</v>
      </c>
      <c r="H81" s="13" t="n">
        <f aca="false">IF(ISNUMBER($D81),$D81,"")</f>
        <v>10.8</v>
      </c>
      <c r="I81" s="13" t="n">
        <f aca="false">IF(ISNUMBER($D81),$D81,"")</f>
        <v>10.8</v>
      </c>
      <c r="J81" s="13" t="n">
        <f aca="false">IF(ISNUMBER($D81),$D81,"")</f>
        <v>10.8</v>
      </c>
      <c r="K81" s="13" t="n">
        <f aca="false">IF(ISNUMBER($D81),$D81,"")</f>
        <v>10.8</v>
      </c>
      <c r="L81" s="13" t="n">
        <f aca="false">IF(ISNUMBER($D81),$D81,"")</f>
        <v>10.8</v>
      </c>
      <c r="M81" s="13" t="n">
        <f aca="false">IF(ISNUMBER($D81),$D81,"")</f>
        <v>10.8</v>
      </c>
      <c r="N81" s="13" t="n">
        <f aca="false">IF(ISNUMBER($D81),$D81,"")</f>
        <v>10.8</v>
      </c>
      <c r="O81" s="5" t="s">
        <v>2136</v>
      </c>
    </row>
    <row r="82" customFormat="false" ht="15" hidden="false" customHeight="true" outlineLevel="0" collapsed="false">
      <c r="A82" s="9" t="s">
        <v>1247</v>
      </c>
      <c r="B82" s="9" t="s">
        <v>1722</v>
      </c>
      <c r="C82" s="9" t="s">
        <v>368</v>
      </c>
      <c r="D82" s="13" t="n">
        <f aca="false">IF(ISNUMBER('05 MATERIAL RATE LIBRARY'!N82),'05 MATERIAL RATE LIBRARY'!N82,"")</f>
        <v>35</v>
      </c>
      <c r="E82" s="13" t="n">
        <f aca="false">IF(ISNUMBER($D82),$D82,"")</f>
        <v>35</v>
      </c>
      <c r="F82" s="13" t="n">
        <f aca="false">IF(ISNUMBER($D82),$D82,"")</f>
        <v>35</v>
      </c>
      <c r="G82" s="13" t="n">
        <f aca="false">IF(ISNUMBER($D82),$D82,"")</f>
        <v>35</v>
      </c>
      <c r="H82" s="13" t="n">
        <f aca="false">IF(ISNUMBER($D82),$D82,"")</f>
        <v>35</v>
      </c>
      <c r="I82" s="13" t="n">
        <f aca="false">IF(ISNUMBER($D82),$D82,"")</f>
        <v>35</v>
      </c>
      <c r="J82" s="13" t="n">
        <f aca="false">IF(ISNUMBER($D82),$D82,"")</f>
        <v>35</v>
      </c>
      <c r="K82" s="13" t="n">
        <f aca="false">IF(ISNUMBER($D82),$D82,"")</f>
        <v>35</v>
      </c>
      <c r="L82" s="13" t="n">
        <f aca="false">IF(ISNUMBER($D82),$D82,"")</f>
        <v>35</v>
      </c>
      <c r="M82" s="13" t="n">
        <f aca="false">IF(ISNUMBER($D82),$D82,"")</f>
        <v>35</v>
      </c>
      <c r="N82" s="13" t="n">
        <f aca="false">IF(ISNUMBER($D82),$D82,"")</f>
        <v>35</v>
      </c>
      <c r="O82" s="5" t="s">
        <v>2136</v>
      </c>
    </row>
    <row r="83" customFormat="false" ht="15" hidden="false" customHeight="true" outlineLevel="0" collapsed="false">
      <c r="A83" s="9" t="s">
        <v>1253</v>
      </c>
      <c r="B83" s="9" t="s">
        <v>1723</v>
      </c>
      <c r="C83" s="9" t="s">
        <v>368</v>
      </c>
      <c r="D83" s="13" t="n">
        <f aca="false">IF(ISNUMBER('05 MATERIAL RATE LIBRARY'!N83),'05 MATERIAL RATE LIBRARY'!N83,"")</f>
        <v>20</v>
      </c>
      <c r="E83" s="13" t="n">
        <f aca="false">IF(ISNUMBER($D83),$D83,"")</f>
        <v>20</v>
      </c>
      <c r="F83" s="13" t="n">
        <f aca="false">IF(ISNUMBER($D83),$D83,"")</f>
        <v>20</v>
      </c>
      <c r="G83" s="13" t="n">
        <f aca="false">IF(ISNUMBER($D83),$D83,"")</f>
        <v>20</v>
      </c>
      <c r="H83" s="13" t="n">
        <f aca="false">IF(ISNUMBER($D83),$D83,"")</f>
        <v>20</v>
      </c>
      <c r="I83" s="13" t="n">
        <f aca="false">IF(ISNUMBER($D83),$D83,"")</f>
        <v>20</v>
      </c>
      <c r="J83" s="13" t="n">
        <f aca="false">IF(ISNUMBER($D83),$D83,"")</f>
        <v>20</v>
      </c>
      <c r="K83" s="13" t="n">
        <f aca="false">IF(ISNUMBER($D83),$D83,"")</f>
        <v>20</v>
      </c>
      <c r="L83" s="13" t="n">
        <f aca="false">IF(ISNUMBER($D83),$D83,"")</f>
        <v>20</v>
      </c>
      <c r="M83" s="13" t="n">
        <f aca="false">IF(ISNUMBER($D83),$D83,"")</f>
        <v>20</v>
      </c>
      <c r="N83" s="13" t="n">
        <f aca="false">IF(ISNUMBER($D83),$D83,"")</f>
        <v>20</v>
      </c>
      <c r="O83" s="5" t="s">
        <v>2136</v>
      </c>
    </row>
    <row r="84" customFormat="false" ht="15" hidden="false" customHeight="true" outlineLevel="0" collapsed="false">
      <c r="A84" s="9" t="s">
        <v>1254</v>
      </c>
      <c r="B84" s="9" t="s">
        <v>1724</v>
      </c>
      <c r="C84" s="9" t="s">
        <v>368</v>
      </c>
      <c r="D84" s="13" t="n">
        <f aca="false">IF(ISNUMBER('05 MATERIAL RATE LIBRARY'!N84),'05 MATERIAL RATE LIBRARY'!N84,"")</f>
        <v>47</v>
      </c>
      <c r="E84" s="13" t="n">
        <f aca="false">IF(ISNUMBER($D84),$D84,"")</f>
        <v>47</v>
      </c>
      <c r="F84" s="13" t="n">
        <f aca="false">IF(ISNUMBER($D84),$D84,"")</f>
        <v>47</v>
      </c>
      <c r="G84" s="13" t="n">
        <f aca="false">IF(ISNUMBER($D84),$D84,"")</f>
        <v>47</v>
      </c>
      <c r="H84" s="13" t="n">
        <f aca="false">IF(ISNUMBER($D84),$D84,"")</f>
        <v>47</v>
      </c>
      <c r="I84" s="13" t="n">
        <f aca="false">IF(ISNUMBER($D84),$D84,"")</f>
        <v>47</v>
      </c>
      <c r="J84" s="13" t="n">
        <f aca="false">IF(ISNUMBER($D84),$D84,"")</f>
        <v>47</v>
      </c>
      <c r="K84" s="13" t="n">
        <f aca="false">IF(ISNUMBER($D84),$D84,"")</f>
        <v>47</v>
      </c>
      <c r="L84" s="13" t="n">
        <f aca="false">IF(ISNUMBER($D84),$D84,"")</f>
        <v>47</v>
      </c>
      <c r="M84" s="13" t="n">
        <f aca="false">IF(ISNUMBER($D84),$D84,"")</f>
        <v>47</v>
      </c>
      <c r="N84" s="13" t="n">
        <f aca="false">IF(ISNUMBER($D84),$D84,"")</f>
        <v>47</v>
      </c>
      <c r="O84" s="5" t="s">
        <v>2136</v>
      </c>
    </row>
    <row r="85" customFormat="false" ht="15" hidden="false" customHeight="true" outlineLevel="0" collapsed="false">
      <c r="A85" s="9" t="s">
        <v>1266</v>
      </c>
      <c r="B85" s="9" t="s">
        <v>1725</v>
      </c>
      <c r="C85" s="9" t="s">
        <v>368</v>
      </c>
      <c r="D85" s="13" t="n">
        <f aca="false">IF(ISNUMBER('05 MATERIAL RATE LIBRARY'!N85),'05 MATERIAL RATE LIBRARY'!N85,"")</f>
        <v>120</v>
      </c>
      <c r="E85" s="13" t="n">
        <f aca="false">IF(ISNUMBER($D85),$D85,"")</f>
        <v>120</v>
      </c>
      <c r="F85" s="13" t="n">
        <f aca="false">IF(ISNUMBER($D85),$D85,"")</f>
        <v>120</v>
      </c>
      <c r="G85" s="13" t="n">
        <f aca="false">IF(ISNUMBER($D85),$D85,"")</f>
        <v>120</v>
      </c>
      <c r="H85" s="13" t="n">
        <f aca="false">IF(ISNUMBER($D85),$D85,"")</f>
        <v>120</v>
      </c>
      <c r="I85" s="13" t="n">
        <f aca="false">IF(ISNUMBER($D85),$D85,"")</f>
        <v>120</v>
      </c>
      <c r="J85" s="13" t="n">
        <f aca="false">IF(ISNUMBER($D85),$D85,"")</f>
        <v>120</v>
      </c>
      <c r="K85" s="13" t="n">
        <f aca="false">IF(ISNUMBER($D85),$D85,"")</f>
        <v>120</v>
      </c>
      <c r="L85" s="13" t="n">
        <f aca="false">IF(ISNUMBER($D85),$D85,"")</f>
        <v>120</v>
      </c>
      <c r="M85" s="13" t="n">
        <f aca="false">IF(ISNUMBER($D85),$D85,"")</f>
        <v>120</v>
      </c>
      <c r="N85" s="13" t="n">
        <f aca="false">IF(ISNUMBER($D85),$D85,"")</f>
        <v>120</v>
      </c>
      <c r="O85" s="5" t="s">
        <v>2136</v>
      </c>
    </row>
    <row r="86" customFormat="false" ht="15" hidden="false" customHeight="true" outlineLevel="0" collapsed="false">
      <c r="A86" s="9" t="s">
        <v>1276</v>
      </c>
      <c r="B86" s="9" t="s">
        <v>1727</v>
      </c>
      <c r="C86" s="9" t="s">
        <v>368</v>
      </c>
      <c r="D86" s="13" t="n">
        <f aca="false">IF(ISNUMBER('05 MATERIAL RATE LIBRARY'!N86),'05 MATERIAL RATE LIBRARY'!N86,"")</f>
        <v>185</v>
      </c>
      <c r="E86" s="13" t="n">
        <f aca="false">IF(ISNUMBER($D86),$D86,"")</f>
        <v>185</v>
      </c>
      <c r="F86" s="13" t="n">
        <f aca="false">IF(ISNUMBER($D86),$D86,"")</f>
        <v>185</v>
      </c>
      <c r="G86" s="13" t="n">
        <f aca="false">IF(ISNUMBER($D86),$D86,"")</f>
        <v>185</v>
      </c>
      <c r="H86" s="13" t="n">
        <f aca="false">IF(ISNUMBER($D86),$D86,"")</f>
        <v>185</v>
      </c>
      <c r="I86" s="13" t="n">
        <f aca="false">IF(ISNUMBER($D86),$D86,"")</f>
        <v>185</v>
      </c>
      <c r="J86" s="13" t="n">
        <f aca="false">IF(ISNUMBER($D86),$D86,"")</f>
        <v>185</v>
      </c>
      <c r="K86" s="13" t="n">
        <f aca="false">IF(ISNUMBER($D86),$D86,"")</f>
        <v>185</v>
      </c>
      <c r="L86" s="13" t="n">
        <f aca="false">IF(ISNUMBER($D86),$D86,"")</f>
        <v>185</v>
      </c>
      <c r="M86" s="13" t="n">
        <f aca="false">IF(ISNUMBER($D86),$D86,"")</f>
        <v>185</v>
      </c>
      <c r="N86" s="13" t="n">
        <f aca="false">IF(ISNUMBER($D86),$D86,"")</f>
        <v>185</v>
      </c>
      <c r="O86" s="5" t="s">
        <v>2136</v>
      </c>
    </row>
    <row r="87" customFormat="false" ht="15" hidden="false" customHeight="true" outlineLevel="0" collapsed="false">
      <c r="A87" s="9" t="s">
        <v>1268</v>
      </c>
      <c r="B87" s="9" t="s">
        <v>1728</v>
      </c>
      <c r="C87" s="9" t="s">
        <v>368</v>
      </c>
      <c r="D87" s="13" t="n">
        <f aca="false">IF(ISNUMBER('05 MATERIAL RATE LIBRARY'!N87),'05 MATERIAL RATE LIBRARY'!N87,"")</f>
        <v>72</v>
      </c>
      <c r="E87" s="13" t="n">
        <f aca="false">IF(ISNUMBER($D87),$D87,"")</f>
        <v>72</v>
      </c>
      <c r="F87" s="13" t="n">
        <f aca="false">IF(ISNUMBER($D87),$D87,"")</f>
        <v>72</v>
      </c>
      <c r="G87" s="13" t="n">
        <f aca="false">IF(ISNUMBER($D87),$D87,"")</f>
        <v>72</v>
      </c>
      <c r="H87" s="13" t="n">
        <f aca="false">IF(ISNUMBER($D87),$D87,"")</f>
        <v>72</v>
      </c>
      <c r="I87" s="13" t="n">
        <f aca="false">IF(ISNUMBER($D87),$D87,"")</f>
        <v>72</v>
      </c>
      <c r="J87" s="13" t="n">
        <f aca="false">IF(ISNUMBER($D87),$D87,"")</f>
        <v>72</v>
      </c>
      <c r="K87" s="13" t="n">
        <f aca="false">IF(ISNUMBER($D87),$D87,"")</f>
        <v>72</v>
      </c>
      <c r="L87" s="13" t="n">
        <f aca="false">IF(ISNUMBER($D87),$D87,"")</f>
        <v>72</v>
      </c>
      <c r="M87" s="13" t="n">
        <f aca="false">IF(ISNUMBER($D87),$D87,"")</f>
        <v>72</v>
      </c>
      <c r="N87" s="13" t="n">
        <f aca="false">IF(ISNUMBER($D87),$D87,"")</f>
        <v>72</v>
      </c>
      <c r="O87" s="5" t="s">
        <v>2136</v>
      </c>
    </row>
    <row r="88" customFormat="false" ht="15" hidden="false" customHeight="true" outlineLevel="0" collapsed="false">
      <c r="A88" s="9" t="s">
        <v>1255</v>
      </c>
      <c r="B88" s="9" t="s">
        <v>1729</v>
      </c>
      <c r="C88" s="9" t="s">
        <v>386</v>
      </c>
      <c r="D88" s="13" t="n">
        <f aca="false">IF(ISNUMBER('05 MATERIAL RATE LIBRARY'!N88),'05 MATERIAL RATE LIBRARY'!N88,"")</f>
        <v>25.56</v>
      </c>
      <c r="E88" s="13" t="n">
        <f aca="false">IF(ISNUMBER($D88),$D88,"")</f>
        <v>25.56</v>
      </c>
      <c r="F88" s="13" t="n">
        <f aca="false">IF(ISNUMBER($D88),$D88,"")</f>
        <v>25.56</v>
      </c>
      <c r="G88" s="13" t="n">
        <f aca="false">IF(ISNUMBER($D88),$D88,"")</f>
        <v>25.56</v>
      </c>
      <c r="H88" s="13" t="n">
        <f aca="false">IF(ISNUMBER($D88),$D88,"")</f>
        <v>25.56</v>
      </c>
      <c r="I88" s="13" t="n">
        <f aca="false">IF(ISNUMBER($D88),$D88,"")</f>
        <v>25.56</v>
      </c>
      <c r="J88" s="13" t="n">
        <f aca="false">IF(ISNUMBER($D88),$D88,"")</f>
        <v>25.56</v>
      </c>
      <c r="K88" s="13" t="n">
        <f aca="false">IF(ISNUMBER($D88),$D88,"")</f>
        <v>25.56</v>
      </c>
      <c r="L88" s="13" t="n">
        <f aca="false">IF(ISNUMBER($D88),$D88,"")</f>
        <v>25.56</v>
      </c>
      <c r="M88" s="13" t="n">
        <f aca="false">IF(ISNUMBER($D88),$D88,"")</f>
        <v>25.56</v>
      </c>
      <c r="N88" s="13" t="n">
        <f aca="false">IF(ISNUMBER($D88),$D88,"")</f>
        <v>25.56</v>
      </c>
      <c r="O88" s="5" t="s">
        <v>2136</v>
      </c>
    </row>
    <row r="89" customFormat="false" ht="15" hidden="false" customHeight="true" outlineLevel="0" collapsed="false">
      <c r="A89" s="9" t="s">
        <v>1259</v>
      </c>
      <c r="B89" s="9" t="s">
        <v>1733</v>
      </c>
      <c r="C89" s="9" t="s">
        <v>386</v>
      </c>
      <c r="D89" s="13" t="n">
        <f aca="false">IF(ISNUMBER('05 MATERIAL RATE LIBRARY'!N89),'05 MATERIAL RATE LIBRARY'!N89,"")</f>
        <v>39.66</v>
      </c>
      <c r="E89" s="13" t="n">
        <f aca="false">IF(ISNUMBER($D89),$D89,"")</f>
        <v>39.66</v>
      </c>
      <c r="F89" s="13" t="n">
        <f aca="false">IF(ISNUMBER($D89),$D89,"")</f>
        <v>39.66</v>
      </c>
      <c r="G89" s="13" t="n">
        <f aca="false">IF(ISNUMBER($D89),$D89,"")</f>
        <v>39.66</v>
      </c>
      <c r="H89" s="13" t="n">
        <f aca="false">IF(ISNUMBER($D89),$D89,"")</f>
        <v>39.66</v>
      </c>
      <c r="I89" s="13" t="n">
        <f aca="false">IF(ISNUMBER($D89),$D89,"")</f>
        <v>39.66</v>
      </c>
      <c r="J89" s="13" t="n">
        <f aca="false">IF(ISNUMBER($D89),$D89,"")</f>
        <v>39.66</v>
      </c>
      <c r="K89" s="13" t="n">
        <f aca="false">IF(ISNUMBER($D89),$D89,"")</f>
        <v>39.66</v>
      </c>
      <c r="L89" s="13" t="n">
        <f aca="false">IF(ISNUMBER($D89),$D89,"")</f>
        <v>39.66</v>
      </c>
      <c r="M89" s="13" t="n">
        <f aca="false">IF(ISNUMBER($D89),$D89,"")</f>
        <v>39.66</v>
      </c>
      <c r="N89" s="13" t="n">
        <f aca="false">IF(ISNUMBER($D89),$D89,"")</f>
        <v>39.66</v>
      </c>
      <c r="O89" s="5" t="s">
        <v>2136</v>
      </c>
    </row>
    <row r="90" customFormat="false" ht="15" hidden="false" customHeight="true" outlineLevel="0" collapsed="false">
      <c r="A90" s="9" t="s">
        <v>1260</v>
      </c>
      <c r="B90" s="9" t="s">
        <v>1736</v>
      </c>
      <c r="C90" s="9" t="s">
        <v>386</v>
      </c>
      <c r="D90" s="13" t="n">
        <f aca="false">IF(ISNUMBER('05 MATERIAL RATE LIBRARY'!N90),'05 MATERIAL RATE LIBRARY'!N90,"")</f>
        <v>63.19</v>
      </c>
      <c r="E90" s="13" t="n">
        <f aca="false">IF(ISNUMBER($D90),$D90,"")</f>
        <v>63.19</v>
      </c>
      <c r="F90" s="13" t="n">
        <f aca="false">IF(ISNUMBER($D90),$D90,"")</f>
        <v>63.19</v>
      </c>
      <c r="G90" s="13" t="n">
        <f aca="false">IF(ISNUMBER($D90),$D90,"")</f>
        <v>63.19</v>
      </c>
      <c r="H90" s="13" t="n">
        <f aca="false">IF(ISNUMBER($D90),$D90,"")</f>
        <v>63.19</v>
      </c>
      <c r="I90" s="13" t="n">
        <f aca="false">IF(ISNUMBER($D90),$D90,"")</f>
        <v>63.19</v>
      </c>
      <c r="J90" s="13" t="n">
        <f aca="false">IF(ISNUMBER($D90),$D90,"")</f>
        <v>63.19</v>
      </c>
      <c r="K90" s="13" t="n">
        <f aca="false">IF(ISNUMBER($D90),$D90,"")</f>
        <v>63.19</v>
      </c>
      <c r="L90" s="13" t="n">
        <f aca="false">IF(ISNUMBER($D90),$D90,"")</f>
        <v>63.19</v>
      </c>
      <c r="M90" s="13" t="n">
        <f aca="false">IF(ISNUMBER($D90),$D90,"")</f>
        <v>63.19</v>
      </c>
      <c r="N90" s="13" t="n">
        <f aca="false">IF(ISNUMBER($D90),$D90,"")</f>
        <v>63.19</v>
      </c>
      <c r="O90" s="5" t="s">
        <v>2136</v>
      </c>
    </row>
    <row r="91" customFormat="false" ht="15" hidden="false" customHeight="true" outlineLevel="0" collapsed="false">
      <c r="A91" s="9" t="s">
        <v>1264</v>
      </c>
      <c r="B91" s="9" t="s">
        <v>1737</v>
      </c>
      <c r="C91" s="9" t="s">
        <v>368</v>
      </c>
      <c r="D91" s="13" t="n">
        <f aca="false">IF(ISNUMBER('05 MATERIAL RATE LIBRARY'!N91),'05 MATERIAL RATE LIBRARY'!N91,"")</f>
        <v>336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5" t="s">
        <v>2137</v>
      </c>
    </row>
    <row r="92" customFormat="false" ht="15" hidden="false" customHeight="true" outlineLevel="0" collapsed="false">
      <c r="A92" s="9" t="s">
        <v>1274</v>
      </c>
      <c r="B92" s="9" t="s">
        <v>1740</v>
      </c>
      <c r="C92" s="9" t="s">
        <v>368</v>
      </c>
      <c r="D92" s="13" t="n">
        <f aca="false">IF(ISNUMBER('05 MATERIAL RATE LIBRARY'!N92),'05 MATERIAL RATE LIBRARY'!N92,"")</f>
        <v>891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5" t="s">
        <v>2137</v>
      </c>
    </row>
    <row r="93" customFormat="false" ht="15" hidden="false" customHeight="true" outlineLevel="0" collapsed="false">
      <c r="A93" s="9" t="s">
        <v>1289</v>
      </c>
      <c r="B93" s="9" t="s">
        <v>1743</v>
      </c>
      <c r="C93" s="9" t="s">
        <v>386</v>
      </c>
      <c r="D93" s="13" t="n">
        <f aca="false">IF(ISNUMBER('05 MATERIAL RATE LIBRARY'!N93),'05 MATERIAL RATE LIBRARY'!N93,"")</f>
        <v>56.41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5" t="s">
        <v>2137</v>
      </c>
    </row>
    <row r="94" customFormat="false" ht="15" hidden="false" customHeight="true" outlineLevel="0" collapsed="false">
      <c r="A94" s="9" t="s">
        <v>1295</v>
      </c>
      <c r="B94" s="9" t="s">
        <v>1747</v>
      </c>
      <c r="C94" s="9" t="s">
        <v>386</v>
      </c>
      <c r="D94" s="13" t="n">
        <f aca="false">IF(ISNUMBER('05 MATERIAL RATE LIBRARY'!N94),'05 MATERIAL RATE LIBRARY'!N94,"")</f>
        <v>131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5" t="s">
        <v>2137</v>
      </c>
    </row>
    <row r="95" customFormat="false" ht="15" hidden="false" customHeight="true" outlineLevel="0" collapsed="false">
      <c r="A95" s="9" t="s">
        <v>1024</v>
      </c>
      <c r="B95" s="9" t="s">
        <v>1751</v>
      </c>
      <c r="C95" s="9" t="s">
        <v>109</v>
      </c>
      <c r="D95" s="13" t="n">
        <f aca="false">IF(ISNUMBER('05 MATERIAL RATE LIBRARY'!N95),'05 MATERIAL RATE LIBRARY'!N95,"")</f>
        <v>52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5" t="s">
        <v>2137</v>
      </c>
    </row>
    <row r="96" customFormat="false" ht="15" hidden="false" customHeight="true" outlineLevel="0" collapsed="false">
      <c r="A96" s="9" t="s">
        <v>1093</v>
      </c>
      <c r="B96" s="9" t="s">
        <v>1755</v>
      </c>
      <c r="C96" s="9" t="s">
        <v>212</v>
      </c>
      <c r="D96" s="13" t="n">
        <f aca="false">IF(ISNUMBER('05 MATERIAL RATE LIBRARY'!N96),'05 MATERIAL RATE LIBRARY'!N96,"")</f>
        <v>150</v>
      </c>
      <c r="E96" s="13" t="n">
        <f aca="false">IF(ISNUMBER($D96),$D96,"")</f>
        <v>150</v>
      </c>
      <c r="F96" s="13" t="n">
        <f aca="false">IF(ISNUMBER($D96),$D96,"")</f>
        <v>150</v>
      </c>
      <c r="G96" s="13" t="n">
        <f aca="false">IF(ISNUMBER($D96),$D96,"")</f>
        <v>150</v>
      </c>
      <c r="H96" s="13" t="n">
        <f aca="false">IF(ISNUMBER($D96),$D96,"")</f>
        <v>150</v>
      </c>
      <c r="I96" s="13" t="n">
        <f aca="false">IF(ISNUMBER($D96),$D96,"")</f>
        <v>150</v>
      </c>
      <c r="J96" s="13" t="n">
        <f aca="false">IF(ISNUMBER($D96),$D96,"")</f>
        <v>150</v>
      </c>
      <c r="K96" s="13" t="n">
        <f aca="false">IF(ISNUMBER($D96),$D96,"")</f>
        <v>150</v>
      </c>
      <c r="L96" s="13" t="n">
        <f aca="false">IF(ISNUMBER($D96),$D96,"")</f>
        <v>150</v>
      </c>
      <c r="M96" s="13" t="n">
        <f aca="false">IF(ISNUMBER($D96),$D96,"")</f>
        <v>150</v>
      </c>
      <c r="N96" s="13" t="n">
        <f aca="false">IF(ISNUMBER($D96),$D96,"")</f>
        <v>150</v>
      </c>
      <c r="O96" s="5" t="s">
        <v>2136</v>
      </c>
    </row>
    <row r="97" customFormat="false" ht="15" hidden="false" customHeight="true" outlineLevel="0" collapsed="false">
      <c r="A97" s="9" t="s">
        <v>1029</v>
      </c>
      <c r="B97" s="9" t="s">
        <v>1758</v>
      </c>
      <c r="C97" s="9" t="s">
        <v>811</v>
      </c>
      <c r="D97" s="13" t="n">
        <f aca="false">IF(ISNUMBER('05 MATERIAL RATE LIBRARY'!N97),'05 MATERIAL RATE LIBRARY'!N97,"")</f>
        <v>1500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5" t="s">
        <v>2137</v>
      </c>
    </row>
    <row r="98" customFormat="false" ht="15" hidden="false" customHeight="true" outlineLevel="0" collapsed="false">
      <c r="A98" s="9" t="s">
        <v>1106</v>
      </c>
      <c r="B98" s="9" t="s">
        <v>1762</v>
      </c>
      <c r="C98" s="9" t="s">
        <v>109</v>
      </c>
      <c r="D98" s="13" t="n">
        <f aca="false">IF(ISNUMBER('05 MATERIAL RATE LIBRARY'!N98),'05 MATERIAL RATE LIBRARY'!N98,"")</f>
        <v>100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5" t="s">
        <v>2137</v>
      </c>
    </row>
    <row r="99" customFormat="false" ht="15" hidden="false" customHeight="true" outlineLevel="0" collapsed="false">
      <c r="A99" s="9" t="s">
        <v>1111</v>
      </c>
      <c r="B99" s="9" t="s">
        <v>1767</v>
      </c>
      <c r="C99" s="9" t="s">
        <v>212</v>
      </c>
      <c r="D99" s="13" t="n">
        <f aca="false">IF(ISNUMBER('05 MATERIAL RATE LIBRARY'!N99),'05 MATERIAL RATE LIBRARY'!N99,"")</f>
        <v>142.31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5" t="s">
        <v>2137</v>
      </c>
    </row>
    <row r="100" customFormat="false" ht="15" hidden="false" customHeight="true" outlineLevel="0" collapsed="false">
      <c r="A100" s="9" t="s">
        <v>1099</v>
      </c>
      <c r="B100" s="9" t="s">
        <v>1772</v>
      </c>
      <c r="C100" s="9" t="s">
        <v>386</v>
      </c>
      <c r="D100" s="13" t="n">
        <f aca="false">IF(ISNUMBER('05 MATERIAL RATE LIBRARY'!N100),'05 MATERIAL RATE LIBRARY'!N100,"")</f>
        <v>468.5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5" t="s">
        <v>2137</v>
      </c>
    </row>
    <row r="101" customFormat="false" ht="15" hidden="false" customHeight="true" outlineLevel="0" collapsed="false">
      <c r="A101" s="9" t="s">
        <v>1117</v>
      </c>
      <c r="B101" s="9" t="s">
        <v>1775</v>
      </c>
      <c r="C101" s="9" t="s">
        <v>368</v>
      </c>
      <c r="D101" s="13" t="n">
        <f aca="false">IF(ISNUMBER('05 MATERIAL RATE LIBRARY'!N101),'05 MATERIAL RATE LIBRARY'!N101,"")</f>
        <v>6089.85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5" t="s">
        <v>2137</v>
      </c>
    </row>
    <row r="102" customFormat="false" ht="15" hidden="false" customHeight="true" outlineLevel="0" collapsed="false">
      <c r="A102" s="9" t="s">
        <v>1121</v>
      </c>
      <c r="B102" s="9" t="s">
        <v>1780</v>
      </c>
      <c r="C102" s="9" t="s">
        <v>212</v>
      </c>
      <c r="D102" s="13" t="n">
        <f aca="false">IF(ISNUMBER('05 MATERIAL RATE LIBRARY'!N102),'05 MATERIAL RATE LIBRARY'!N102,"")</f>
        <v>9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5" t="s">
        <v>2137</v>
      </c>
    </row>
    <row r="103" customFormat="false" ht="15" hidden="false" customHeight="true" outlineLevel="0" collapsed="false">
      <c r="A103" s="9" t="s">
        <v>1033</v>
      </c>
      <c r="B103" s="9" t="s">
        <v>1783</v>
      </c>
      <c r="C103" s="9" t="s">
        <v>212</v>
      </c>
      <c r="D103" s="13" t="n">
        <f aca="false">IF(ISNUMBER('05 MATERIAL RATE LIBRARY'!N103),'05 MATERIAL RATE LIBRARY'!N103,"")</f>
        <v>568.55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5" t="s">
        <v>2137</v>
      </c>
    </row>
    <row r="104" customFormat="false" ht="15" hidden="false" customHeight="true" outlineLevel="0" collapsed="false">
      <c r="A104" s="9" t="s">
        <v>1035</v>
      </c>
      <c r="B104" s="9" t="s">
        <v>1786</v>
      </c>
      <c r="C104" s="9" t="s">
        <v>109</v>
      </c>
      <c r="D104" s="13" t="n">
        <f aca="false">IF(ISNUMBER('05 MATERIAL RATE LIBRARY'!N104),'05 MATERIAL RATE LIBRARY'!N104,"")</f>
        <v>10304.2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5" t="s">
        <v>2137</v>
      </c>
    </row>
    <row r="105" customFormat="false" ht="15" hidden="false" customHeight="true" outlineLevel="0" collapsed="false">
      <c r="A105" s="9" t="s">
        <v>1037</v>
      </c>
      <c r="B105" s="9" t="s">
        <v>1789</v>
      </c>
      <c r="C105" s="9" t="s">
        <v>368</v>
      </c>
      <c r="D105" s="13" t="n">
        <f aca="false">IF(ISNUMBER('05 MATERIAL RATE LIBRARY'!N105),'05 MATERIAL RATE LIBRARY'!N105,"")</f>
        <v>974.4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5" t="s">
        <v>2137</v>
      </c>
    </row>
    <row r="106" customFormat="false" ht="15" hidden="false" customHeight="true" outlineLevel="0" collapsed="false">
      <c r="A106" s="9" t="s">
        <v>1039</v>
      </c>
      <c r="B106" s="9" t="s">
        <v>1791</v>
      </c>
      <c r="C106" s="9" t="s">
        <v>368</v>
      </c>
      <c r="D106" s="13" t="n">
        <f aca="false">IF(ISNUMBER('05 MATERIAL RATE LIBRARY'!N106),'05 MATERIAL RATE LIBRARY'!N106,"")</f>
        <v>2742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5" t="s">
        <v>2137</v>
      </c>
    </row>
    <row r="107" customFormat="false" ht="15" hidden="false" customHeight="true" outlineLevel="0" collapsed="false">
      <c r="A107" s="9" t="s">
        <v>1041</v>
      </c>
      <c r="B107" s="9" t="s">
        <v>1794</v>
      </c>
      <c r="C107" s="9" t="s">
        <v>368</v>
      </c>
      <c r="D107" s="13" t="n">
        <f aca="false">IF(ISNUMBER('05 MATERIAL RATE LIBRARY'!N107),'05 MATERIAL RATE LIBRARY'!N107,"")</f>
        <v>900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5" t="s">
        <v>2137</v>
      </c>
    </row>
    <row r="108" customFormat="false" ht="15" hidden="false" customHeight="true" outlineLevel="0" collapsed="false">
      <c r="A108" s="9" t="s">
        <v>1043</v>
      </c>
      <c r="B108" s="9" t="s">
        <v>1796</v>
      </c>
      <c r="C108" s="9" t="s">
        <v>212</v>
      </c>
      <c r="D108" s="13" t="n">
        <f aca="false">IF(ISNUMBER('05 MATERIAL RATE LIBRARY'!N108),'05 MATERIAL RATE LIBRARY'!N108,"")</f>
        <v>120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5" t="s">
        <v>2137</v>
      </c>
    </row>
    <row r="109" customFormat="false" ht="15" hidden="false" customHeight="true" outlineLevel="0" collapsed="false">
      <c r="A109" s="9" t="s">
        <v>1049</v>
      </c>
      <c r="B109" s="9" t="s">
        <v>1799</v>
      </c>
      <c r="C109" s="9" t="s">
        <v>368</v>
      </c>
      <c r="D109" s="13" t="n">
        <f aca="false">IF(ISNUMBER('05 MATERIAL RATE LIBRARY'!N109),'05 MATERIAL RATE LIBRARY'!N109,"")</f>
        <v>59000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5" t="s">
        <v>2137</v>
      </c>
    </row>
    <row r="110" customFormat="false" ht="15" hidden="false" customHeight="true" outlineLevel="0" collapsed="false">
      <c r="A110" s="9" t="s">
        <v>1053</v>
      </c>
      <c r="B110" s="9" t="s">
        <v>1802</v>
      </c>
      <c r="C110" s="9" t="s">
        <v>212</v>
      </c>
      <c r="D110" s="13" t="n">
        <f aca="false">IF(ISNUMBER('05 MATERIAL RATE LIBRARY'!N110),'05 MATERIAL RATE LIBRARY'!N110,"")</f>
        <v>1400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5" t="s">
        <v>2137</v>
      </c>
    </row>
    <row r="111" customFormat="false" ht="15" hidden="false" customHeight="true" outlineLevel="0" collapsed="false">
      <c r="A111" s="9" t="s">
        <v>1060</v>
      </c>
      <c r="B111" s="9" t="s">
        <v>1805</v>
      </c>
      <c r="C111" s="9" t="s">
        <v>212</v>
      </c>
      <c r="D111" s="13" t="n">
        <f aca="false">IF(ISNUMBER('05 MATERIAL RATE LIBRARY'!N111),'05 MATERIAL RATE LIBRARY'!N111,"")</f>
        <v>2850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5" t="s">
        <v>2137</v>
      </c>
    </row>
    <row r="112" customFormat="false" ht="15" hidden="false" customHeight="true" outlineLevel="0" collapsed="false">
      <c r="A112" s="9" t="s">
        <v>1055</v>
      </c>
      <c r="B112" s="9" t="s">
        <v>1808</v>
      </c>
      <c r="C112" s="9" t="s">
        <v>368</v>
      </c>
      <c r="D112" s="13" t="n">
        <f aca="false">IF(ISNUMBER('05 MATERIAL RATE LIBRARY'!N112),'05 MATERIAL RATE LIBRARY'!N112,"")</f>
        <v>445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5" t="s">
        <v>2137</v>
      </c>
    </row>
    <row r="113" customFormat="false" ht="15" hidden="false" customHeight="true" outlineLevel="0" collapsed="false">
      <c r="A113" s="9" t="s">
        <v>1062</v>
      </c>
      <c r="B113" s="9" t="s">
        <v>1812</v>
      </c>
      <c r="C113" s="9" t="s">
        <v>900</v>
      </c>
      <c r="D113" s="13" t="n">
        <f aca="false">IF(ISNUMBER('05 MATERIAL RATE LIBRARY'!N113),'05 MATERIAL RATE LIBRARY'!N113,"")</f>
        <v>11000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5" t="s">
        <v>2137</v>
      </c>
    </row>
    <row r="114" customFormat="false" ht="15" hidden="false" customHeight="true" outlineLevel="0" collapsed="false">
      <c r="A114" s="9" t="s">
        <v>1064</v>
      </c>
      <c r="B114" s="9" t="s">
        <v>1815</v>
      </c>
      <c r="C114" s="9" t="s">
        <v>1066</v>
      </c>
      <c r="D114" s="13" t="n">
        <f aca="false">IF(ISNUMBER('05 MATERIAL RATE LIBRARY'!N114),'05 MATERIAL RATE LIBRARY'!N114,"")</f>
        <v>546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5" t="s">
        <v>2137</v>
      </c>
    </row>
    <row r="115" customFormat="false" ht="15" hidden="false" customHeight="true" outlineLevel="0" collapsed="false">
      <c r="A115" s="9" t="s">
        <v>1070</v>
      </c>
      <c r="B115" s="9" t="s">
        <v>1818</v>
      </c>
      <c r="C115" s="9" t="s">
        <v>212</v>
      </c>
      <c r="D115" s="13" t="n">
        <f aca="false">IF(ISNUMBER('05 MATERIAL RATE LIBRARY'!N115),'05 MATERIAL RATE LIBRARY'!N115,"")</f>
        <v>4500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5" t="s">
        <v>2137</v>
      </c>
    </row>
    <row r="116" customFormat="false" ht="15" hidden="false" customHeight="true" outlineLevel="0" collapsed="false">
      <c r="A116" s="9" t="s">
        <v>1076</v>
      </c>
      <c r="B116" s="9" t="s">
        <v>1821</v>
      </c>
      <c r="C116" s="9" t="s">
        <v>212</v>
      </c>
      <c r="D116" s="13" t="n">
        <f aca="false">IF(ISNUMBER('05 MATERIAL RATE LIBRARY'!N116),'05 MATERIAL RATE LIBRARY'!N116,"")</f>
        <v>500</v>
      </c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5" t="s">
        <v>2137</v>
      </c>
    </row>
    <row r="117" customFormat="false" ht="15" hidden="false" customHeight="true" outlineLevel="0" collapsed="false">
      <c r="A117" s="9" t="s">
        <v>1078</v>
      </c>
      <c r="B117" s="9" t="s">
        <v>1824</v>
      </c>
      <c r="C117" s="9" t="s">
        <v>198</v>
      </c>
      <c r="D117" s="13" t="n">
        <f aca="false">IF(ISNUMBER('05 MATERIAL RATE LIBRARY'!N117),'05 MATERIAL RATE LIBRARY'!N117,"")</f>
        <v>1300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5" t="s">
        <v>2137</v>
      </c>
    </row>
    <row r="118" customFormat="false" ht="15" hidden="false" customHeight="true" outlineLevel="0" collapsed="false">
      <c r="A118" s="9" t="s">
        <v>1080</v>
      </c>
      <c r="B118" s="9" t="s">
        <v>1826</v>
      </c>
      <c r="C118" s="9" t="s">
        <v>368</v>
      </c>
      <c r="D118" s="13" t="n">
        <f aca="false">IF(ISNUMBER('05 MATERIAL RATE LIBRARY'!N118),'05 MATERIAL RATE LIBRARY'!N118,"")</f>
        <v>350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5" t="s">
        <v>2137</v>
      </c>
    </row>
    <row r="119" customFormat="false" ht="15" hidden="false" customHeight="true" outlineLevel="0" collapsed="false">
      <c r="A119" s="9" t="s">
        <v>1086</v>
      </c>
      <c r="B119" s="9" t="s">
        <v>1829</v>
      </c>
      <c r="C119" s="9" t="s">
        <v>212</v>
      </c>
      <c r="D119" s="13" t="n">
        <f aca="false">IF(ISNUMBER('05 MATERIAL RATE LIBRARY'!N119),'05 MATERIAL RATE LIBRARY'!N119,"")</f>
        <v>1055.2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5" t="s">
        <v>2137</v>
      </c>
    </row>
    <row r="120" customFormat="false" ht="15" hidden="false" customHeight="true" outlineLevel="0" collapsed="false">
      <c r="A120" s="9" t="s">
        <v>1088</v>
      </c>
      <c r="B120" s="9" t="s">
        <v>1832</v>
      </c>
      <c r="C120" s="9" t="s">
        <v>368</v>
      </c>
      <c r="D120" s="13" t="n">
        <f aca="false">IF(ISNUMBER('05 MATERIAL RATE LIBRARY'!N120),'05 MATERIAL RATE LIBRARY'!N120,"")</f>
        <v>450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5" t="s">
        <v>2137</v>
      </c>
    </row>
    <row r="121" customFormat="false" ht="15" hidden="false" customHeight="true" outlineLevel="0" collapsed="false">
      <c r="A121" s="9" t="s">
        <v>1072</v>
      </c>
      <c r="B121" s="9" t="s">
        <v>1834</v>
      </c>
      <c r="C121" s="9" t="s">
        <v>386</v>
      </c>
      <c r="D121" s="13" t="n">
        <f aca="false">IF(ISNUMBER('05 MATERIAL RATE LIBRARY'!N121),'05 MATERIAL RATE LIBRARY'!N121,"")</f>
        <v>350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5" t="s">
        <v>2137</v>
      </c>
    </row>
    <row r="122" customFormat="false" ht="15" hidden="false" customHeight="true" outlineLevel="0" collapsed="false">
      <c r="A122" s="9" t="s">
        <v>1205</v>
      </c>
      <c r="B122" s="9" t="s">
        <v>1836</v>
      </c>
      <c r="C122" s="9" t="s">
        <v>368</v>
      </c>
      <c r="D122" s="13" t="n">
        <f aca="false">IF(ISNUMBER('05 MATERIAL RATE LIBRARY'!N122),'05 MATERIAL RATE LIBRARY'!N122,"")</f>
        <v>29916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5" t="s">
        <v>2137</v>
      </c>
    </row>
    <row r="123" customFormat="false" ht="15" hidden="false" customHeight="true" outlineLevel="0" collapsed="false">
      <c r="A123" s="9" t="s">
        <v>1211</v>
      </c>
      <c r="B123" s="9" t="s">
        <v>1838</v>
      </c>
      <c r="C123" s="9" t="s">
        <v>368</v>
      </c>
      <c r="D123" s="13" t="n">
        <f aca="false">IF(ISNUMBER('05 MATERIAL RATE LIBRARY'!N123),'05 MATERIAL RATE LIBRARY'!N123,"")</f>
        <v>14384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5" t="s">
        <v>2137</v>
      </c>
    </row>
    <row r="124" customFormat="false" ht="15" hidden="false" customHeight="true" outlineLevel="0" collapsed="false">
      <c r="A124" s="9" t="s">
        <v>1207</v>
      </c>
      <c r="B124" s="9" t="s">
        <v>1840</v>
      </c>
      <c r="C124" s="9" t="s">
        <v>1066</v>
      </c>
      <c r="D124" s="13" t="n">
        <f aca="false">IF(ISNUMBER('05 MATERIAL RATE LIBRARY'!N124),'05 MATERIAL RATE LIBRARY'!N124,"")</f>
        <v>1980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5" t="s">
        <v>2137</v>
      </c>
    </row>
    <row r="125" customFormat="false" ht="15" hidden="false" customHeight="true" outlineLevel="0" collapsed="false">
      <c r="A125" s="9" t="s">
        <v>1215</v>
      </c>
      <c r="B125" s="9" t="s">
        <v>1842</v>
      </c>
      <c r="C125" s="9" t="s">
        <v>386</v>
      </c>
      <c r="D125" s="13" t="n">
        <f aca="false">IF(ISNUMBER('05 MATERIAL RATE LIBRARY'!N125),'05 MATERIAL RATE LIBRARY'!N125,"")</f>
        <v>309.6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5" t="s">
        <v>2137</v>
      </c>
    </row>
    <row r="126" customFormat="false" ht="15" hidden="false" customHeight="true" outlineLevel="0" collapsed="false">
      <c r="A126" s="9" t="s">
        <v>1225</v>
      </c>
      <c r="B126" s="9" t="s">
        <v>1846</v>
      </c>
      <c r="C126" s="9" t="s">
        <v>386</v>
      </c>
      <c r="D126" s="13" t="n">
        <f aca="false">IF(ISNUMBER('05 MATERIAL RATE LIBRARY'!N126),'05 MATERIAL RATE LIBRARY'!N126,"")</f>
        <v>651.92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5" t="s">
        <v>2137</v>
      </c>
    </row>
    <row r="127" customFormat="false" ht="15" hidden="false" customHeight="true" outlineLevel="0" collapsed="false">
      <c r="A127" s="9" t="s">
        <v>1230</v>
      </c>
      <c r="B127" s="9" t="s">
        <v>1848</v>
      </c>
      <c r="C127" s="9" t="s">
        <v>386</v>
      </c>
      <c r="D127" s="13" t="n">
        <f aca="false">IF(ISNUMBER('05 MATERIAL RATE LIBRARY'!N127),'05 MATERIAL RATE LIBRARY'!N127,"")</f>
        <v>1878.66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5" t="s">
        <v>2137</v>
      </c>
    </row>
    <row r="128" customFormat="false" ht="15" hidden="false" customHeight="true" outlineLevel="0" collapsed="false">
      <c r="A128" s="9" t="s">
        <v>1850</v>
      </c>
      <c r="B128" s="9" t="s">
        <v>1851</v>
      </c>
      <c r="C128" s="9" t="s">
        <v>386</v>
      </c>
      <c r="D128" s="13" t="n">
        <f aca="false">IF(ISNUMBER('05 MATERIAL RATE LIBRARY'!N128),'05 MATERIAL RATE LIBRARY'!N128,"")</f>
        <v>0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5" t="s">
        <v>2137</v>
      </c>
    </row>
    <row r="129" customFormat="false" ht="15" hidden="false" customHeight="true" outlineLevel="0" collapsed="false">
      <c r="A129" s="9" t="s">
        <v>1220</v>
      </c>
      <c r="B129" s="9" t="s">
        <v>1854</v>
      </c>
      <c r="C129" s="9" t="s">
        <v>386</v>
      </c>
      <c r="D129" s="13" t="n">
        <f aca="false">IF(ISNUMBER('05 MATERIAL RATE LIBRARY'!N129),'05 MATERIAL RATE LIBRARY'!N129,"")</f>
        <v>14.57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5" t="s">
        <v>2137</v>
      </c>
    </row>
    <row r="130" customFormat="false" ht="15" hidden="false" customHeight="true" outlineLevel="0" collapsed="false">
      <c r="A130" s="9" t="s">
        <v>1235</v>
      </c>
      <c r="B130" s="9" t="s">
        <v>1857</v>
      </c>
      <c r="C130" s="9" t="s">
        <v>368</v>
      </c>
      <c r="D130" s="13" t="n">
        <f aca="false">IF(ISNUMBER('05 MATERIAL RATE LIBRARY'!N130),'05 MATERIAL RATE LIBRARY'!N130,"")</f>
        <v>1935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5" t="s">
        <v>2137</v>
      </c>
    </row>
    <row r="131" customFormat="false" ht="15" hidden="false" customHeight="true" outlineLevel="0" collapsed="false">
      <c r="A131" s="9" t="s">
        <v>1240</v>
      </c>
      <c r="B131" s="9" t="s">
        <v>1861</v>
      </c>
      <c r="C131" s="9" t="s">
        <v>368</v>
      </c>
      <c r="D131" s="13" t="n">
        <f aca="false">IF(ISNUMBER('05 MATERIAL RATE LIBRARY'!N131),'05 MATERIAL RATE LIBRARY'!N131,"")</f>
        <v>103085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5" t="s">
        <v>2137</v>
      </c>
    </row>
    <row r="132" customFormat="false" ht="15" hidden="false" customHeight="true" outlineLevel="0" collapsed="false">
      <c r="A132" s="9" t="s">
        <v>1280</v>
      </c>
      <c r="B132" s="9" t="s">
        <v>1864</v>
      </c>
      <c r="C132" s="9" t="s">
        <v>1066</v>
      </c>
      <c r="D132" s="13" t="n">
        <f aca="false">IF(ISNUMBER('05 MATERIAL RATE LIBRARY'!N132),'05 MATERIAL RATE LIBRARY'!N132,"")</f>
        <v>43731.2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5" t="s">
        <v>2137</v>
      </c>
    </row>
    <row r="133" customFormat="false" ht="15" hidden="false" customHeight="true" outlineLevel="0" collapsed="false">
      <c r="A133" s="9" t="s">
        <v>1284</v>
      </c>
      <c r="B133" s="9" t="s">
        <v>1866</v>
      </c>
      <c r="C133" s="9" t="s">
        <v>368</v>
      </c>
      <c r="D133" s="13" t="n">
        <f aca="false">IF(ISNUMBER('05 MATERIAL RATE LIBRARY'!N133),'05 MATERIAL RATE LIBRARY'!N133,"")</f>
        <v>59777.62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5" t="s">
        <v>2137</v>
      </c>
    </row>
    <row r="134" customFormat="false" ht="15" hidden="false" customHeight="true" outlineLevel="0" collapsed="false">
      <c r="A134" s="9" t="s">
        <v>1287</v>
      </c>
      <c r="B134" s="9" t="s">
        <v>1869</v>
      </c>
      <c r="C134" s="9" t="s">
        <v>368</v>
      </c>
      <c r="D134" s="13" t="n">
        <f aca="false">IF(ISNUMBER('05 MATERIAL RATE LIBRARY'!N134),'05 MATERIAL RATE LIBRARY'!N134,"")</f>
        <v>9200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5" t="s">
        <v>2137</v>
      </c>
    </row>
    <row r="135" customFormat="false" ht="15" hidden="false" customHeight="true" outlineLevel="0" collapsed="false">
      <c r="A135" s="9" t="s">
        <v>1293</v>
      </c>
      <c r="B135" s="9" t="s">
        <v>1872</v>
      </c>
      <c r="C135" s="9" t="s">
        <v>368</v>
      </c>
      <c r="D135" s="13" t="n">
        <f aca="false">IF(ISNUMBER('05 MATERIAL RATE LIBRARY'!N135),'05 MATERIAL RATE LIBRARY'!N135,"")</f>
        <v>7740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5" t="s">
        <v>2137</v>
      </c>
    </row>
    <row r="136" customFormat="false" ht="15" hidden="false" customHeight="true" outlineLevel="0" collapsed="false">
      <c r="A136" s="9" t="s">
        <v>1298</v>
      </c>
      <c r="B136" s="9" t="s">
        <v>1875</v>
      </c>
      <c r="C136" s="9" t="s">
        <v>198</v>
      </c>
      <c r="D136" s="13" t="n">
        <f aca="false">IF(ISNUMBER('05 MATERIAL RATE LIBRARY'!N136),'05 MATERIAL RATE LIBRARY'!N136,"")</f>
        <v>345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5" t="s">
        <v>2137</v>
      </c>
    </row>
    <row r="137" customFormat="false" ht="15" hidden="false" customHeight="true" outlineLevel="0" collapsed="false">
      <c r="A137" s="9" t="s">
        <v>1305</v>
      </c>
      <c r="B137" s="9" t="s">
        <v>1878</v>
      </c>
      <c r="C137" s="9" t="s">
        <v>212</v>
      </c>
      <c r="D137" s="13" t="n">
        <f aca="false">IF(ISNUMBER('05 MATERIAL RATE LIBRARY'!N137),'05 MATERIAL RATE LIBRARY'!N137,"")</f>
        <v>327.9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5" t="s">
        <v>2137</v>
      </c>
    </row>
    <row r="138" customFormat="false" ht="15" hidden="false" customHeight="true" outlineLevel="0" collapsed="false">
      <c r="A138" s="9" t="s">
        <v>1300</v>
      </c>
      <c r="B138" s="9" t="s">
        <v>1880</v>
      </c>
      <c r="C138" s="9" t="s">
        <v>368</v>
      </c>
      <c r="D138" s="13" t="n">
        <f aca="false">IF(ISNUMBER('05 MATERIAL RATE LIBRARY'!N138),'05 MATERIAL RATE LIBRARY'!N138,"")</f>
        <v>217.76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5" t="s">
        <v>2137</v>
      </c>
    </row>
    <row r="139" customFormat="false" ht="15" hidden="false" customHeight="true" outlineLevel="0" collapsed="false">
      <c r="A139" s="9" t="s">
        <v>1309</v>
      </c>
      <c r="B139" s="9" t="s">
        <v>1882</v>
      </c>
      <c r="C139" s="9" t="s">
        <v>368</v>
      </c>
      <c r="D139" s="13" t="n">
        <f aca="false">IF(ISNUMBER('05 MATERIAL RATE LIBRARY'!N139),'05 MATERIAL RATE LIBRARY'!N139,"")</f>
        <v>126000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5" t="s">
        <v>2137</v>
      </c>
    </row>
    <row r="140" customFormat="false" ht="15" hidden="false" customHeight="true" outlineLevel="0" collapsed="false">
      <c r="A140" s="9" t="s">
        <v>1311</v>
      </c>
      <c r="B140" s="9" t="s">
        <v>1885</v>
      </c>
      <c r="C140" s="9" t="s">
        <v>386</v>
      </c>
      <c r="D140" s="13" t="n">
        <f aca="false">IF(ISNUMBER('05 MATERIAL RATE LIBRARY'!N140),'05 MATERIAL RATE LIBRARY'!N140,"")</f>
        <v>934.01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5" t="s">
        <v>2137</v>
      </c>
    </row>
    <row r="141" customFormat="false" ht="15" hidden="false" customHeight="true" outlineLevel="0" collapsed="false">
      <c r="A141" s="9" t="s">
        <v>1315</v>
      </c>
      <c r="B141" s="9" t="s">
        <v>1888</v>
      </c>
      <c r="C141" s="9" t="s">
        <v>368</v>
      </c>
      <c r="D141" s="13" t="n">
        <f aca="false">IF(ISNUMBER('05 MATERIAL RATE LIBRARY'!N141),'05 MATERIAL RATE LIBRARY'!N141,"")</f>
        <v>8500000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5" t="s">
        <v>2137</v>
      </c>
    </row>
    <row r="142" customFormat="false" ht="15" hidden="false" customHeight="true" outlineLevel="0" collapsed="false">
      <c r="A142" s="9" t="s">
        <v>1317</v>
      </c>
      <c r="B142" s="9" t="s">
        <v>1890</v>
      </c>
      <c r="C142" s="9" t="s">
        <v>386</v>
      </c>
      <c r="D142" s="13" t="n">
        <f aca="false">IF(ISNUMBER('05 MATERIAL RATE LIBRARY'!N142),'05 MATERIAL RATE LIBRARY'!N142,"")</f>
        <v>2920.45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5" t="s">
        <v>2137</v>
      </c>
    </row>
    <row r="143" customFormat="false" ht="15" hidden="false" customHeight="true" outlineLevel="0" collapsed="false">
      <c r="A143" s="9" t="s">
        <v>1319</v>
      </c>
      <c r="B143" s="9" t="s">
        <v>1892</v>
      </c>
      <c r="C143" s="9" t="s">
        <v>368</v>
      </c>
      <c r="D143" s="13" t="n">
        <f aca="false">IF(ISNUMBER('05 MATERIAL RATE LIBRARY'!N143),'05 MATERIAL RATE LIBRARY'!N143,"")</f>
        <v>0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5" t="s">
        <v>2137</v>
      </c>
    </row>
    <row r="144" customFormat="false" ht="15" hidden="false" customHeight="true" outlineLevel="0" collapsed="false">
      <c r="A144" s="9" t="s">
        <v>1324</v>
      </c>
      <c r="B144" s="9" t="s">
        <v>1895</v>
      </c>
      <c r="C144" s="9" t="s">
        <v>212</v>
      </c>
      <c r="D144" s="13" t="n">
        <f aca="false">IF(ISNUMBER('05 MATERIAL RATE LIBRARY'!N144),'05 MATERIAL RATE LIBRARY'!N144,"")</f>
        <v>1714.29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5" t="s">
        <v>2137</v>
      </c>
    </row>
    <row r="145" customFormat="false" ht="15" hidden="false" customHeight="true" outlineLevel="0" collapsed="false">
      <c r="A145" s="9" t="s">
        <v>1326</v>
      </c>
      <c r="B145" s="9" t="s">
        <v>1897</v>
      </c>
      <c r="C145" s="9" t="s">
        <v>368</v>
      </c>
      <c r="D145" s="13" t="n">
        <f aca="false">IF(ISNUMBER('05 MATERIAL RATE LIBRARY'!N145),'05 MATERIAL RATE LIBRARY'!N145,"")</f>
        <v>0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5" t="s">
        <v>2137</v>
      </c>
    </row>
    <row r="146" customFormat="false" ht="15" hidden="false" customHeight="true" outlineLevel="0" collapsed="false">
      <c r="A146" s="9" t="s">
        <v>1164</v>
      </c>
      <c r="B146" s="9" t="s">
        <v>1899</v>
      </c>
      <c r="C146" s="9" t="s">
        <v>386</v>
      </c>
      <c r="D146" s="13" t="n">
        <f aca="false">IF(ISNUMBER('05 MATERIAL RATE LIBRARY'!N146),'05 MATERIAL RATE LIBRARY'!N146,"")</f>
        <v>1346.85</v>
      </c>
      <c r="E146" s="13" t="n">
        <f aca="false">IF(ISNUMBER($D146),$D146,"")</f>
        <v>1346.85</v>
      </c>
      <c r="F146" s="13" t="n">
        <f aca="false">IF(ISNUMBER($D146),$D146,"")</f>
        <v>1346.85</v>
      </c>
      <c r="G146" s="13" t="n">
        <f aca="false">IF(ISNUMBER($D146),$D146,"")</f>
        <v>1346.85</v>
      </c>
      <c r="H146" s="13" t="n">
        <f aca="false">IF(ISNUMBER($D146),$D146,"")</f>
        <v>1346.85</v>
      </c>
      <c r="I146" s="13" t="n">
        <f aca="false">IF(ISNUMBER($D146),$D146,"")</f>
        <v>1346.85</v>
      </c>
      <c r="J146" s="13" t="n">
        <f aca="false">IF(ISNUMBER($D146),$D146,"")</f>
        <v>1346.85</v>
      </c>
      <c r="K146" s="13" t="n">
        <f aca="false">IF(ISNUMBER($D146),$D146,"")</f>
        <v>1346.85</v>
      </c>
      <c r="L146" s="13" t="n">
        <f aca="false">IF(ISNUMBER($D146),$D146,"")</f>
        <v>1346.85</v>
      </c>
      <c r="M146" s="13" t="n">
        <f aca="false">IF(ISNUMBER($D146),$D146,"")</f>
        <v>1346.85</v>
      </c>
      <c r="N146" s="13" t="n">
        <f aca="false">IF(ISNUMBER($D146),$D146,"")</f>
        <v>1346.85</v>
      </c>
      <c r="O146" s="5" t="s">
        <v>2136</v>
      </c>
    </row>
    <row r="147" customFormat="false" ht="15" hidden="false" customHeight="true" outlineLevel="0" collapsed="false">
      <c r="A147" s="9" t="s">
        <v>1166</v>
      </c>
      <c r="B147" s="9" t="s">
        <v>1900</v>
      </c>
      <c r="C147" s="9" t="s">
        <v>368</v>
      </c>
      <c r="D147" s="13" t="n">
        <f aca="false">IF(ISNUMBER('05 MATERIAL RATE LIBRARY'!N147),'05 MATERIAL RATE LIBRARY'!N147,"")</f>
        <v>1341</v>
      </c>
      <c r="E147" s="13" t="n">
        <f aca="false">IF(ISNUMBER($D147),$D147,"")</f>
        <v>1341</v>
      </c>
      <c r="F147" s="13" t="n">
        <f aca="false">IF(ISNUMBER($D147),$D147,"")</f>
        <v>1341</v>
      </c>
      <c r="G147" s="13" t="n">
        <f aca="false">IF(ISNUMBER($D147),$D147,"")</f>
        <v>1341</v>
      </c>
      <c r="H147" s="13" t="n">
        <f aca="false">IF(ISNUMBER($D147),$D147,"")</f>
        <v>1341</v>
      </c>
      <c r="I147" s="13" t="n">
        <f aca="false">IF(ISNUMBER($D147),$D147,"")</f>
        <v>1341</v>
      </c>
      <c r="J147" s="13" t="n">
        <f aca="false">IF(ISNUMBER($D147),$D147,"")</f>
        <v>1341</v>
      </c>
      <c r="K147" s="13" t="n">
        <f aca="false">IF(ISNUMBER($D147),$D147,"")</f>
        <v>1341</v>
      </c>
      <c r="L147" s="13" t="n">
        <f aca="false">IF(ISNUMBER($D147),$D147,"")</f>
        <v>1341</v>
      </c>
      <c r="M147" s="13" t="n">
        <f aca="false">IF(ISNUMBER($D147),$D147,"")</f>
        <v>1341</v>
      </c>
      <c r="N147" s="13" t="n">
        <f aca="false">IF(ISNUMBER($D147),$D147,"")</f>
        <v>1341</v>
      </c>
      <c r="O147" s="5" t="s">
        <v>2136</v>
      </c>
    </row>
    <row r="148" customFormat="false" ht="15" hidden="false" customHeight="true" outlineLevel="0" collapsed="false">
      <c r="A148" s="9" t="s">
        <v>1167</v>
      </c>
      <c r="B148" s="9" t="s">
        <v>1902</v>
      </c>
      <c r="C148" s="9" t="s">
        <v>368</v>
      </c>
      <c r="D148" s="13" t="n">
        <f aca="false">IF(ISNUMBER('05 MATERIAL RATE LIBRARY'!N148),'05 MATERIAL RATE LIBRARY'!N148,"")</f>
        <v>506</v>
      </c>
      <c r="E148" s="13" t="n">
        <f aca="false">IF(ISNUMBER($D148),$D148,"")</f>
        <v>506</v>
      </c>
      <c r="F148" s="13" t="n">
        <f aca="false">IF(ISNUMBER($D148),$D148,"")</f>
        <v>506</v>
      </c>
      <c r="G148" s="13" t="n">
        <f aca="false">IF(ISNUMBER($D148),$D148,"")</f>
        <v>506</v>
      </c>
      <c r="H148" s="13" t="n">
        <f aca="false">IF(ISNUMBER($D148),$D148,"")</f>
        <v>506</v>
      </c>
      <c r="I148" s="13" t="n">
        <f aca="false">IF(ISNUMBER($D148),$D148,"")</f>
        <v>506</v>
      </c>
      <c r="J148" s="13" t="n">
        <f aca="false">IF(ISNUMBER($D148),$D148,"")</f>
        <v>506</v>
      </c>
      <c r="K148" s="13" t="n">
        <f aca="false">IF(ISNUMBER($D148),$D148,"")</f>
        <v>506</v>
      </c>
      <c r="L148" s="13" t="n">
        <f aca="false">IF(ISNUMBER($D148),$D148,"")</f>
        <v>506</v>
      </c>
      <c r="M148" s="13" t="n">
        <f aca="false">IF(ISNUMBER($D148),$D148,"")</f>
        <v>506</v>
      </c>
      <c r="N148" s="13" t="n">
        <f aca="false">IF(ISNUMBER($D148),$D148,"")</f>
        <v>506</v>
      </c>
      <c r="O148" s="5" t="s">
        <v>2136</v>
      </c>
    </row>
    <row r="149" customFormat="false" ht="15" hidden="false" customHeight="true" outlineLevel="0" collapsed="false">
      <c r="A149" s="9" t="s">
        <v>1168</v>
      </c>
      <c r="B149" s="9" t="s">
        <v>1904</v>
      </c>
      <c r="C149" s="9" t="s">
        <v>368</v>
      </c>
      <c r="D149" s="13" t="n">
        <f aca="false">IF(ISNUMBER('05 MATERIAL RATE LIBRARY'!N149),'05 MATERIAL RATE LIBRARY'!N149,"")</f>
        <v>1613</v>
      </c>
      <c r="E149" s="13" t="n">
        <f aca="false">IF(ISNUMBER($D149),$D149,"")</f>
        <v>1613</v>
      </c>
      <c r="F149" s="13" t="n">
        <f aca="false">IF(ISNUMBER($D149),$D149,"")</f>
        <v>1613</v>
      </c>
      <c r="G149" s="13" t="n">
        <f aca="false">IF(ISNUMBER($D149),$D149,"")</f>
        <v>1613</v>
      </c>
      <c r="H149" s="13" t="n">
        <f aca="false">IF(ISNUMBER($D149),$D149,"")</f>
        <v>1613</v>
      </c>
      <c r="I149" s="13" t="n">
        <f aca="false">IF(ISNUMBER($D149),$D149,"")</f>
        <v>1613</v>
      </c>
      <c r="J149" s="13" t="n">
        <f aca="false">IF(ISNUMBER($D149),$D149,"")</f>
        <v>1613</v>
      </c>
      <c r="K149" s="13" t="n">
        <f aca="false">IF(ISNUMBER($D149),$D149,"")</f>
        <v>1613</v>
      </c>
      <c r="L149" s="13" t="n">
        <f aca="false">IF(ISNUMBER($D149),$D149,"")</f>
        <v>1613</v>
      </c>
      <c r="M149" s="13" t="n">
        <f aca="false">IF(ISNUMBER($D149),$D149,"")</f>
        <v>1613</v>
      </c>
      <c r="N149" s="13" t="n">
        <f aca="false">IF(ISNUMBER($D149),$D149,"")</f>
        <v>1613</v>
      </c>
      <c r="O149" s="5" t="s">
        <v>2136</v>
      </c>
    </row>
    <row r="150" customFormat="false" ht="15" hidden="false" customHeight="true" outlineLevel="0" collapsed="false">
      <c r="A150" s="9" t="s">
        <v>1171</v>
      </c>
      <c r="B150" s="9" t="s">
        <v>1906</v>
      </c>
      <c r="C150" s="9" t="s">
        <v>386</v>
      </c>
      <c r="D150" s="13" t="n">
        <f aca="false">IF(ISNUMBER('05 MATERIAL RATE LIBRARY'!N150),'05 MATERIAL RATE LIBRARY'!N150,"")</f>
        <v>1987.2</v>
      </c>
      <c r="E150" s="13" t="n">
        <f aca="false">IF(ISNUMBER($D150),$D150,"")</f>
        <v>1987.2</v>
      </c>
      <c r="F150" s="13" t="n">
        <f aca="false">IF(ISNUMBER($D150),$D150,"")</f>
        <v>1987.2</v>
      </c>
      <c r="G150" s="13" t="n">
        <f aca="false">IF(ISNUMBER($D150),$D150,"")</f>
        <v>1987.2</v>
      </c>
      <c r="H150" s="13" t="n">
        <f aca="false">IF(ISNUMBER($D150),$D150,"")</f>
        <v>1987.2</v>
      </c>
      <c r="I150" s="13" t="n">
        <f aca="false">IF(ISNUMBER($D150),$D150,"")</f>
        <v>1987.2</v>
      </c>
      <c r="J150" s="13" t="n">
        <f aca="false">IF(ISNUMBER($D150),$D150,"")</f>
        <v>1987.2</v>
      </c>
      <c r="K150" s="13" t="n">
        <f aca="false">IF(ISNUMBER($D150),$D150,"")</f>
        <v>1987.2</v>
      </c>
      <c r="L150" s="13" t="n">
        <f aca="false">IF(ISNUMBER($D150),$D150,"")</f>
        <v>1987.2</v>
      </c>
      <c r="M150" s="13" t="n">
        <f aca="false">IF(ISNUMBER($D150),$D150,"")</f>
        <v>1987.2</v>
      </c>
      <c r="N150" s="13" t="n">
        <f aca="false">IF(ISNUMBER($D150),$D150,"")</f>
        <v>1987.2</v>
      </c>
      <c r="O150" s="5" t="s">
        <v>2136</v>
      </c>
    </row>
    <row r="151" customFormat="false" ht="15" hidden="false" customHeight="true" outlineLevel="0" collapsed="false">
      <c r="A151" s="9" t="s">
        <v>1173</v>
      </c>
      <c r="B151" s="9" t="s">
        <v>1907</v>
      </c>
      <c r="C151" s="9" t="s">
        <v>368</v>
      </c>
      <c r="D151" s="13" t="n">
        <f aca="false">IF(ISNUMBER('05 MATERIAL RATE LIBRARY'!N151),'05 MATERIAL RATE LIBRARY'!N151,"")</f>
        <v>2333</v>
      </c>
      <c r="E151" s="13" t="n">
        <f aca="false">IF(ISNUMBER($D151),$D151,"")</f>
        <v>2333</v>
      </c>
      <c r="F151" s="13" t="n">
        <f aca="false">IF(ISNUMBER($D151),$D151,"")</f>
        <v>2333</v>
      </c>
      <c r="G151" s="13" t="n">
        <f aca="false">IF(ISNUMBER($D151),$D151,"")</f>
        <v>2333</v>
      </c>
      <c r="H151" s="13" t="n">
        <f aca="false">IF(ISNUMBER($D151),$D151,"")</f>
        <v>2333</v>
      </c>
      <c r="I151" s="13" t="n">
        <f aca="false">IF(ISNUMBER($D151),$D151,"")</f>
        <v>2333</v>
      </c>
      <c r="J151" s="13" t="n">
        <f aca="false">IF(ISNUMBER($D151),$D151,"")</f>
        <v>2333</v>
      </c>
      <c r="K151" s="13" t="n">
        <f aca="false">IF(ISNUMBER($D151),$D151,"")</f>
        <v>2333</v>
      </c>
      <c r="L151" s="13" t="n">
        <f aca="false">IF(ISNUMBER($D151),$D151,"")</f>
        <v>2333</v>
      </c>
      <c r="M151" s="13" t="n">
        <f aca="false">IF(ISNUMBER($D151),$D151,"")</f>
        <v>2333</v>
      </c>
      <c r="N151" s="13" t="n">
        <f aca="false">IF(ISNUMBER($D151),$D151,"")</f>
        <v>2333</v>
      </c>
      <c r="O151" s="5" t="s">
        <v>2136</v>
      </c>
    </row>
    <row r="152" customFormat="false" ht="15" hidden="false" customHeight="true" outlineLevel="0" collapsed="false">
      <c r="A152" s="9" t="s">
        <v>1174</v>
      </c>
      <c r="B152" s="9" t="s">
        <v>1909</v>
      </c>
      <c r="C152" s="9" t="s">
        <v>368</v>
      </c>
      <c r="D152" s="13" t="n">
        <f aca="false">IF(ISNUMBER('05 MATERIAL RATE LIBRARY'!N152),'05 MATERIAL RATE LIBRARY'!N152,"")</f>
        <v>1120</v>
      </c>
      <c r="E152" s="13" t="n">
        <f aca="false">IF(ISNUMBER($D152),$D152,"")</f>
        <v>1120</v>
      </c>
      <c r="F152" s="13" t="n">
        <f aca="false">IF(ISNUMBER($D152),$D152,"")</f>
        <v>1120</v>
      </c>
      <c r="G152" s="13" t="n">
        <f aca="false">IF(ISNUMBER($D152),$D152,"")</f>
        <v>1120</v>
      </c>
      <c r="H152" s="13" t="n">
        <f aca="false">IF(ISNUMBER($D152),$D152,"")</f>
        <v>1120</v>
      </c>
      <c r="I152" s="13" t="n">
        <f aca="false">IF(ISNUMBER($D152),$D152,"")</f>
        <v>1120</v>
      </c>
      <c r="J152" s="13" t="n">
        <f aca="false">IF(ISNUMBER($D152),$D152,"")</f>
        <v>1120</v>
      </c>
      <c r="K152" s="13" t="n">
        <f aca="false">IF(ISNUMBER($D152),$D152,"")</f>
        <v>1120</v>
      </c>
      <c r="L152" s="13" t="n">
        <f aca="false">IF(ISNUMBER($D152),$D152,"")</f>
        <v>1120</v>
      </c>
      <c r="M152" s="13" t="n">
        <f aca="false">IF(ISNUMBER($D152),$D152,"")</f>
        <v>1120</v>
      </c>
      <c r="N152" s="13" t="n">
        <f aca="false">IF(ISNUMBER($D152),$D152,"")</f>
        <v>1120</v>
      </c>
      <c r="O152" s="5" t="s">
        <v>2136</v>
      </c>
    </row>
    <row r="153" customFormat="false" ht="15" hidden="false" customHeight="true" outlineLevel="0" collapsed="false">
      <c r="A153" s="9" t="s">
        <v>1175</v>
      </c>
      <c r="B153" s="9" t="s">
        <v>1911</v>
      </c>
      <c r="C153" s="9" t="s">
        <v>368</v>
      </c>
      <c r="D153" s="13" t="n">
        <f aca="false">IF(ISNUMBER('05 MATERIAL RATE LIBRARY'!N153),'05 MATERIAL RATE LIBRARY'!N153,"")</f>
        <v>2718</v>
      </c>
      <c r="E153" s="13" t="n">
        <f aca="false">IF(ISNUMBER($D153),$D153,"")</f>
        <v>2718</v>
      </c>
      <c r="F153" s="13" t="n">
        <f aca="false">IF(ISNUMBER($D153),$D153,"")</f>
        <v>2718</v>
      </c>
      <c r="G153" s="13" t="n">
        <f aca="false">IF(ISNUMBER($D153),$D153,"")</f>
        <v>2718</v>
      </c>
      <c r="H153" s="13" t="n">
        <f aca="false">IF(ISNUMBER($D153),$D153,"")</f>
        <v>2718</v>
      </c>
      <c r="I153" s="13" t="n">
        <f aca="false">IF(ISNUMBER($D153),$D153,"")</f>
        <v>2718</v>
      </c>
      <c r="J153" s="13" t="n">
        <f aca="false">IF(ISNUMBER($D153),$D153,"")</f>
        <v>2718</v>
      </c>
      <c r="K153" s="13" t="n">
        <f aca="false">IF(ISNUMBER($D153),$D153,"")</f>
        <v>2718</v>
      </c>
      <c r="L153" s="13" t="n">
        <f aca="false">IF(ISNUMBER($D153),$D153,"")</f>
        <v>2718</v>
      </c>
      <c r="M153" s="13" t="n">
        <f aca="false">IF(ISNUMBER($D153),$D153,"")</f>
        <v>2718</v>
      </c>
      <c r="N153" s="13" t="n">
        <f aca="false">IF(ISNUMBER($D153),$D153,"")</f>
        <v>2718</v>
      </c>
      <c r="O153" s="5" t="s">
        <v>2136</v>
      </c>
    </row>
    <row r="154" customFormat="false" ht="15" hidden="false" customHeight="true" outlineLevel="0" collapsed="false">
      <c r="A154" s="9" t="s">
        <v>1178</v>
      </c>
      <c r="B154" s="9" t="s">
        <v>1913</v>
      </c>
      <c r="C154" s="9" t="s">
        <v>386</v>
      </c>
      <c r="D154" s="13" t="n">
        <f aca="false">IF(ISNUMBER('05 MATERIAL RATE LIBRARY'!N154),'05 MATERIAL RATE LIBRARY'!N154,"")</f>
        <v>2837.55</v>
      </c>
      <c r="E154" s="13" t="n">
        <f aca="false">IF(ISNUMBER($D154),$D154,"")</f>
        <v>2837.55</v>
      </c>
      <c r="F154" s="13" t="n">
        <f aca="false">IF(ISNUMBER($D154),$D154,"")</f>
        <v>2837.55</v>
      </c>
      <c r="G154" s="13" t="n">
        <f aca="false">IF(ISNUMBER($D154),$D154,"")</f>
        <v>2837.55</v>
      </c>
      <c r="H154" s="13" t="n">
        <f aca="false">IF(ISNUMBER($D154),$D154,"")</f>
        <v>2837.55</v>
      </c>
      <c r="I154" s="13" t="n">
        <f aca="false">IF(ISNUMBER($D154),$D154,"")</f>
        <v>2837.55</v>
      </c>
      <c r="J154" s="13" t="n">
        <f aca="false">IF(ISNUMBER($D154),$D154,"")</f>
        <v>2837.55</v>
      </c>
      <c r="K154" s="13" t="n">
        <f aca="false">IF(ISNUMBER($D154),$D154,"")</f>
        <v>2837.55</v>
      </c>
      <c r="L154" s="13" t="n">
        <f aca="false">IF(ISNUMBER($D154),$D154,"")</f>
        <v>2837.55</v>
      </c>
      <c r="M154" s="13" t="n">
        <f aca="false">IF(ISNUMBER($D154),$D154,"")</f>
        <v>2837.55</v>
      </c>
      <c r="N154" s="13" t="n">
        <f aca="false">IF(ISNUMBER($D154),$D154,"")</f>
        <v>2837.55</v>
      </c>
      <c r="O154" s="5" t="s">
        <v>2136</v>
      </c>
    </row>
    <row r="155" customFormat="false" ht="15" hidden="false" customHeight="true" outlineLevel="0" collapsed="false">
      <c r="A155" s="9" t="s">
        <v>1180</v>
      </c>
      <c r="B155" s="9" t="s">
        <v>1914</v>
      </c>
      <c r="C155" s="9" t="s">
        <v>368</v>
      </c>
      <c r="D155" s="13" t="n">
        <f aca="false">IF(ISNUMBER('05 MATERIAL RATE LIBRARY'!N155),'05 MATERIAL RATE LIBRARY'!N155,"")</f>
        <v>4797</v>
      </c>
      <c r="E155" s="13" t="n">
        <f aca="false">IF(ISNUMBER($D155),$D155,"")</f>
        <v>4797</v>
      </c>
      <c r="F155" s="13" t="n">
        <f aca="false">IF(ISNUMBER($D155),$D155,"")</f>
        <v>4797</v>
      </c>
      <c r="G155" s="13" t="n">
        <f aca="false">IF(ISNUMBER($D155),$D155,"")</f>
        <v>4797</v>
      </c>
      <c r="H155" s="13" t="n">
        <f aca="false">IF(ISNUMBER($D155),$D155,"")</f>
        <v>4797</v>
      </c>
      <c r="I155" s="13" t="n">
        <f aca="false">IF(ISNUMBER($D155),$D155,"")</f>
        <v>4797</v>
      </c>
      <c r="J155" s="13" t="n">
        <f aca="false">IF(ISNUMBER($D155),$D155,"")</f>
        <v>4797</v>
      </c>
      <c r="K155" s="13" t="n">
        <f aca="false">IF(ISNUMBER($D155),$D155,"")</f>
        <v>4797</v>
      </c>
      <c r="L155" s="13" t="n">
        <f aca="false">IF(ISNUMBER($D155),$D155,"")</f>
        <v>4797</v>
      </c>
      <c r="M155" s="13" t="n">
        <f aca="false">IF(ISNUMBER($D155),$D155,"")</f>
        <v>4797</v>
      </c>
      <c r="N155" s="13" t="n">
        <f aca="false">IF(ISNUMBER($D155),$D155,"")</f>
        <v>4797</v>
      </c>
      <c r="O155" s="5" t="s">
        <v>2136</v>
      </c>
    </row>
    <row r="156" customFormat="false" ht="15" hidden="false" customHeight="true" outlineLevel="0" collapsed="false">
      <c r="A156" s="9" t="s">
        <v>1181</v>
      </c>
      <c r="B156" s="9" t="s">
        <v>1916</v>
      </c>
      <c r="C156" s="9" t="s">
        <v>368</v>
      </c>
      <c r="D156" s="13" t="n">
        <f aca="false">IF(ISNUMBER('05 MATERIAL RATE LIBRARY'!N156),'05 MATERIAL RATE LIBRARY'!N156,"")</f>
        <v>2266</v>
      </c>
      <c r="E156" s="13" t="n">
        <f aca="false">IF(ISNUMBER($D156),$D156,"")</f>
        <v>2266</v>
      </c>
      <c r="F156" s="13" t="n">
        <f aca="false">IF(ISNUMBER($D156),$D156,"")</f>
        <v>2266</v>
      </c>
      <c r="G156" s="13" t="n">
        <f aca="false">IF(ISNUMBER($D156),$D156,"")</f>
        <v>2266</v>
      </c>
      <c r="H156" s="13" t="n">
        <f aca="false">IF(ISNUMBER($D156),$D156,"")</f>
        <v>2266</v>
      </c>
      <c r="I156" s="13" t="n">
        <f aca="false">IF(ISNUMBER($D156),$D156,"")</f>
        <v>2266</v>
      </c>
      <c r="J156" s="13" t="n">
        <f aca="false">IF(ISNUMBER($D156),$D156,"")</f>
        <v>2266</v>
      </c>
      <c r="K156" s="13" t="n">
        <f aca="false">IF(ISNUMBER($D156),$D156,"")</f>
        <v>2266</v>
      </c>
      <c r="L156" s="13" t="n">
        <f aca="false">IF(ISNUMBER($D156),$D156,"")</f>
        <v>2266</v>
      </c>
      <c r="M156" s="13" t="n">
        <f aca="false">IF(ISNUMBER($D156),$D156,"")</f>
        <v>2266</v>
      </c>
      <c r="N156" s="13" t="n">
        <f aca="false">IF(ISNUMBER($D156),$D156,"")</f>
        <v>2266</v>
      </c>
      <c r="O156" s="5" t="s">
        <v>2136</v>
      </c>
    </row>
    <row r="157" customFormat="false" ht="15" hidden="false" customHeight="true" outlineLevel="0" collapsed="false">
      <c r="A157" s="9" t="s">
        <v>1182</v>
      </c>
      <c r="B157" s="9" t="s">
        <v>1918</v>
      </c>
      <c r="C157" s="9" t="s">
        <v>368</v>
      </c>
      <c r="D157" s="13" t="n">
        <f aca="false">IF(ISNUMBER('05 MATERIAL RATE LIBRARY'!N157),'05 MATERIAL RATE LIBRARY'!N157,"")</f>
        <v>4437</v>
      </c>
      <c r="E157" s="13" t="n">
        <f aca="false">IF(ISNUMBER($D157),$D157,"")</f>
        <v>4437</v>
      </c>
      <c r="F157" s="13" t="n">
        <f aca="false">IF(ISNUMBER($D157),$D157,"")</f>
        <v>4437</v>
      </c>
      <c r="G157" s="13" t="n">
        <f aca="false">IF(ISNUMBER($D157),$D157,"")</f>
        <v>4437</v>
      </c>
      <c r="H157" s="13" t="n">
        <f aca="false">IF(ISNUMBER($D157),$D157,"")</f>
        <v>4437</v>
      </c>
      <c r="I157" s="13" t="n">
        <f aca="false">IF(ISNUMBER($D157),$D157,"")</f>
        <v>4437</v>
      </c>
      <c r="J157" s="13" t="n">
        <f aca="false">IF(ISNUMBER($D157),$D157,"")</f>
        <v>4437</v>
      </c>
      <c r="K157" s="13" t="n">
        <f aca="false">IF(ISNUMBER($D157),$D157,"")</f>
        <v>4437</v>
      </c>
      <c r="L157" s="13" t="n">
        <f aca="false">IF(ISNUMBER($D157),$D157,"")</f>
        <v>4437</v>
      </c>
      <c r="M157" s="13" t="n">
        <f aca="false">IF(ISNUMBER($D157),$D157,"")</f>
        <v>4437</v>
      </c>
      <c r="N157" s="13" t="n">
        <f aca="false">IF(ISNUMBER($D157),$D157,"")</f>
        <v>4437</v>
      </c>
      <c r="O157" s="5" t="s">
        <v>2136</v>
      </c>
    </row>
    <row r="158" customFormat="false" ht="15" hidden="false" customHeight="true" outlineLevel="0" collapsed="false">
      <c r="A158" s="9" t="s">
        <v>1330</v>
      </c>
      <c r="B158" s="9" t="s">
        <v>584</v>
      </c>
      <c r="C158" s="9" t="s">
        <v>386</v>
      </c>
      <c r="D158" s="13" t="n">
        <f aca="false">IF(ISNUMBER('05 MATERIAL RATE LIBRARY'!N158),'05 MATERIAL RATE LIBRARY'!N158,"")</f>
        <v>32.4</v>
      </c>
      <c r="E158" s="13" t="n">
        <f aca="false">IF(ISNUMBER($D158),$D158,"")</f>
        <v>32.4</v>
      </c>
      <c r="F158" s="13" t="n">
        <f aca="false">IF(ISNUMBER($D158),$D158,"")</f>
        <v>32.4</v>
      </c>
      <c r="G158" s="13" t="n">
        <f aca="false">IF(ISNUMBER($D158),$D158,"")</f>
        <v>32.4</v>
      </c>
      <c r="H158" s="13" t="n">
        <f aca="false">IF(ISNUMBER($D158),$D158,"")</f>
        <v>32.4</v>
      </c>
      <c r="I158" s="13" t="n">
        <f aca="false">IF(ISNUMBER($D158),$D158,"")</f>
        <v>32.4</v>
      </c>
      <c r="J158" s="13" t="n">
        <f aca="false">IF(ISNUMBER($D158),$D158,"")</f>
        <v>32.4</v>
      </c>
      <c r="K158" s="13" t="n">
        <f aca="false">IF(ISNUMBER($D158),$D158,"")</f>
        <v>32.4</v>
      </c>
      <c r="L158" s="13" t="n">
        <f aca="false">IF(ISNUMBER($D158),$D158,"")</f>
        <v>32.4</v>
      </c>
      <c r="M158" s="13" t="n">
        <f aca="false">IF(ISNUMBER($D158),$D158,"")</f>
        <v>32.4</v>
      </c>
      <c r="N158" s="13" t="n">
        <f aca="false">IF(ISNUMBER($D158),$D158,"")</f>
        <v>32.4</v>
      </c>
      <c r="O158" s="5" t="s">
        <v>2136</v>
      </c>
    </row>
    <row r="159" customFormat="false" ht="15" hidden="false" customHeight="true" outlineLevel="0" collapsed="false">
      <c r="A159" s="9" t="s">
        <v>1331</v>
      </c>
      <c r="B159" s="9" t="s">
        <v>1920</v>
      </c>
      <c r="C159" s="9" t="s">
        <v>368</v>
      </c>
      <c r="D159" s="13" t="n">
        <f aca="false">IF(ISNUMBER('05 MATERIAL RATE LIBRARY'!N159),'05 MATERIAL RATE LIBRARY'!N159,"")</f>
        <v>11.7</v>
      </c>
      <c r="E159" s="13" t="n">
        <f aca="false">IF(ISNUMBER($D159),$D159,"")</f>
        <v>11.7</v>
      </c>
      <c r="F159" s="13" t="n">
        <f aca="false">IF(ISNUMBER($D159),$D159,"")</f>
        <v>11.7</v>
      </c>
      <c r="G159" s="13" t="n">
        <f aca="false">IF(ISNUMBER($D159),$D159,"")</f>
        <v>11.7</v>
      </c>
      <c r="H159" s="13" t="n">
        <f aca="false">IF(ISNUMBER($D159),$D159,"")</f>
        <v>11.7</v>
      </c>
      <c r="I159" s="13" t="n">
        <f aca="false">IF(ISNUMBER($D159),$D159,"")</f>
        <v>11.7</v>
      </c>
      <c r="J159" s="13" t="n">
        <f aca="false">IF(ISNUMBER($D159),$D159,"")</f>
        <v>11.7</v>
      </c>
      <c r="K159" s="13" t="n">
        <f aca="false">IF(ISNUMBER($D159),$D159,"")</f>
        <v>11.7</v>
      </c>
      <c r="L159" s="13" t="n">
        <f aca="false">IF(ISNUMBER($D159),$D159,"")</f>
        <v>11.7</v>
      </c>
      <c r="M159" s="13" t="n">
        <f aca="false">IF(ISNUMBER($D159),$D159,"")</f>
        <v>11.7</v>
      </c>
      <c r="N159" s="13" t="n">
        <f aca="false">IF(ISNUMBER($D159),$D159,"")</f>
        <v>11.7</v>
      </c>
      <c r="O159" s="5" t="s">
        <v>2136</v>
      </c>
    </row>
    <row r="160" customFormat="false" ht="15" hidden="false" customHeight="true" outlineLevel="0" collapsed="false">
      <c r="A160" s="9" t="s">
        <v>1333</v>
      </c>
      <c r="B160" s="9" t="s">
        <v>1921</v>
      </c>
      <c r="C160" s="9" t="s">
        <v>368</v>
      </c>
      <c r="D160" s="13" t="n">
        <f aca="false">IF(ISNUMBER('05 MATERIAL RATE LIBRARY'!N160),'05 MATERIAL RATE LIBRARY'!N160,"")</f>
        <v>21.7</v>
      </c>
      <c r="E160" s="13" t="n">
        <f aca="false">IF(ISNUMBER($D160),$D160,"")</f>
        <v>21.7</v>
      </c>
      <c r="F160" s="13" t="n">
        <f aca="false">IF(ISNUMBER($D160),$D160,"")</f>
        <v>21.7</v>
      </c>
      <c r="G160" s="13" t="n">
        <f aca="false">IF(ISNUMBER($D160),$D160,"")</f>
        <v>21.7</v>
      </c>
      <c r="H160" s="13" t="n">
        <f aca="false">IF(ISNUMBER($D160),$D160,"")</f>
        <v>21.7</v>
      </c>
      <c r="I160" s="13" t="n">
        <f aca="false">IF(ISNUMBER($D160),$D160,"")</f>
        <v>21.7</v>
      </c>
      <c r="J160" s="13" t="n">
        <f aca="false">IF(ISNUMBER($D160),$D160,"")</f>
        <v>21.7</v>
      </c>
      <c r="K160" s="13" t="n">
        <f aca="false">IF(ISNUMBER($D160),$D160,"")</f>
        <v>21.7</v>
      </c>
      <c r="L160" s="13" t="n">
        <f aca="false">IF(ISNUMBER($D160),$D160,"")</f>
        <v>21.7</v>
      </c>
      <c r="M160" s="13" t="n">
        <f aca="false">IF(ISNUMBER($D160),$D160,"")</f>
        <v>21.7</v>
      </c>
      <c r="N160" s="13" t="n">
        <f aca="false">IF(ISNUMBER($D160),$D160,"")</f>
        <v>21.7</v>
      </c>
      <c r="O160" s="5" t="s">
        <v>2136</v>
      </c>
    </row>
    <row r="161" customFormat="false" ht="15" hidden="false" customHeight="true" outlineLevel="0" collapsed="false">
      <c r="A161" s="9" t="s">
        <v>1337</v>
      </c>
      <c r="B161" s="9" t="s">
        <v>588</v>
      </c>
      <c r="C161" s="9" t="s">
        <v>386</v>
      </c>
      <c r="D161" s="13" t="n">
        <f aca="false">IF(ISNUMBER('05 MATERIAL RATE LIBRARY'!N161),'05 MATERIAL RATE LIBRARY'!N161,"")</f>
        <v>84.6</v>
      </c>
      <c r="E161" s="13" t="n">
        <f aca="false">IF(ISNUMBER($D161),$D161,"")</f>
        <v>84.6</v>
      </c>
      <c r="F161" s="13" t="n">
        <f aca="false">IF(ISNUMBER($D161),$D161,"")</f>
        <v>84.6</v>
      </c>
      <c r="G161" s="13" t="n">
        <f aca="false">IF(ISNUMBER($D161),$D161,"")</f>
        <v>84.6</v>
      </c>
      <c r="H161" s="13" t="n">
        <f aca="false">IF(ISNUMBER($D161),$D161,"")</f>
        <v>84.6</v>
      </c>
      <c r="I161" s="13" t="n">
        <f aca="false">IF(ISNUMBER($D161),$D161,"")</f>
        <v>84.6</v>
      </c>
      <c r="J161" s="13" t="n">
        <f aca="false">IF(ISNUMBER($D161),$D161,"")</f>
        <v>84.6</v>
      </c>
      <c r="K161" s="13" t="n">
        <f aca="false">IF(ISNUMBER($D161),$D161,"")</f>
        <v>84.6</v>
      </c>
      <c r="L161" s="13" t="n">
        <f aca="false">IF(ISNUMBER($D161),$D161,"")</f>
        <v>84.6</v>
      </c>
      <c r="M161" s="13" t="n">
        <f aca="false">IF(ISNUMBER($D161),$D161,"")</f>
        <v>84.6</v>
      </c>
      <c r="N161" s="13" t="n">
        <f aca="false">IF(ISNUMBER($D161),$D161,"")</f>
        <v>84.6</v>
      </c>
      <c r="O161" s="5" t="s">
        <v>2136</v>
      </c>
    </row>
    <row r="162" customFormat="false" ht="15" hidden="false" customHeight="true" outlineLevel="0" collapsed="false">
      <c r="A162" s="9" t="s">
        <v>1338</v>
      </c>
      <c r="B162" s="9" t="s">
        <v>1922</v>
      </c>
      <c r="C162" s="9" t="s">
        <v>368</v>
      </c>
      <c r="D162" s="13" t="n">
        <f aca="false">IF(ISNUMBER('05 MATERIAL RATE LIBRARY'!N162),'05 MATERIAL RATE LIBRARY'!N162,"")</f>
        <v>57</v>
      </c>
      <c r="E162" s="13" t="n">
        <f aca="false">IF(ISNUMBER($D162),$D162,"")</f>
        <v>57</v>
      </c>
      <c r="F162" s="13" t="n">
        <f aca="false">IF(ISNUMBER($D162),$D162,"")</f>
        <v>57</v>
      </c>
      <c r="G162" s="13" t="n">
        <f aca="false">IF(ISNUMBER($D162),$D162,"")</f>
        <v>57</v>
      </c>
      <c r="H162" s="13" t="n">
        <f aca="false">IF(ISNUMBER($D162),$D162,"")</f>
        <v>57</v>
      </c>
      <c r="I162" s="13" t="n">
        <f aca="false">IF(ISNUMBER($D162),$D162,"")</f>
        <v>57</v>
      </c>
      <c r="J162" s="13" t="n">
        <f aca="false">IF(ISNUMBER($D162),$D162,"")</f>
        <v>57</v>
      </c>
      <c r="K162" s="13" t="n">
        <f aca="false">IF(ISNUMBER($D162),$D162,"")</f>
        <v>57</v>
      </c>
      <c r="L162" s="13" t="n">
        <f aca="false">IF(ISNUMBER($D162),$D162,"")</f>
        <v>57</v>
      </c>
      <c r="M162" s="13" t="n">
        <f aca="false">IF(ISNUMBER($D162),$D162,"")</f>
        <v>57</v>
      </c>
      <c r="N162" s="13" t="n">
        <f aca="false">IF(ISNUMBER($D162),$D162,"")</f>
        <v>57</v>
      </c>
      <c r="O162" s="5" t="s">
        <v>2136</v>
      </c>
    </row>
    <row r="163" customFormat="false" ht="15" hidden="false" customHeight="true" outlineLevel="0" collapsed="false">
      <c r="A163" s="9" t="s">
        <v>1339</v>
      </c>
      <c r="B163" s="9" t="s">
        <v>1923</v>
      </c>
      <c r="C163" s="9" t="s">
        <v>368</v>
      </c>
      <c r="D163" s="13" t="n">
        <f aca="false">IF(ISNUMBER('05 MATERIAL RATE LIBRARY'!N163),'05 MATERIAL RATE LIBRARY'!N163,"")</f>
        <v>101</v>
      </c>
      <c r="E163" s="13" t="n">
        <f aca="false">IF(ISNUMBER($D163),$D163,"")</f>
        <v>101</v>
      </c>
      <c r="F163" s="13" t="n">
        <f aca="false">IF(ISNUMBER($D163),$D163,"")</f>
        <v>101</v>
      </c>
      <c r="G163" s="13" t="n">
        <f aca="false">IF(ISNUMBER($D163),$D163,"")</f>
        <v>101</v>
      </c>
      <c r="H163" s="13" t="n">
        <f aca="false">IF(ISNUMBER($D163),$D163,"")</f>
        <v>101</v>
      </c>
      <c r="I163" s="13" t="n">
        <f aca="false">IF(ISNUMBER($D163),$D163,"")</f>
        <v>101</v>
      </c>
      <c r="J163" s="13" t="n">
        <f aca="false">IF(ISNUMBER($D163),$D163,"")</f>
        <v>101</v>
      </c>
      <c r="K163" s="13" t="n">
        <f aca="false">IF(ISNUMBER($D163),$D163,"")</f>
        <v>101</v>
      </c>
      <c r="L163" s="13" t="n">
        <f aca="false">IF(ISNUMBER($D163),$D163,"")</f>
        <v>101</v>
      </c>
      <c r="M163" s="13" t="n">
        <f aca="false">IF(ISNUMBER($D163),$D163,"")</f>
        <v>101</v>
      </c>
      <c r="N163" s="13" t="n">
        <f aca="false">IF(ISNUMBER($D163),$D163,"")</f>
        <v>101</v>
      </c>
      <c r="O163" s="5" t="s">
        <v>2136</v>
      </c>
    </row>
    <row r="164" customFormat="false" ht="15" hidden="false" customHeight="true" outlineLevel="0" collapsed="false">
      <c r="A164" s="9" t="s">
        <v>1342</v>
      </c>
      <c r="B164" s="9" t="s">
        <v>592</v>
      </c>
      <c r="C164" s="9" t="s">
        <v>386</v>
      </c>
      <c r="D164" s="13" t="n">
        <f aca="false">IF(ISNUMBER('05 MATERIAL RATE LIBRARY'!N164),'05 MATERIAL RATE LIBRARY'!N164,"")</f>
        <v>117</v>
      </c>
      <c r="E164" s="13" t="n">
        <f aca="false">IF(ISNUMBER($D164),$D164,"")</f>
        <v>117</v>
      </c>
      <c r="F164" s="13" t="n">
        <f aca="false">IF(ISNUMBER($D164),$D164,"")</f>
        <v>117</v>
      </c>
      <c r="G164" s="13" t="n">
        <f aca="false">IF(ISNUMBER($D164),$D164,"")</f>
        <v>117</v>
      </c>
      <c r="H164" s="13" t="n">
        <f aca="false">IF(ISNUMBER($D164),$D164,"")</f>
        <v>117</v>
      </c>
      <c r="I164" s="13" t="n">
        <f aca="false">IF(ISNUMBER($D164),$D164,"")</f>
        <v>117</v>
      </c>
      <c r="J164" s="13" t="n">
        <f aca="false">IF(ISNUMBER($D164),$D164,"")</f>
        <v>117</v>
      </c>
      <c r="K164" s="13" t="n">
        <f aca="false">IF(ISNUMBER($D164),$D164,"")</f>
        <v>117</v>
      </c>
      <c r="L164" s="13" t="n">
        <f aca="false">IF(ISNUMBER($D164),$D164,"")</f>
        <v>117</v>
      </c>
      <c r="M164" s="13" t="n">
        <f aca="false">IF(ISNUMBER($D164),$D164,"")</f>
        <v>117</v>
      </c>
      <c r="N164" s="13" t="n">
        <f aca="false">IF(ISNUMBER($D164),$D164,"")</f>
        <v>117</v>
      </c>
      <c r="O164" s="5" t="s">
        <v>2136</v>
      </c>
    </row>
    <row r="165" customFormat="false" ht="15" hidden="false" customHeight="true" outlineLevel="0" collapsed="false">
      <c r="A165" s="9" t="s">
        <v>1343</v>
      </c>
      <c r="B165" s="9" t="s">
        <v>1924</v>
      </c>
      <c r="C165" s="9" t="s">
        <v>368</v>
      </c>
      <c r="D165" s="13" t="n">
        <f aca="false">IF(ISNUMBER('05 MATERIAL RATE LIBRARY'!N165),'05 MATERIAL RATE LIBRARY'!N165,"")</f>
        <v>77</v>
      </c>
      <c r="E165" s="13" t="n">
        <f aca="false">IF(ISNUMBER($D165),$D165,"")</f>
        <v>77</v>
      </c>
      <c r="F165" s="13" t="n">
        <f aca="false">IF(ISNUMBER($D165),$D165,"")</f>
        <v>77</v>
      </c>
      <c r="G165" s="13" t="n">
        <f aca="false">IF(ISNUMBER($D165),$D165,"")</f>
        <v>77</v>
      </c>
      <c r="H165" s="13" t="n">
        <f aca="false">IF(ISNUMBER($D165),$D165,"")</f>
        <v>77</v>
      </c>
      <c r="I165" s="13" t="n">
        <f aca="false">IF(ISNUMBER($D165),$D165,"")</f>
        <v>77</v>
      </c>
      <c r="J165" s="13" t="n">
        <f aca="false">IF(ISNUMBER($D165),$D165,"")</f>
        <v>77</v>
      </c>
      <c r="K165" s="13" t="n">
        <f aca="false">IF(ISNUMBER($D165),$D165,"")</f>
        <v>77</v>
      </c>
      <c r="L165" s="13" t="n">
        <f aca="false">IF(ISNUMBER($D165),$D165,"")</f>
        <v>77</v>
      </c>
      <c r="M165" s="13" t="n">
        <f aca="false">IF(ISNUMBER($D165),$D165,"")</f>
        <v>77</v>
      </c>
      <c r="N165" s="13" t="n">
        <f aca="false">IF(ISNUMBER($D165),$D165,"")</f>
        <v>77</v>
      </c>
      <c r="O165" s="5" t="s">
        <v>2136</v>
      </c>
    </row>
    <row r="166" customFormat="false" ht="15" hidden="false" customHeight="true" outlineLevel="0" collapsed="false">
      <c r="A166" s="9" t="s">
        <v>1344</v>
      </c>
      <c r="B166" s="9" t="s">
        <v>1925</v>
      </c>
      <c r="C166" s="9" t="s">
        <v>368</v>
      </c>
      <c r="D166" s="13" t="n">
        <f aca="false">IF(ISNUMBER('05 MATERIAL RATE LIBRARY'!N166),'05 MATERIAL RATE LIBRARY'!N166,"")</f>
        <v>139</v>
      </c>
      <c r="E166" s="13" t="n">
        <f aca="false">IF(ISNUMBER($D166),$D166,"")</f>
        <v>139</v>
      </c>
      <c r="F166" s="13" t="n">
        <f aca="false">IF(ISNUMBER($D166),$D166,"")</f>
        <v>139</v>
      </c>
      <c r="G166" s="13" t="n">
        <f aca="false">IF(ISNUMBER($D166),$D166,"")</f>
        <v>139</v>
      </c>
      <c r="H166" s="13" t="n">
        <f aca="false">IF(ISNUMBER($D166),$D166,"")</f>
        <v>139</v>
      </c>
      <c r="I166" s="13" t="n">
        <f aca="false">IF(ISNUMBER($D166),$D166,"")</f>
        <v>139</v>
      </c>
      <c r="J166" s="13" t="n">
        <f aca="false">IF(ISNUMBER($D166),$D166,"")</f>
        <v>139</v>
      </c>
      <c r="K166" s="13" t="n">
        <f aca="false">IF(ISNUMBER($D166),$D166,"")</f>
        <v>139</v>
      </c>
      <c r="L166" s="13" t="n">
        <f aca="false">IF(ISNUMBER($D166),$D166,"")</f>
        <v>139</v>
      </c>
      <c r="M166" s="13" t="n">
        <f aca="false">IF(ISNUMBER($D166),$D166,"")</f>
        <v>139</v>
      </c>
      <c r="N166" s="13" t="n">
        <f aca="false">IF(ISNUMBER($D166),$D166,"")</f>
        <v>139</v>
      </c>
      <c r="O166" s="5" t="s">
        <v>2136</v>
      </c>
    </row>
    <row r="167" customFormat="false" ht="15" hidden="false" customHeight="true" outlineLevel="0" collapsed="false">
      <c r="A167" s="9" t="s">
        <v>1345</v>
      </c>
      <c r="B167" s="9" t="s">
        <v>595</v>
      </c>
      <c r="C167" s="9" t="s">
        <v>386</v>
      </c>
      <c r="D167" s="13" t="n">
        <f aca="false">IF(ISNUMBER('05 MATERIAL RATE LIBRARY'!N167),'05 MATERIAL RATE LIBRARY'!N167,"")</f>
        <v>175.5</v>
      </c>
      <c r="E167" s="13" t="n">
        <f aca="false">IF(ISNUMBER($D167),$D167,"")</f>
        <v>175.5</v>
      </c>
      <c r="F167" s="13" t="n">
        <f aca="false">IF(ISNUMBER($D167),$D167,"")</f>
        <v>175.5</v>
      </c>
      <c r="G167" s="13" t="n">
        <f aca="false">IF(ISNUMBER($D167),$D167,"")</f>
        <v>175.5</v>
      </c>
      <c r="H167" s="13" t="n">
        <f aca="false">IF(ISNUMBER($D167),$D167,"")</f>
        <v>175.5</v>
      </c>
      <c r="I167" s="13" t="n">
        <f aca="false">IF(ISNUMBER($D167),$D167,"")</f>
        <v>175.5</v>
      </c>
      <c r="J167" s="13" t="n">
        <f aca="false">IF(ISNUMBER($D167),$D167,"")</f>
        <v>175.5</v>
      </c>
      <c r="K167" s="13" t="n">
        <f aca="false">IF(ISNUMBER($D167),$D167,"")</f>
        <v>175.5</v>
      </c>
      <c r="L167" s="13" t="n">
        <f aca="false">IF(ISNUMBER($D167),$D167,"")</f>
        <v>175.5</v>
      </c>
      <c r="M167" s="13" t="n">
        <f aca="false">IF(ISNUMBER($D167),$D167,"")</f>
        <v>175.5</v>
      </c>
      <c r="N167" s="13" t="n">
        <f aca="false">IF(ISNUMBER($D167),$D167,"")</f>
        <v>175.5</v>
      </c>
      <c r="O167" s="5" t="s">
        <v>2136</v>
      </c>
    </row>
    <row r="168" customFormat="false" ht="15" hidden="false" customHeight="true" outlineLevel="0" collapsed="false">
      <c r="A168" s="9" t="s">
        <v>1346</v>
      </c>
      <c r="B168" s="9" t="s">
        <v>1926</v>
      </c>
      <c r="C168" s="9" t="s">
        <v>368</v>
      </c>
      <c r="D168" s="13" t="n">
        <f aca="false">IF(ISNUMBER('05 MATERIAL RATE LIBRARY'!N168),'05 MATERIAL RATE LIBRARY'!N168,"")</f>
        <v>108</v>
      </c>
      <c r="E168" s="13" t="n">
        <f aca="false">IF(ISNUMBER($D168),$D168,"")</f>
        <v>108</v>
      </c>
      <c r="F168" s="13" t="n">
        <f aca="false">IF(ISNUMBER($D168),$D168,"")</f>
        <v>108</v>
      </c>
      <c r="G168" s="13" t="n">
        <f aca="false">IF(ISNUMBER($D168),$D168,"")</f>
        <v>108</v>
      </c>
      <c r="H168" s="13" t="n">
        <f aca="false">IF(ISNUMBER($D168),$D168,"")</f>
        <v>108</v>
      </c>
      <c r="I168" s="13" t="n">
        <f aca="false">IF(ISNUMBER($D168),$D168,"")</f>
        <v>108</v>
      </c>
      <c r="J168" s="13" t="n">
        <f aca="false">IF(ISNUMBER($D168),$D168,"")</f>
        <v>108</v>
      </c>
      <c r="K168" s="13" t="n">
        <f aca="false">IF(ISNUMBER($D168),$D168,"")</f>
        <v>108</v>
      </c>
      <c r="L168" s="13" t="n">
        <f aca="false">IF(ISNUMBER($D168),$D168,"")</f>
        <v>108</v>
      </c>
      <c r="M168" s="13" t="n">
        <f aca="false">IF(ISNUMBER($D168),$D168,"")</f>
        <v>108</v>
      </c>
      <c r="N168" s="13" t="n">
        <f aca="false">IF(ISNUMBER($D168),$D168,"")</f>
        <v>108</v>
      </c>
      <c r="O168" s="5" t="s">
        <v>2136</v>
      </c>
    </row>
    <row r="169" customFormat="false" ht="15" hidden="false" customHeight="true" outlineLevel="0" collapsed="false">
      <c r="A169" s="9" t="s">
        <v>1347</v>
      </c>
      <c r="B169" s="9" t="s">
        <v>1927</v>
      </c>
      <c r="C169" s="9" t="s">
        <v>368</v>
      </c>
      <c r="D169" s="13" t="n">
        <f aca="false">IF(ISNUMBER('05 MATERIAL RATE LIBRARY'!N169),'05 MATERIAL RATE LIBRARY'!N169,"")</f>
        <v>219</v>
      </c>
      <c r="E169" s="13" t="n">
        <f aca="false">IF(ISNUMBER($D169),$D169,"")</f>
        <v>219</v>
      </c>
      <c r="F169" s="13" t="n">
        <f aca="false">IF(ISNUMBER($D169),$D169,"")</f>
        <v>219</v>
      </c>
      <c r="G169" s="13" t="n">
        <f aca="false">IF(ISNUMBER($D169),$D169,"")</f>
        <v>219</v>
      </c>
      <c r="H169" s="13" t="n">
        <f aca="false">IF(ISNUMBER($D169),$D169,"")</f>
        <v>219</v>
      </c>
      <c r="I169" s="13" t="n">
        <f aca="false">IF(ISNUMBER($D169),$D169,"")</f>
        <v>219</v>
      </c>
      <c r="J169" s="13" t="n">
        <f aca="false">IF(ISNUMBER($D169),$D169,"")</f>
        <v>219</v>
      </c>
      <c r="K169" s="13" t="n">
        <f aca="false">IF(ISNUMBER($D169),$D169,"")</f>
        <v>219</v>
      </c>
      <c r="L169" s="13" t="n">
        <f aca="false">IF(ISNUMBER($D169),$D169,"")</f>
        <v>219</v>
      </c>
      <c r="M169" s="13" t="n">
        <f aca="false">IF(ISNUMBER($D169),$D169,"")</f>
        <v>219</v>
      </c>
      <c r="N169" s="13" t="n">
        <f aca="false">IF(ISNUMBER($D169),$D169,"")</f>
        <v>219</v>
      </c>
      <c r="O169" s="5" t="s">
        <v>2136</v>
      </c>
    </row>
    <row r="170" customFormat="false" ht="15" hidden="false" customHeight="true" outlineLevel="0" collapsed="false">
      <c r="A170" s="9" t="s">
        <v>1348</v>
      </c>
      <c r="B170" s="9" t="s">
        <v>1928</v>
      </c>
      <c r="C170" s="9" t="s">
        <v>212</v>
      </c>
      <c r="D170" s="13" t="n">
        <f aca="false">IF(ISNUMBER('05 MATERIAL RATE LIBRARY'!N170),'05 MATERIAL RATE LIBRARY'!N170,"")</f>
        <v>225</v>
      </c>
      <c r="E170" s="13" t="n">
        <f aca="false">IF(ISNUMBER($D170),$D170,"")</f>
        <v>225</v>
      </c>
      <c r="F170" s="13" t="n">
        <f aca="false">IF(ISNUMBER($D170),$D170,"")</f>
        <v>225</v>
      </c>
      <c r="G170" s="13" t="n">
        <f aca="false">IF(ISNUMBER($D170),$D170,"")</f>
        <v>225</v>
      </c>
      <c r="H170" s="13" t="n">
        <f aca="false">IF(ISNUMBER($D170),$D170,"")</f>
        <v>225</v>
      </c>
      <c r="I170" s="13" t="n">
        <f aca="false">IF(ISNUMBER($D170),$D170,"")</f>
        <v>225</v>
      </c>
      <c r="J170" s="13" t="n">
        <f aca="false">IF(ISNUMBER($D170),$D170,"")</f>
        <v>225</v>
      </c>
      <c r="K170" s="13" t="n">
        <f aca="false">IF(ISNUMBER($D170),$D170,"")</f>
        <v>225</v>
      </c>
      <c r="L170" s="13" t="n">
        <f aca="false">IF(ISNUMBER($D170),$D170,"")</f>
        <v>225</v>
      </c>
      <c r="M170" s="13" t="n">
        <f aca="false">IF(ISNUMBER($D170),$D170,"")</f>
        <v>225</v>
      </c>
      <c r="N170" s="13" t="n">
        <f aca="false">IF(ISNUMBER($D170),$D170,"")</f>
        <v>225</v>
      </c>
      <c r="O170" s="5" t="s">
        <v>2136</v>
      </c>
    </row>
    <row r="171" customFormat="false" ht="15" hidden="false" customHeight="true" outlineLevel="0" collapsed="false">
      <c r="A171" s="9" t="s">
        <v>1354</v>
      </c>
      <c r="B171" s="9" t="s">
        <v>1932</v>
      </c>
      <c r="C171" s="9" t="s">
        <v>212</v>
      </c>
      <c r="D171" s="13" t="n">
        <f aca="false">IF(ISNUMBER('05 MATERIAL RATE LIBRARY'!N171),'05 MATERIAL RATE LIBRARY'!N171,"")</f>
        <v>350</v>
      </c>
      <c r="E171" s="13" t="n">
        <f aca="false">IF(ISNUMBER($D171),$D171,"")</f>
        <v>350</v>
      </c>
      <c r="F171" s="13" t="n">
        <f aca="false">IF(ISNUMBER($D171),$D171,"")</f>
        <v>350</v>
      </c>
      <c r="G171" s="13" t="n">
        <f aca="false">IF(ISNUMBER($D171),$D171,"")</f>
        <v>350</v>
      </c>
      <c r="H171" s="13" t="n">
        <f aca="false">IF(ISNUMBER($D171),$D171,"")</f>
        <v>350</v>
      </c>
      <c r="I171" s="13" t="n">
        <f aca="false">IF(ISNUMBER($D171),$D171,"")</f>
        <v>350</v>
      </c>
      <c r="J171" s="13" t="n">
        <f aca="false">IF(ISNUMBER($D171),$D171,"")</f>
        <v>350</v>
      </c>
      <c r="K171" s="13" t="n">
        <f aca="false">IF(ISNUMBER($D171),$D171,"")</f>
        <v>350</v>
      </c>
      <c r="L171" s="13" t="n">
        <f aca="false">IF(ISNUMBER($D171),$D171,"")</f>
        <v>350</v>
      </c>
      <c r="M171" s="13" t="n">
        <f aca="false">IF(ISNUMBER($D171),$D171,"")</f>
        <v>350</v>
      </c>
      <c r="N171" s="13" t="n">
        <f aca="false">IF(ISNUMBER($D171),$D171,"")</f>
        <v>350</v>
      </c>
      <c r="O171" s="5" t="s">
        <v>2136</v>
      </c>
    </row>
    <row r="172" customFormat="false" ht="15" hidden="false" customHeight="true" outlineLevel="0" collapsed="false">
      <c r="A172" s="9" t="s">
        <v>1350</v>
      </c>
      <c r="B172" s="9" t="s">
        <v>1935</v>
      </c>
      <c r="C172" s="9" t="s">
        <v>198</v>
      </c>
      <c r="D172" s="13" t="n">
        <f aca="false">IF(ISNUMBER('05 MATERIAL RATE LIBRARY'!N172),'05 MATERIAL RATE LIBRARY'!N172,"")</f>
        <v>700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5" t="s">
        <v>2137</v>
      </c>
    </row>
    <row r="173" customFormat="false" ht="15" hidden="false" customHeight="true" outlineLevel="0" collapsed="false">
      <c r="A173" s="9" t="s">
        <v>1356</v>
      </c>
      <c r="B173" s="9" t="s">
        <v>1937</v>
      </c>
      <c r="C173" s="9" t="s">
        <v>212</v>
      </c>
      <c r="D173" s="13" t="n">
        <f aca="false">IF(ISNUMBER('05 MATERIAL RATE LIBRARY'!N173),'05 MATERIAL RATE LIBRARY'!N173,"")</f>
        <v>0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5" t="s">
        <v>2137</v>
      </c>
    </row>
    <row r="174" customFormat="false" ht="15" hidden="false" customHeight="true" outlineLevel="0" collapsed="false">
      <c r="A174" s="9" t="s">
        <v>1358</v>
      </c>
      <c r="B174" s="9" t="s">
        <v>1939</v>
      </c>
      <c r="C174" s="9" t="s">
        <v>212</v>
      </c>
      <c r="D174" s="13" t="n">
        <f aca="false">IF(ISNUMBER('05 MATERIAL RATE LIBRARY'!N174),'05 MATERIAL RATE LIBRARY'!N174,"")</f>
        <v>200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5" t="s">
        <v>2137</v>
      </c>
    </row>
    <row r="175" customFormat="false" ht="15" hidden="false" customHeight="true" outlineLevel="0" collapsed="false">
      <c r="A175" s="9" t="s">
        <v>1395</v>
      </c>
      <c r="B175" s="9" t="s">
        <v>1942</v>
      </c>
      <c r="C175" s="9" t="s">
        <v>109</v>
      </c>
      <c r="D175" s="13" t="n">
        <f aca="false">IF(ISNUMBER('05 MATERIAL RATE LIBRARY'!N175),'05 MATERIAL RATE LIBRARY'!N175,"")</f>
        <v>337.25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5" t="s">
        <v>2137</v>
      </c>
    </row>
    <row r="176" customFormat="false" ht="15" hidden="false" customHeight="true" outlineLevel="0" collapsed="false">
      <c r="A176" s="9" t="s">
        <v>1401</v>
      </c>
      <c r="B176" s="9" t="s">
        <v>1946</v>
      </c>
      <c r="C176" s="9" t="s">
        <v>109</v>
      </c>
      <c r="D176" s="13" t="n">
        <f aca="false">IF(ISNUMBER('05 MATERIAL RATE LIBRARY'!N176),'05 MATERIAL RATE LIBRARY'!N176,"")</f>
        <v>331.31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5" t="s">
        <v>2137</v>
      </c>
    </row>
    <row r="177" customFormat="false" ht="15" hidden="false" customHeight="true" outlineLevel="0" collapsed="false">
      <c r="A177" s="9" t="s">
        <v>1402</v>
      </c>
      <c r="B177" s="9" t="s">
        <v>1950</v>
      </c>
      <c r="C177" s="9" t="s">
        <v>109</v>
      </c>
      <c r="D177" s="13" t="n">
        <f aca="false">IF(ISNUMBER('05 MATERIAL RATE LIBRARY'!N177),'05 MATERIAL RATE LIBRARY'!N177,"")</f>
        <v>427.58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5" t="s">
        <v>2137</v>
      </c>
    </row>
    <row r="178" customFormat="false" ht="15" hidden="false" customHeight="true" outlineLevel="0" collapsed="false">
      <c r="A178" s="9" t="s">
        <v>1403</v>
      </c>
      <c r="B178" s="9" t="s">
        <v>1952</v>
      </c>
      <c r="C178" s="9" t="s">
        <v>109</v>
      </c>
      <c r="D178" s="13" t="n">
        <f aca="false">IF(ISNUMBER('05 MATERIAL RATE LIBRARY'!N178),'05 MATERIAL RATE LIBRARY'!N178,"")</f>
        <v>270.03</v>
      </c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5" t="s">
        <v>2137</v>
      </c>
    </row>
    <row r="179" customFormat="false" ht="15" hidden="false" customHeight="true" outlineLevel="0" collapsed="false">
      <c r="A179" s="9" t="s">
        <v>987</v>
      </c>
      <c r="B179" s="9" t="s">
        <v>1955</v>
      </c>
      <c r="C179" s="9" t="s">
        <v>212</v>
      </c>
      <c r="D179" s="13" t="n">
        <f aca="false">IF(ISNUMBER('05 MATERIAL RATE LIBRARY'!N179),'05 MATERIAL RATE LIBRARY'!N179,"")</f>
        <v>176.1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5" t="s">
        <v>2137</v>
      </c>
    </row>
    <row r="180" customFormat="false" ht="15" hidden="false" customHeight="true" outlineLevel="0" collapsed="false">
      <c r="A180" s="9" t="s">
        <v>992</v>
      </c>
      <c r="B180" s="9" t="s">
        <v>1958</v>
      </c>
      <c r="C180" s="9" t="s">
        <v>212</v>
      </c>
      <c r="D180" s="13" t="n">
        <f aca="false">IF(ISNUMBER('05 MATERIAL RATE LIBRARY'!N180),'05 MATERIAL RATE LIBRARY'!N180,"")</f>
        <v>212.19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5" t="s">
        <v>2137</v>
      </c>
    </row>
    <row r="181" customFormat="false" ht="32.25" hidden="false" customHeight="true" outlineLevel="0" collapsed="false">
      <c r="A181" s="9" t="s">
        <v>813</v>
      </c>
      <c r="B181" s="9" t="s">
        <v>2037</v>
      </c>
      <c r="C181" s="9" t="s">
        <v>815</v>
      </c>
      <c r="D181" s="13" t="n">
        <f aca="false">IF(ISNUMBER('06 LABOUR RATE LIBRARY'!M5),'06 LABOUR RATE LIBRARY'!M5,"")</f>
        <v>2200</v>
      </c>
      <c r="E181" s="33" t="n">
        <v>2700</v>
      </c>
      <c r="F181" s="33" t="n">
        <v>2700</v>
      </c>
      <c r="G181" s="33" t="n">
        <v>2500</v>
      </c>
      <c r="H181" s="33" t="n">
        <v>1900</v>
      </c>
      <c r="I181" s="33" t="n">
        <v>1800</v>
      </c>
      <c r="J181" s="33" t="n">
        <v>2000</v>
      </c>
      <c r="K181" s="33" t="n">
        <v>1800</v>
      </c>
      <c r="L181" s="33" t="n">
        <v>1800</v>
      </c>
      <c r="M181" s="33" t="n">
        <v>1900</v>
      </c>
      <c r="N181" s="33" t="n">
        <v>1800</v>
      </c>
      <c r="O181" s="5" t="s">
        <v>2139</v>
      </c>
    </row>
    <row r="182" customFormat="false" ht="21.75" hidden="false" customHeight="true" outlineLevel="0" collapsed="false">
      <c r="A182" s="9" t="s">
        <v>816</v>
      </c>
      <c r="B182" s="9" t="s">
        <v>2040</v>
      </c>
      <c r="C182" s="9" t="s">
        <v>815</v>
      </c>
      <c r="D182" s="13" t="n">
        <f aca="false">IF(ISNUMBER('06 LABOUR RATE LIBRARY'!M6),'06 LABOUR RATE LIBRARY'!M6,"")</f>
        <v>1538</v>
      </c>
      <c r="E182" s="33" t="n">
        <v>1423</v>
      </c>
      <c r="F182" s="33" t="n">
        <v>1538</v>
      </c>
      <c r="G182" s="33" t="n">
        <v>1538</v>
      </c>
      <c r="H182" s="33" t="n">
        <v>1538</v>
      </c>
      <c r="I182" s="33" t="n">
        <v>1538</v>
      </c>
      <c r="J182" s="33" t="n">
        <v>1538</v>
      </c>
      <c r="K182" s="33" t="n">
        <v>1538</v>
      </c>
      <c r="L182" s="33" t="n">
        <v>1538</v>
      </c>
      <c r="M182" s="33" t="n">
        <v>1538</v>
      </c>
      <c r="N182" s="33" t="n">
        <v>1423</v>
      </c>
      <c r="O182" s="5" t="s">
        <v>2140</v>
      </c>
    </row>
    <row r="183" customFormat="false" ht="32.25" hidden="false" customHeight="true" outlineLevel="0" collapsed="false">
      <c r="A183" s="9" t="s">
        <v>880</v>
      </c>
      <c r="B183" s="9" t="s">
        <v>2044</v>
      </c>
      <c r="C183" s="9" t="s">
        <v>815</v>
      </c>
      <c r="D183" s="13" t="n">
        <f aca="false">IF(ISNUMBER('06 LABOUR RATE LIBRARY'!M7),'06 LABOUR RATE LIBRARY'!M7,"")</f>
        <v>2450</v>
      </c>
      <c r="E183" s="33" t="n">
        <v>2700</v>
      </c>
      <c r="F183" s="33" t="n">
        <v>2700</v>
      </c>
      <c r="G183" s="33" t="n">
        <v>2500</v>
      </c>
      <c r="H183" s="33" t="n">
        <v>1900</v>
      </c>
      <c r="I183" s="33" t="n">
        <v>1800</v>
      </c>
      <c r="J183" s="33" t="n">
        <v>2000</v>
      </c>
      <c r="K183" s="33" t="n">
        <v>1800</v>
      </c>
      <c r="L183" s="33" t="n">
        <v>1800</v>
      </c>
      <c r="M183" s="33" t="n">
        <v>1900</v>
      </c>
      <c r="N183" s="33" t="n">
        <v>1800</v>
      </c>
      <c r="O183" s="5" t="s">
        <v>2139</v>
      </c>
    </row>
    <row r="184" customFormat="false" ht="32.25" hidden="false" customHeight="true" outlineLevel="0" collapsed="false">
      <c r="A184" s="9" t="s">
        <v>892</v>
      </c>
      <c r="B184" s="9" t="s">
        <v>2047</v>
      </c>
      <c r="C184" s="9" t="s">
        <v>815</v>
      </c>
      <c r="D184" s="13" t="n">
        <f aca="false">IF(ISNUMBER('06 LABOUR RATE LIBRARY'!M8),'06 LABOUR RATE LIBRARY'!M8,"")</f>
        <v>2150</v>
      </c>
      <c r="E184" s="33" t="n">
        <v>2700</v>
      </c>
      <c r="F184" s="33" t="n">
        <v>2700</v>
      </c>
      <c r="G184" s="33" t="n">
        <v>2500</v>
      </c>
      <c r="H184" s="33" t="n">
        <v>1900</v>
      </c>
      <c r="I184" s="33" t="n">
        <v>1800</v>
      </c>
      <c r="J184" s="33" t="n">
        <v>2000</v>
      </c>
      <c r="K184" s="33" t="n">
        <v>1800</v>
      </c>
      <c r="L184" s="33" t="n">
        <v>1800</v>
      </c>
      <c r="M184" s="33" t="n">
        <v>1900</v>
      </c>
      <c r="N184" s="33" t="n">
        <v>1800</v>
      </c>
      <c r="O184" s="5" t="s">
        <v>2139</v>
      </c>
    </row>
    <row r="185" customFormat="false" ht="32.25" hidden="false" customHeight="true" outlineLevel="0" collapsed="false">
      <c r="A185" s="9" t="s">
        <v>907</v>
      </c>
      <c r="B185" s="9" t="s">
        <v>2049</v>
      </c>
      <c r="C185" s="9" t="s">
        <v>815</v>
      </c>
      <c r="D185" s="13" t="n">
        <f aca="false">IF(ISNUMBER('06 LABOUR RATE LIBRARY'!M9),'06 LABOUR RATE LIBRARY'!M9,"")</f>
        <v>2400</v>
      </c>
      <c r="E185" s="33" t="n">
        <v>2700</v>
      </c>
      <c r="F185" s="33" t="n">
        <v>2700</v>
      </c>
      <c r="G185" s="33" t="n">
        <v>2500</v>
      </c>
      <c r="H185" s="33" t="n">
        <v>1900</v>
      </c>
      <c r="I185" s="33" t="n">
        <v>1800</v>
      </c>
      <c r="J185" s="33" t="n">
        <v>2000</v>
      </c>
      <c r="K185" s="33" t="n">
        <v>1800</v>
      </c>
      <c r="L185" s="33" t="n">
        <v>1800</v>
      </c>
      <c r="M185" s="33" t="n">
        <v>1900</v>
      </c>
      <c r="N185" s="33" t="n">
        <v>1800</v>
      </c>
      <c r="O185" s="5" t="s">
        <v>2139</v>
      </c>
    </row>
    <row r="186" customFormat="false" ht="32.25" hidden="false" customHeight="true" outlineLevel="0" collapsed="false">
      <c r="A186" s="9" t="s">
        <v>953</v>
      </c>
      <c r="B186" s="9" t="s">
        <v>2051</v>
      </c>
      <c r="C186" s="9" t="s">
        <v>815</v>
      </c>
      <c r="D186" s="13" t="n">
        <f aca="false">IF(ISNUMBER('06 LABOUR RATE LIBRARY'!M10),'06 LABOUR RATE LIBRARY'!M10,"")</f>
        <v>2200</v>
      </c>
      <c r="E186" s="33" t="n">
        <v>2700</v>
      </c>
      <c r="F186" s="33" t="n">
        <v>2700</v>
      </c>
      <c r="G186" s="33" t="n">
        <v>2500</v>
      </c>
      <c r="H186" s="33" t="n">
        <v>1900</v>
      </c>
      <c r="I186" s="33" t="n">
        <v>1800</v>
      </c>
      <c r="J186" s="33" t="n">
        <v>2000</v>
      </c>
      <c r="K186" s="33" t="n">
        <v>1800</v>
      </c>
      <c r="L186" s="33" t="n">
        <v>1800</v>
      </c>
      <c r="M186" s="33" t="n">
        <v>1900</v>
      </c>
      <c r="N186" s="33" t="n">
        <v>1800</v>
      </c>
      <c r="O186" s="5" t="s">
        <v>2139</v>
      </c>
    </row>
    <row r="187" customFormat="false" ht="32.25" hidden="false" customHeight="true" outlineLevel="0" collapsed="false">
      <c r="A187" s="9" t="s">
        <v>973</v>
      </c>
      <c r="B187" s="9" t="s">
        <v>2054</v>
      </c>
      <c r="C187" s="9" t="s">
        <v>815</v>
      </c>
      <c r="D187" s="13" t="n">
        <f aca="false">IF(ISNUMBER('06 LABOUR RATE LIBRARY'!M11),'06 LABOUR RATE LIBRARY'!M11,"")</f>
        <v>2500</v>
      </c>
      <c r="E187" s="33" t="n">
        <v>2700</v>
      </c>
      <c r="F187" s="33" t="n">
        <v>2700</v>
      </c>
      <c r="G187" s="33" t="n">
        <v>2500</v>
      </c>
      <c r="H187" s="33" t="n">
        <v>1900</v>
      </c>
      <c r="I187" s="33" t="n">
        <v>1800</v>
      </c>
      <c r="J187" s="33" t="n">
        <v>2000</v>
      </c>
      <c r="K187" s="33" t="n">
        <v>1800</v>
      </c>
      <c r="L187" s="33" t="n">
        <v>1800</v>
      </c>
      <c r="M187" s="33" t="n">
        <v>1900</v>
      </c>
      <c r="N187" s="33" t="n">
        <v>1800</v>
      </c>
      <c r="O187" s="5" t="s">
        <v>2139</v>
      </c>
    </row>
    <row r="188" customFormat="false" ht="32.25" hidden="false" customHeight="true" outlineLevel="0" collapsed="false">
      <c r="A188" s="9" t="s">
        <v>1000</v>
      </c>
      <c r="B188" s="9" t="s">
        <v>2056</v>
      </c>
      <c r="C188" s="9" t="s">
        <v>815</v>
      </c>
      <c r="D188" s="13" t="n">
        <f aca="false">IF(ISNUMBER('06 LABOUR RATE LIBRARY'!M12),'06 LABOUR RATE LIBRARY'!M12,"")</f>
        <v>2100</v>
      </c>
      <c r="E188" s="33" t="n">
        <v>2700</v>
      </c>
      <c r="F188" s="33" t="n">
        <v>2700</v>
      </c>
      <c r="G188" s="33" t="n">
        <v>2500</v>
      </c>
      <c r="H188" s="33" t="n">
        <v>1900</v>
      </c>
      <c r="I188" s="33" t="n">
        <v>1800</v>
      </c>
      <c r="J188" s="33" t="n">
        <v>2000</v>
      </c>
      <c r="K188" s="33" t="n">
        <v>1800</v>
      </c>
      <c r="L188" s="33" t="n">
        <v>1800</v>
      </c>
      <c r="M188" s="33" t="n">
        <v>1900</v>
      </c>
      <c r="N188" s="33" t="n">
        <v>1800</v>
      </c>
      <c r="O188" s="5" t="s">
        <v>2139</v>
      </c>
    </row>
    <row r="189" customFormat="false" ht="15" hidden="false" customHeight="true" outlineLevel="0" collapsed="false">
      <c r="A189" s="9" t="s">
        <v>989</v>
      </c>
      <c r="B189" s="9" t="s">
        <v>2060</v>
      </c>
      <c r="C189" s="9" t="s">
        <v>815</v>
      </c>
      <c r="D189" s="13" t="n">
        <f aca="false">IF(ISNUMBER('06 LABOUR RATE LIBRARY'!M13),'06 LABOUR RATE LIBRARY'!M13,"")</f>
        <v>2200</v>
      </c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5" t="s">
        <v>2137</v>
      </c>
    </row>
    <row r="190" customFormat="false" ht="15" hidden="false" customHeight="true" outlineLevel="0" collapsed="false">
      <c r="A190" s="9" t="s">
        <v>1009</v>
      </c>
      <c r="B190" s="9" t="s">
        <v>2062</v>
      </c>
      <c r="C190" s="9" t="s">
        <v>815</v>
      </c>
      <c r="D190" s="13" t="n">
        <f aca="false">IF(ISNUMBER('06 LABOUR RATE LIBRARY'!M14),'06 LABOUR RATE LIBRARY'!M14,"")</f>
        <v>2200</v>
      </c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5" t="s">
        <v>2137</v>
      </c>
    </row>
    <row r="191" customFormat="false" ht="15" hidden="false" customHeight="true" outlineLevel="0" collapsed="false">
      <c r="A191" s="9" t="s">
        <v>1134</v>
      </c>
      <c r="B191" s="9" t="s">
        <v>2064</v>
      </c>
      <c r="C191" s="9" t="s">
        <v>815</v>
      </c>
      <c r="D191" s="13" t="n">
        <f aca="false">IF(ISNUMBER('06 LABOUR RATE LIBRARY'!M15),'06 LABOUR RATE LIBRARY'!M15,"")</f>
        <v>2600</v>
      </c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5" t="s">
        <v>2137</v>
      </c>
    </row>
    <row r="192" customFormat="false" ht="15" hidden="false" customHeight="true" outlineLevel="0" collapsed="false">
      <c r="A192" s="9" t="s">
        <v>1249</v>
      </c>
      <c r="B192" s="9" t="s">
        <v>2066</v>
      </c>
      <c r="C192" s="9" t="s">
        <v>815</v>
      </c>
      <c r="D192" s="13" t="n">
        <f aca="false">IF(ISNUMBER('06 LABOUR RATE LIBRARY'!M16),'06 LABOUR RATE LIBRARY'!M16,"")</f>
        <v>2800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5" t="s">
        <v>2137</v>
      </c>
    </row>
    <row r="193" customFormat="false" ht="15" hidden="false" customHeight="true" outlineLevel="0" collapsed="false">
      <c r="A193" s="9" t="s">
        <v>1057</v>
      </c>
      <c r="B193" s="9" t="s">
        <v>2068</v>
      </c>
      <c r="C193" s="9" t="s">
        <v>815</v>
      </c>
      <c r="D193" s="13" t="n">
        <f aca="false">IF(ISNUMBER('06 LABOUR RATE LIBRARY'!M17),'06 LABOUR RATE LIBRARY'!M17,"")</f>
        <v>2200</v>
      </c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5" t="s">
        <v>2137</v>
      </c>
    </row>
    <row r="194" customFormat="false" ht="15" hidden="false" customHeight="true" outlineLevel="0" collapsed="false">
      <c r="A194" s="9" t="s">
        <v>1083</v>
      </c>
      <c r="B194" s="9" t="s">
        <v>2069</v>
      </c>
      <c r="C194" s="9" t="s">
        <v>815</v>
      </c>
      <c r="D194" s="13" t="n">
        <f aca="false">IF(ISNUMBER('06 LABOUR RATE LIBRARY'!M18),'06 LABOUR RATE LIBRARY'!M18,"")</f>
        <v>2200</v>
      </c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5" t="s">
        <v>2137</v>
      </c>
    </row>
    <row r="195" customFormat="false" ht="15" hidden="false" customHeight="true" outlineLevel="0" collapsed="false">
      <c r="A195" s="9" t="s">
        <v>1222</v>
      </c>
      <c r="B195" s="9" t="s">
        <v>2070</v>
      </c>
      <c r="C195" s="9" t="s">
        <v>815</v>
      </c>
      <c r="D195" s="13" t="n">
        <f aca="false">IF(ISNUMBER('06 LABOUR RATE LIBRARY'!M19),'06 LABOUR RATE LIBRARY'!M19,"")</f>
        <v>2600</v>
      </c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5" t="s">
        <v>2137</v>
      </c>
    </row>
    <row r="196" customFormat="false" ht="15" hidden="false" customHeight="true" outlineLevel="0" collapsed="false">
      <c r="A196" s="9" t="s">
        <v>1302</v>
      </c>
      <c r="B196" s="9" t="s">
        <v>2072</v>
      </c>
      <c r="C196" s="9" t="s">
        <v>815</v>
      </c>
      <c r="D196" s="13" t="n">
        <f aca="false">IF(ISNUMBER('06 LABOUR RATE LIBRARY'!M20),'06 LABOUR RATE LIBRARY'!M20,"")</f>
        <v>2800</v>
      </c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5" t="s">
        <v>2137</v>
      </c>
    </row>
    <row r="197" customFormat="false" ht="15" hidden="false" customHeight="true" outlineLevel="0" collapsed="false">
      <c r="A197" s="9" t="s">
        <v>1321</v>
      </c>
      <c r="B197" s="9" t="s">
        <v>2074</v>
      </c>
      <c r="C197" s="9" t="s">
        <v>815</v>
      </c>
      <c r="D197" s="13" t="n">
        <f aca="false">IF(ISNUMBER('06 LABOUR RATE LIBRARY'!M21),'06 LABOUR RATE LIBRARY'!M21,"")</f>
        <v>2200</v>
      </c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5" t="s">
        <v>2137</v>
      </c>
    </row>
    <row r="198" customFormat="false" ht="15" hidden="false" customHeight="true" outlineLevel="0" collapsed="false">
      <c r="A198" s="9" t="s">
        <v>821</v>
      </c>
      <c r="B198" s="9" t="s">
        <v>2095</v>
      </c>
      <c r="C198" s="9" t="s">
        <v>815</v>
      </c>
      <c r="D198" s="13" t="n">
        <f aca="false">IF(ISNUMBER('07 EQUIPMENT RATE LIBRARY'!I5),'07 EQUIPMENT RATE LIBRARY'!I5,"")</f>
        <v>3500</v>
      </c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5" t="s">
        <v>2137</v>
      </c>
    </row>
    <row r="199" customFormat="false" ht="15" hidden="false" customHeight="true" outlineLevel="0" collapsed="false">
      <c r="A199" s="9" t="s">
        <v>819</v>
      </c>
      <c r="B199" s="9" t="s">
        <v>2097</v>
      </c>
      <c r="C199" s="9" t="s">
        <v>815</v>
      </c>
      <c r="D199" s="13" t="n">
        <f aca="false">IF(ISNUMBER('07 EQUIPMENT RATE LIBRARY'!I6),'07 EQUIPMENT RATE LIBRARY'!I6,"")</f>
        <v>227</v>
      </c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5" t="s">
        <v>2137</v>
      </c>
    </row>
    <row r="200" customFormat="false" ht="15" hidden="false" customHeight="true" outlineLevel="0" collapsed="false">
      <c r="A200" s="9" t="s">
        <v>823</v>
      </c>
      <c r="B200" s="9" t="s">
        <v>2099</v>
      </c>
      <c r="C200" s="9" t="s">
        <v>109</v>
      </c>
      <c r="D200" s="13" t="n">
        <f aca="false">IF(ISNUMBER('07 EQUIPMENT RATE LIBRARY'!I7),'07 EQUIPMENT RATE LIBRARY'!I7,"")</f>
        <v>28.32</v>
      </c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5" t="s">
        <v>2137</v>
      </c>
    </row>
    <row r="201" customFormat="false" ht="15" hidden="false" customHeight="true" outlineLevel="0" collapsed="false">
      <c r="A201" s="9" t="s">
        <v>2101</v>
      </c>
      <c r="B201" s="9" t="s">
        <v>2102</v>
      </c>
      <c r="C201" s="9" t="s">
        <v>109</v>
      </c>
      <c r="D201" s="13" t="n">
        <f aca="false">IF(ISNUMBER('07 EQUIPMENT RATE LIBRARY'!I8),'07 EQUIPMENT RATE LIBRARY'!I8,"")</f>
        <v>45</v>
      </c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5" t="s">
        <v>2137</v>
      </c>
    </row>
    <row r="202" customFormat="false" ht="15" hidden="false" customHeight="true" outlineLevel="0" collapsed="false">
      <c r="A202" s="9" t="s">
        <v>910</v>
      </c>
      <c r="B202" s="9" t="s">
        <v>2104</v>
      </c>
      <c r="C202" s="9" t="s">
        <v>212</v>
      </c>
      <c r="D202" s="13" t="n">
        <f aca="false">IF(ISNUMBER('07 EQUIPMENT RATE LIBRARY'!I9),'07 EQUIPMENT RATE LIBRARY'!I9,"")</f>
        <v>10</v>
      </c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5" t="s">
        <v>2137</v>
      </c>
    </row>
    <row r="203" customFormat="false" ht="15" hidden="false" customHeight="true" outlineLevel="0" collapsed="false">
      <c r="A203" s="9" t="s">
        <v>951</v>
      </c>
      <c r="B203" s="9" t="s">
        <v>2106</v>
      </c>
      <c r="C203" s="9" t="s">
        <v>815</v>
      </c>
      <c r="D203" s="13" t="n">
        <f aca="false">IF(ISNUMBER('07 EQUIPMENT RATE LIBRARY'!I10),'07 EQUIPMENT RATE LIBRARY'!I10,"")</f>
        <v>800</v>
      </c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5" t="s">
        <v>2137</v>
      </c>
    </row>
    <row r="204" customFormat="false" ht="15" hidden="false" customHeight="true" outlineLevel="0" collapsed="false">
      <c r="A204" s="9" t="s">
        <v>1015</v>
      </c>
      <c r="B204" s="9" t="s">
        <v>2108</v>
      </c>
      <c r="C204" s="9" t="s">
        <v>109</v>
      </c>
      <c r="D204" s="13" t="n">
        <f aca="false">IF(ISNUMBER('07 EQUIPMENT RATE LIBRARY'!I11),'07 EQUIPMENT RATE LIBRARY'!I11,"")</f>
        <v>9.523</v>
      </c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5" t="s">
        <v>2137</v>
      </c>
    </row>
    <row r="205" customFormat="false" ht="15" hidden="false" customHeight="true" outlineLevel="0" collapsed="false">
      <c r="A205" s="9" t="s">
        <v>1022</v>
      </c>
      <c r="B205" s="9" t="s">
        <v>2110</v>
      </c>
      <c r="C205" s="9" t="s">
        <v>109</v>
      </c>
      <c r="D205" s="13" t="n">
        <f aca="false">IF(ISNUMBER('07 EQUIPMENT RATE LIBRARY'!I12),'07 EQUIPMENT RATE LIBRARY'!I12,"")</f>
        <v>2.011</v>
      </c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5" t="s">
        <v>2137</v>
      </c>
    </row>
    <row r="206" customFormat="false" ht="15" hidden="false" customHeight="true" outlineLevel="0" collapsed="false">
      <c r="A206" s="9" t="s">
        <v>1013</v>
      </c>
      <c r="B206" s="9" t="s">
        <v>2112</v>
      </c>
      <c r="C206" s="9" t="s">
        <v>109</v>
      </c>
      <c r="D206" s="13" t="n">
        <f aca="false">IF(ISNUMBER('07 EQUIPMENT RATE LIBRARY'!I13),'07 EQUIPMENT RATE LIBRARY'!I13,"")</f>
        <v>45</v>
      </c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5" t="s">
        <v>2137</v>
      </c>
    </row>
    <row r="207" customFormat="false" ht="15" hidden="false" customHeight="true" outlineLevel="0" collapsed="false">
      <c r="A207" s="9" t="s">
        <v>1109</v>
      </c>
      <c r="B207" s="9" t="s">
        <v>2114</v>
      </c>
      <c r="C207" s="9" t="s">
        <v>109</v>
      </c>
      <c r="D207" s="13" t="n">
        <f aca="false">IF(ISNUMBER('07 EQUIPMENT RATE LIBRARY'!I14),'07 EQUIPMENT RATE LIBRARY'!I14,"")</f>
        <v>2.011</v>
      </c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5" t="s">
        <v>2137</v>
      </c>
    </row>
    <row r="208" customFormat="false" ht="15" hidden="false" customHeight="true" outlineLevel="0" collapsed="false">
      <c r="A208" s="9" t="s">
        <v>1007</v>
      </c>
      <c r="B208" s="9" t="s">
        <v>2116</v>
      </c>
      <c r="C208" s="9" t="s">
        <v>212</v>
      </c>
      <c r="D208" s="13" t="n">
        <f aca="false">IF(ISNUMBER('07 EQUIPMENT RATE LIBRARY'!I15),'07 EQUIPMENT RATE LIBRARY'!I15,"")</f>
        <v>75</v>
      </c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5" t="s">
        <v>2137</v>
      </c>
    </row>
    <row r="209" customFormat="false" ht="15" hidden="false" customHeight="true" outlineLevel="0" collapsed="false">
      <c r="A209" s="9" t="s">
        <v>1074</v>
      </c>
      <c r="B209" s="9" t="s">
        <v>2118</v>
      </c>
      <c r="C209" s="9" t="s">
        <v>212</v>
      </c>
      <c r="D209" s="13" t="n">
        <f aca="false">IF(ISNUMBER('07 EQUIPMENT RATE LIBRARY'!I16),'07 EQUIPMENT RATE LIBRARY'!I16,"")</f>
        <v>3.75</v>
      </c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5" t="s">
        <v>2137</v>
      </c>
    </row>
    <row r="210" customFormat="false" ht="15" hidden="false" customHeight="true" outlineLevel="0" collapsed="false">
      <c r="A210" s="9" t="s">
        <v>1018</v>
      </c>
      <c r="B210" s="9" t="s">
        <v>2120</v>
      </c>
      <c r="C210" s="9" t="s">
        <v>109</v>
      </c>
      <c r="D210" s="13" t="n">
        <f aca="false">IF(ISNUMBER('07 EQUIPMENT RATE LIBRARY'!I17),'07 EQUIPMENT RATE LIBRARY'!I17,"")</f>
        <v>11.164</v>
      </c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5" t="s">
        <v>2137</v>
      </c>
    </row>
    <row r="211" customFormat="false" ht="15" hidden="false" customHeight="true" outlineLevel="0" collapsed="false">
      <c r="A211" s="9" t="s">
        <v>1404</v>
      </c>
      <c r="B211" s="9" t="s">
        <v>2075</v>
      </c>
      <c r="C211" s="9" t="s">
        <v>109</v>
      </c>
      <c r="D211" s="13" t="n">
        <f aca="false">IF(ISNUMBER('06 LABOUR RATE LIBRARY'!M22),'06 LABOUR RATE LIBRARY'!M22,"")</f>
        <v>60.9</v>
      </c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5" t="s">
        <v>2137</v>
      </c>
    </row>
    <row r="212" customFormat="false" ht="15" hidden="false" customHeight="true" outlineLevel="0" collapsed="false">
      <c r="A212" s="9" t="s">
        <v>1406</v>
      </c>
      <c r="B212" s="9" t="s">
        <v>2078</v>
      </c>
      <c r="C212" s="9" t="s">
        <v>109</v>
      </c>
      <c r="D212" s="13" t="n">
        <f aca="false">IF(ISNUMBER('06 LABOUR RATE LIBRARY'!M23),'06 LABOUR RATE LIBRARY'!M23,"")</f>
        <v>17.9345</v>
      </c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5" t="s">
        <v>2137</v>
      </c>
    </row>
    <row r="213" customFormat="false" ht="15" hidden="false" customHeight="true" outlineLevel="0" collapsed="false">
      <c r="A213" s="9" t="s">
        <v>1407</v>
      </c>
      <c r="B213" s="9" t="s">
        <v>2080</v>
      </c>
      <c r="C213" s="9" t="s">
        <v>109</v>
      </c>
      <c r="D213" s="13" t="n">
        <f aca="false">IF(ISNUMBER('06 LABOUR RATE LIBRARY'!M24),'06 LABOUR RATE LIBRARY'!M24,"")</f>
        <v>40.269</v>
      </c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5" t="s">
        <v>2137</v>
      </c>
    </row>
    <row r="214" customFormat="false" ht="15" hidden="false" customHeight="true" outlineLevel="0" collapsed="false">
      <c r="A214" s="9" t="s">
        <v>1408</v>
      </c>
      <c r="B214" s="9" t="s">
        <v>2082</v>
      </c>
      <c r="C214" s="9" t="s">
        <v>109</v>
      </c>
      <c r="D214" s="13" t="n">
        <f aca="false">IF(ISNUMBER('06 LABOUR RATE LIBRARY'!M25),'06 LABOUR RATE LIBRARY'!M25,"")</f>
        <v>62.603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5" t="s">
        <v>2137</v>
      </c>
    </row>
    <row r="215" customFormat="false" ht="15" hidden="false" customHeight="true" outlineLevel="0" collapsed="false">
      <c r="A215" s="9" t="s">
        <v>1409</v>
      </c>
      <c r="B215" s="9" t="s">
        <v>2084</v>
      </c>
      <c r="C215" s="9" t="s">
        <v>109</v>
      </c>
      <c r="D215" s="13" t="n">
        <f aca="false">IF(ISNUMBER('06 LABOUR RATE LIBRARY'!M26),'06 LABOUR RATE LIBRARY'!M26,"")</f>
        <v>100.505</v>
      </c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5" t="s">
        <v>2137</v>
      </c>
    </row>
    <row r="216" customFormat="false" ht="15" hidden="false" customHeight="true" outlineLevel="0" collapsed="false">
      <c r="A216" s="9" t="s">
        <v>1410</v>
      </c>
      <c r="B216" s="9" t="s">
        <v>2086</v>
      </c>
      <c r="C216" s="9" t="s">
        <v>109</v>
      </c>
      <c r="D216" s="13" t="n">
        <f aca="false">IF(ISNUMBER('06 LABOUR RATE LIBRARY'!M27),'06 LABOUR RATE LIBRARY'!M27,"")</f>
        <v>10.7605</v>
      </c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5" t="s">
        <v>2137</v>
      </c>
    </row>
    <row r="217" customFormat="false" ht="15" hidden="false" customHeight="true" outlineLevel="0" collapsed="false">
      <c r="A217" s="9" t="s">
        <v>1411</v>
      </c>
      <c r="B217" s="9" t="s">
        <v>2088</v>
      </c>
      <c r="C217" s="9" t="s">
        <v>212</v>
      </c>
      <c r="D217" s="13" t="n">
        <f aca="false">IF(ISNUMBER('06 LABOUR RATE LIBRARY'!M28),'06 LABOUR RATE LIBRARY'!M28,"")</f>
        <v>6.5945</v>
      </c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5" t="s">
        <v>2137</v>
      </c>
    </row>
    <row r="218" customFormat="false" ht="15" hidden="false" customHeight="true" outlineLevel="0" collapsed="false">
      <c r="A218" s="9" t="s">
        <v>1412</v>
      </c>
      <c r="B218" s="9" t="s">
        <v>2090</v>
      </c>
      <c r="C218" s="9" t="s">
        <v>212</v>
      </c>
      <c r="D218" s="13" t="n">
        <f aca="false">IF(ISNUMBER('06 LABOUR RATE LIBRARY'!M29),'06 LABOUR RATE LIBRARY'!M29,"")</f>
        <v>12.181</v>
      </c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5" t="s">
        <v>2137</v>
      </c>
    </row>
    <row r="219" customFormat="false" ht="15" hidden="false" customHeight="true" outlineLevel="0" collapsed="false">
      <c r="A219" s="9" t="s">
        <v>1413</v>
      </c>
      <c r="B219" s="9" t="s">
        <v>1414</v>
      </c>
      <c r="C219" s="9" t="s">
        <v>386</v>
      </c>
      <c r="D219" s="13" t="n">
        <f aca="false">IF(ISNUMBER('05 MATERIAL RATE LIBRARY'!N181),'05 MATERIAL RATE LIBRARY'!N181,"")</f>
        <v>364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5" t="s">
        <v>2137</v>
      </c>
    </row>
    <row r="220" customFormat="false" ht="15" hidden="false" customHeight="true" outlineLevel="0" collapsed="false">
      <c r="A220" s="9" t="s">
        <v>1415</v>
      </c>
      <c r="B220" s="9" t="s">
        <v>1965</v>
      </c>
      <c r="C220" s="9" t="s">
        <v>368</v>
      </c>
      <c r="D220" s="13" t="n">
        <f aca="false">IF(ISNUMBER('05 MATERIAL RATE LIBRARY'!N182),'05 MATERIAL RATE LIBRARY'!N182,"")</f>
        <v>1763</v>
      </c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5" t="s">
        <v>2137</v>
      </c>
    </row>
    <row r="221" customFormat="false" ht="15" hidden="false" customHeight="true" outlineLevel="0" collapsed="false">
      <c r="A221" s="9" t="s">
        <v>1417</v>
      </c>
      <c r="B221" s="9" t="s">
        <v>1969</v>
      </c>
      <c r="C221" s="9" t="s">
        <v>368</v>
      </c>
      <c r="D221" s="13" t="n">
        <f aca="false">IF(ISNUMBER('05 MATERIAL RATE LIBRARY'!N183),'05 MATERIAL RATE LIBRARY'!N183,"")</f>
        <v>2435</v>
      </c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5" t="s">
        <v>2137</v>
      </c>
    </row>
    <row r="222" customFormat="false" ht="15" hidden="false" customHeight="true" outlineLevel="0" collapsed="false">
      <c r="A222" s="9" t="s">
        <v>1421</v>
      </c>
      <c r="B222" s="9" t="s">
        <v>1973</v>
      </c>
      <c r="C222" s="9" t="s">
        <v>368</v>
      </c>
      <c r="D222" s="13" t="n">
        <f aca="false">IF(ISNUMBER('05 MATERIAL RATE LIBRARY'!N184),'05 MATERIAL RATE LIBRARY'!N184,"")</f>
        <v>44179</v>
      </c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5" t="s">
        <v>2137</v>
      </c>
    </row>
    <row r="223" customFormat="false" ht="15" hidden="false" customHeight="true" outlineLevel="0" collapsed="false">
      <c r="A223" s="9" t="s">
        <v>1424</v>
      </c>
      <c r="B223" s="9" t="s">
        <v>1976</v>
      </c>
      <c r="C223" s="9" t="s">
        <v>368</v>
      </c>
      <c r="D223" s="13" t="n">
        <f aca="false">IF(ISNUMBER('05 MATERIAL RATE LIBRARY'!N185),'05 MATERIAL RATE LIBRARY'!N185,"")</f>
        <v>140063</v>
      </c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5" t="s">
        <v>2137</v>
      </c>
    </row>
    <row r="224" customFormat="false" ht="15" hidden="false" customHeight="true" outlineLevel="0" collapsed="false">
      <c r="A224" s="9" t="s">
        <v>1427</v>
      </c>
      <c r="B224" s="9" t="s">
        <v>1980</v>
      </c>
      <c r="C224" s="9" t="s">
        <v>709</v>
      </c>
      <c r="D224" s="13" t="n">
        <f aca="false">IF(ISNUMBER('05 MATERIAL RATE LIBRARY'!N186),'05 MATERIAL RATE LIBRARY'!N186,"")</f>
        <v>500000</v>
      </c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5" t="s">
        <v>2137</v>
      </c>
    </row>
    <row r="225" customFormat="false" ht="15" hidden="false" customHeight="true" outlineLevel="0" collapsed="false">
      <c r="A225" s="9" t="s">
        <v>1430</v>
      </c>
      <c r="B225" s="9" t="s">
        <v>1983</v>
      </c>
      <c r="C225" s="9" t="s">
        <v>709</v>
      </c>
      <c r="D225" s="13" t="n">
        <f aca="false">IF(ISNUMBER('05 MATERIAL RATE LIBRARY'!N187),'05 MATERIAL RATE LIBRARY'!N187,"")</f>
        <v>1500000</v>
      </c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5" t="s">
        <v>2137</v>
      </c>
    </row>
    <row r="226" customFormat="false" ht="15" hidden="false" customHeight="true" outlineLevel="0" collapsed="false">
      <c r="A226" s="9" t="s">
        <v>1432</v>
      </c>
      <c r="B226" s="9" t="s">
        <v>1985</v>
      </c>
      <c r="C226" s="9" t="s">
        <v>717</v>
      </c>
      <c r="D226" s="13" t="n">
        <f aca="false">IF(ISNUMBER('05 MATERIAL RATE LIBRARY'!N188),'05 MATERIAL RATE LIBRARY'!N188,"")</f>
        <v>150000</v>
      </c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5" t="s">
        <v>2137</v>
      </c>
    </row>
    <row r="227" customFormat="false" ht="15" hidden="false" customHeight="true" outlineLevel="0" collapsed="false">
      <c r="A227" s="9" t="s">
        <v>1434</v>
      </c>
      <c r="B227" s="9" t="s">
        <v>1987</v>
      </c>
      <c r="C227" s="9" t="s">
        <v>368</v>
      </c>
      <c r="D227" s="13" t="n">
        <f aca="false">IF(ISNUMBER('05 MATERIAL RATE LIBRARY'!N189),'05 MATERIAL RATE LIBRARY'!N189,"")</f>
        <v>4500</v>
      </c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5" t="s">
        <v>2137</v>
      </c>
    </row>
    <row r="228" customFormat="false" ht="15" hidden="false" customHeight="true" outlineLevel="0" collapsed="false">
      <c r="A228" s="9" t="s">
        <v>1435</v>
      </c>
      <c r="B228" s="9" t="s">
        <v>1989</v>
      </c>
      <c r="C228" s="9" t="s">
        <v>212</v>
      </c>
      <c r="D228" s="13" t="n">
        <f aca="false">IF(ISNUMBER('05 MATERIAL RATE LIBRARY'!N190),'05 MATERIAL RATE LIBRARY'!N190,"")</f>
        <v>6</v>
      </c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5" t="s">
        <v>2137</v>
      </c>
    </row>
    <row r="229" customFormat="false" ht="15" hidden="false" customHeight="true" outlineLevel="0" collapsed="false">
      <c r="A229" s="9" t="s">
        <v>1436</v>
      </c>
      <c r="B229" s="9" t="s">
        <v>1991</v>
      </c>
      <c r="C229" s="9" t="s">
        <v>212</v>
      </c>
      <c r="D229" s="13" t="n">
        <f aca="false">IF(ISNUMBER('05 MATERIAL RATE LIBRARY'!N191),'05 MATERIAL RATE LIBRARY'!N191,"")</f>
        <v>224.91</v>
      </c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5" t="s">
        <v>2137</v>
      </c>
    </row>
    <row r="230" customFormat="false" ht="15" hidden="false" customHeight="true" outlineLevel="0" collapsed="false">
      <c r="A230" s="9" t="s">
        <v>1438</v>
      </c>
      <c r="B230" s="9" t="s">
        <v>1993</v>
      </c>
      <c r="C230" s="9" t="s">
        <v>212</v>
      </c>
      <c r="D230" s="13" t="n">
        <f aca="false">IF(ISNUMBER('05 MATERIAL RATE LIBRARY'!N192),'05 MATERIAL RATE LIBRARY'!N192,"")</f>
        <v>450</v>
      </c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5" t="s">
        <v>2137</v>
      </c>
    </row>
    <row r="231" customFormat="false" ht="15" hidden="false" customHeight="true" outlineLevel="0" collapsed="false">
      <c r="A231" s="9" t="s">
        <v>1439</v>
      </c>
      <c r="B231" s="9" t="s">
        <v>1995</v>
      </c>
      <c r="C231" s="9" t="s">
        <v>368</v>
      </c>
      <c r="D231" s="13" t="n">
        <f aca="false">IF(ISNUMBER('05 MATERIAL RATE LIBRARY'!N193),'05 MATERIAL RATE LIBRARY'!N193,"")</f>
        <v>6500</v>
      </c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5" t="s">
        <v>2137</v>
      </c>
    </row>
    <row r="232" customFormat="false" ht="15" hidden="false" customHeight="true" outlineLevel="0" collapsed="false">
      <c r="A232" s="9" t="s">
        <v>1440</v>
      </c>
      <c r="B232" s="9" t="s">
        <v>1997</v>
      </c>
      <c r="C232" s="9" t="s">
        <v>212</v>
      </c>
      <c r="D232" s="13" t="n">
        <f aca="false">IF(ISNUMBER('05 MATERIAL RATE LIBRARY'!N194),'05 MATERIAL RATE LIBRARY'!N194,"")</f>
        <v>350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5" t="s">
        <v>2137</v>
      </c>
    </row>
    <row r="233" customFormat="false" ht="15" hidden="false" customHeight="true" outlineLevel="0" collapsed="false">
      <c r="A233" s="9" t="s">
        <v>1441</v>
      </c>
      <c r="B233" s="9" t="s">
        <v>1999</v>
      </c>
      <c r="C233" s="9" t="s">
        <v>212</v>
      </c>
      <c r="D233" s="13" t="n">
        <f aca="false">IF(ISNUMBER('05 MATERIAL RATE LIBRARY'!N195),'05 MATERIAL RATE LIBRARY'!N195,"")</f>
        <v>180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5" t="s">
        <v>2137</v>
      </c>
    </row>
    <row r="234" customFormat="false" ht="15" hidden="false" customHeight="true" outlineLevel="0" collapsed="false">
      <c r="A234" s="9" t="s">
        <v>1442</v>
      </c>
      <c r="B234" s="9" t="s">
        <v>2001</v>
      </c>
      <c r="C234" s="9" t="s">
        <v>212</v>
      </c>
      <c r="D234" s="13" t="n">
        <f aca="false">IF(ISNUMBER('05 MATERIAL RATE LIBRARY'!N196),'05 MATERIAL RATE LIBRARY'!N196,"")</f>
        <v>900</v>
      </c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5" t="s">
        <v>2137</v>
      </c>
    </row>
    <row r="235" customFormat="false" ht="15" hidden="false" customHeight="true" outlineLevel="0" collapsed="false">
      <c r="A235" s="9" t="s">
        <v>1443</v>
      </c>
      <c r="B235" s="9" t="s">
        <v>2003</v>
      </c>
      <c r="C235" s="9" t="s">
        <v>368</v>
      </c>
      <c r="D235" s="13" t="n">
        <f aca="false">IF(ISNUMBER('05 MATERIAL RATE LIBRARY'!N197),'05 MATERIAL RATE LIBRARY'!N197,"")</f>
        <v>120000</v>
      </c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5" t="s">
        <v>2137</v>
      </c>
    </row>
    <row r="236" customFormat="false" ht="15" hidden="false" customHeight="true" outlineLevel="0" collapsed="false">
      <c r="A236" s="9" t="s">
        <v>1444</v>
      </c>
      <c r="B236" s="9" t="s">
        <v>2005</v>
      </c>
      <c r="C236" s="9" t="s">
        <v>212</v>
      </c>
      <c r="D236" s="13" t="n">
        <f aca="false">IF(ISNUMBER('05 MATERIAL RATE LIBRARY'!N198),'05 MATERIAL RATE LIBRARY'!N198,"")</f>
        <v>1200</v>
      </c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5" t="s">
        <v>2137</v>
      </c>
    </row>
    <row r="237" customFormat="false" ht="15" hidden="false" customHeight="true" outlineLevel="0" collapsed="false">
      <c r="A237" s="9" t="s">
        <v>1445</v>
      </c>
      <c r="B237" s="9" t="s">
        <v>2007</v>
      </c>
      <c r="C237" s="9" t="s">
        <v>212</v>
      </c>
      <c r="D237" s="13" t="n">
        <f aca="false">IF(ISNUMBER('05 MATERIAL RATE LIBRARY'!N199),'05 MATERIAL RATE LIBRARY'!N199,"")</f>
        <v>650</v>
      </c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5" t="s">
        <v>2137</v>
      </c>
    </row>
    <row r="238" customFormat="false" ht="15" hidden="false" customHeight="true" outlineLevel="0" collapsed="false">
      <c r="A238" s="9" t="s">
        <v>1446</v>
      </c>
      <c r="B238" s="9" t="s">
        <v>2009</v>
      </c>
      <c r="C238" s="9" t="s">
        <v>212</v>
      </c>
      <c r="D238" s="13" t="n">
        <f aca="false">IF(ISNUMBER('05 MATERIAL RATE LIBRARY'!N200),'05 MATERIAL RATE LIBRARY'!N200,"")</f>
        <v>3500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5" t="s">
        <v>2137</v>
      </c>
    </row>
    <row r="239" customFormat="false" ht="15" hidden="false" customHeight="true" outlineLevel="0" collapsed="false">
      <c r="A239" s="9" t="s">
        <v>1447</v>
      </c>
      <c r="B239" s="9" t="s">
        <v>2011</v>
      </c>
      <c r="C239" s="9" t="s">
        <v>212</v>
      </c>
      <c r="D239" s="13" t="n">
        <f aca="false">IF(ISNUMBER('05 MATERIAL RATE LIBRARY'!N201),'05 MATERIAL RATE LIBRARY'!N201,"")</f>
        <v>2500</v>
      </c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5" t="s">
        <v>2137</v>
      </c>
    </row>
    <row r="240" customFormat="false" ht="15" hidden="false" customHeight="true" outlineLevel="0" collapsed="false">
      <c r="A240" s="9" t="s">
        <v>1448</v>
      </c>
      <c r="B240" s="9" t="s">
        <v>2013</v>
      </c>
      <c r="C240" s="9" t="s">
        <v>368</v>
      </c>
      <c r="D240" s="13" t="n">
        <f aca="false">IF(ISNUMBER('05 MATERIAL RATE LIBRARY'!N202),'05 MATERIAL RATE LIBRARY'!N202,"")</f>
        <v>25000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5" t="s">
        <v>2137</v>
      </c>
    </row>
    <row r="241" customFormat="false" ht="15" hidden="false" customHeight="true" outlineLevel="0" collapsed="false">
      <c r="A241" s="9" t="s">
        <v>1451</v>
      </c>
      <c r="B241" s="9" t="s">
        <v>2015</v>
      </c>
      <c r="C241" s="9" t="s">
        <v>386</v>
      </c>
      <c r="D241" s="13" t="n">
        <f aca="false">IF(ISNUMBER('05 MATERIAL RATE LIBRARY'!N203),'05 MATERIAL RATE LIBRARY'!N203,"")</f>
        <v>180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5" t="s">
        <v>2137</v>
      </c>
    </row>
    <row r="242" customFormat="false" ht="15" hidden="false" customHeight="true" outlineLevel="0" collapsed="false">
      <c r="A242" s="9" t="s">
        <v>1454</v>
      </c>
      <c r="B242" s="9" t="s">
        <v>2017</v>
      </c>
      <c r="C242" s="9" t="s">
        <v>368</v>
      </c>
      <c r="D242" s="13" t="n">
        <f aca="false">IF(ISNUMBER('05 MATERIAL RATE LIBRARY'!N204),'05 MATERIAL RATE LIBRARY'!N204,"")</f>
        <v>85000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5" t="s">
        <v>2137</v>
      </c>
    </row>
    <row r="243" customFormat="false" ht="15" hidden="false" customHeight="true" outlineLevel="0" collapsed="false">
      <c r="A243" s="9" t="s">
        <v>1455</v>
      </c>
      <c r="B243" s="9" t="s">
        <v>2019</v>
      </c>
      <c r="C243" s="9" t="s">
        <v>368</v>
      </c>
      <c r="D243" s="13" t="n">
        <f aca="false">IF(ISNUMBER('05 MATERIAL RATE LIBRARY'!N205),'05 MATERIAL RATE LIBRARY'!N205,"")</f>
        <v>22000000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5" t="s">
        <v>2137</v>
      </c>
    </row>
    <row r="244" customFormat="false" ht="15" hidden="false" customHeight="true" outlineLevel="0" collapsed="false">
      <c r="A244" s="9" t="s">
        <v>1456</v>
      </c>
      <c r="B244" s="9" t="s">
        <v>2021</v>
      </c>
      <c r="C244" s="9" t="s">
        <v>212</v>
      </c>
      <c r="D244" s="13" t="n">
        <f aca="false">IF(ISNUMBER('05 MATERIAL RATE LIBRARY'!N206),'05 MATERIAL RATE LIBRARY'!N206,"")</f>
        <v>80</v>
      </c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5" t="s">
        <v>2137</v>
      </c>
    </row>
    <row r="245" customFormat="false" ht="15" hidden="false" customHeight="true" outlineLevel="0" collapsed="false">
      <c r="A245" s="9" t="s">
        <v>1458</v>
      </c>
      <c r="B245" s="9" t="s">
        <v>2023</v>
      </c>
      <c r="C245" s="9" t="s">
        <v>782</v>
      </c>
      <c r="D245" s="13" t="n">
        <f aca="false">IF(ISNUMBER('05 MATERIAL RATE LIBRARY'!N207),'05 MATERIAL RATE LIBRARY'!N207,"")</f>
        <v>300000</v>
      </c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5" t="s">
        <v>2137</v>
      </c>
    </row>
    <row r="246" customFormat="false" ht="15" hidden="false" customHeight="true" outlineLevel="0" collapsed="false">
      <c r="A246" s="9" t="s">
        <v>1460</v>
      </c>
      <c r="B246" s="9" t="s">
        <v>2025</v>
      </c>
      <c r="C246" s="9" t="s">
        <v>368</v>
      </c>
      <c r="D246" s="13" t="n">
        <f aca="false">IF(ISNUMBER('05 MATERIAL RATE LIBRARY'!N208),'05 MATERIAL RATE LIBRARY'!N208,"")</f>
        <v>2000000</v>
      </c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5" t="s">
        <v>2137</v>
      </c>
    </row>
    <row r="247" customFormat="false" ht="15" hidden="false" customHeight="true" outlineLevel="0" collapsed="false">
      <c r="A247" s="9" t="s">
        <v>1217</v>
      </c>
      <c r="B247" s="9" t="s">
        <v>2027</v>
      </c>
      <c r="C247" s="9" t="s">
        <v>386</v>
      </c>
      <c r="D247" s="13" t="n">
        <f aca="false">IF(ISNUMBER('05 MATERIAL RATE LIBRARY'!N209),'05 MATERIAL RATE LIBRARY'!N209,"")</f>
        <v>149.54</v>
      </c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5" t="s">
        <v>2137</v>
      </c>
    </row>
    <row r="248" customFormat="false" ht="15" hidden="false" customHeight="true" outlineLevel="0" collapsed="false">
      <c r="A248" s="9" t="s">
        <v>1226</v>
      </c>
      <c r="B248" s="9" t="s">
        <v>2029</v>
      </c>
      <c r="C248" s="9" t="s">
        <v>386</v>
      </c>
      <c r="D248" s="13" t="n">
        <f aca="false">IF(ISNUMBER('05 MATERIAL RATE LIBRARY'!N210),'05 MATERIAL RATE LIBRARY'!N210,"")</f>
        <v>314.88</v>
      </c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5" t="s">
        <v>2137</v>
      </c>
    </row>
    <row r="249" customFormat="false" ht="15" hidden="false" customHeight="true" outlineLevel="0" collapsed="false">
      <c r="A249" s="9" t="s">
        <v>1231</v>
      </c>
      <c r="B249" s="9" t="s">
        <v>2031</v>
      </c>
      <c r="C249" s="9" t="s">
        <v>386</v>
      </c>
      <c r="D249" s="13" t="n">
        <f aca="false">IF(ISNUMBER('05 MATERIAL RATE LIBRARY'!N211),'05 MATERIAL RATE LIBRARY'!N211,"")</f>
        <v>907.39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5" t="s">
        <v>2137</v>
      </c>
    </row>
  </sheetData>
  <autoFilter ref="A4:O2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48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2" t="s">
        <v>2141</v>
      </c>
    </row>
    <row r="2" customFormat="false" ht="15" hidden="false" customHeight="true" outlineLevel="0" collapsed="false">
      <c r="A2" s="3" t="s">
        <v>2142</v>
      </c>
    </row>
    <row r="4" customFormat="false" ht="15" hidden="false" customHeight="true" outlineLevel="0" collapsed="false">
      <c r="A4" s="12" t="s">
        <v>1468</v>
      </c>
      <c r="B4" s="12" t="s">
        <v>98</v>
      </c>
      <c r="C4" s="12" t="s">
        <v>2143</v>
      </c>
      <c r="D4" s="12" t="s">
        <v>99</v>
      </c>
      <c r="E4" s="12" t="s">
        <v>82</v>
      </c>
      <c r="F4" s="12" t="s">
        <v>2144</v>
      </c>
    </row>
    <row r="5" customFormat="false" ht="21.75" hidden="false" customHeight="true" outlineLevel="0" collapsed="false">
      <c r="A5" s="5" t="s">
        <v>2145</v>
      </c>
      <c r="B5" s="5" t="s">
        <v>2146</v>
      </c>
      <c r="C5" s="5" t="s">
        <v>2147</v>
      </c>
      <c r="D5" s="5" t="s">
        <v>2148</v>
      </c>
      <c r="E5" s="5" t="s">
        <v>2149</v>
      </c>
      <c r="F5" s="5" t="s">
        <v>2150</v>
      </c>
    </row>
    <row r="6" customFormat="false" ht="42.75" hidden="false" customHeight="true" outlineLevel="0" collapsed="false">
      <c r="A6" s="5" t="s">
        <v>2151</v>
      </c>
      <c r="B6" s="5" t="s">
        <v>2152</v>
      </c>
      <c r="C6" s="5" t="s">
        <v>2153</v>
      </c>
      <c r="D6" s="5" t="s">
        <v>2154</v>
      </c>
      <c r="E6" s="5" t="s">
        <v>2124</v>
      </c>
      <c r="F6" s="5" t="s">
        <v>2155</v>
      </c>
    </row>
    <row r="7" customFormat="false" ht="21.75" hidden="false" customHeight="true" outlineLevel="0" collapsed="false">
      <c r="A7" s="5" t="s">
        <v>2156</v>
      </c>
      <c r="B7" s="5" t="s">
        <v>2157</v>
      </c>
      <c r="C7" s="5" t="s">
        <v>2158</v>
      </c>
      <c r="D7" s="5" t="s">
        <v>2159</v>
      </c>
      <c r="E7" s="5" t="s">
        <v>2160</v>
      </c>
      <c r="F7" s="5" t="s">
        <v>2161</v>
      </c>
    </row>
    <row r="8" customFormat="false" ht="21.75" hidden="false" customHeight="true" outlineLevel="0" collapsed="false">
      <c r="A8" s="5" t="s">
        <v>2162</v>
      </c>
      <c r="B8" s="5" t="s">
        <v>2163</v>
      </c>
      <c r="C8" s="5" t="s">
        <v>2164</v>
      </c>
      <c r="D8" s="5" t="s">
        <v>2165</v>
      </c>
      <c r="E8" s="5" t="s">
        <v>2124</v>
      </c>
      <c r="F8" s="5" t="s">
        <v>2166</v>
      </c>
    </row>
    <row r="9" customFormat="false" ht="15" hidden="false" customHeight="true" outlineLevel="0" collapsed="false">
      <c r="A9" s="5" t="s">
        <v>2167</v>
      </c>
      <c r="B9" s="5" t="s">
        <v>2168</v>
      </c>
      <c r="C9" s="5" t="s">
        <v>2169</v>
      </c>
      <c r="D9" s="5" t="s">
        <v>2170</v>
      </c>
      <c r="E9" s="5" t="s">
        <v>2171</v>
      </c>
      <c r="F9" s="5" t="s">
        <v>2172</v>
      </c>
    </row>
    <row r="10" customFormat="false" ht="21.75" hidden="false" customHeight="true" outlineLevel="0" collapsed="false">
      <c r="A10" s="5" t="s">
        <v>2038</v>
      </c>
      <c r="B10" s="5" t="s">
        <v>2173</v>
      </c>
      <c r="C10" s="5" t="s">
        <v>2174</v>
      </c>
      <c r="D10" s="5" t="s">
        <v>2175</v>
      </c>
      <c r="E10" s="5" t="s">
        <v>2124</v>
      </c>
      <c r="F10" s="5" t="s">
        <v>2176</v>
      </c>
    </row>
    <row r="11" customFormat="false" ht="21.75" hidden="false" customHeight="true" outlineLevel="0" collapsed="false">
      <c r="A11" s="5" t="s">
        <v>2042</v>
      </c>
      <c r="B11" s="5" t="s">
        <v>2177</v>
      </c>
      <c r="C11" s="5" t="s">
        <v>2178</v>
      </c>
      <c r="D11" s="5" t="s">
        <v>2179</v>
      </c>
      <c r="E11" s="5" t="s">
        <v>2180</v>
      </c>
      <c r="F11" s="5" t="s">
        <v>2181</v>
      </c>
    </row>
    <row r="12" customFormat="false" ht="32.25" hidden="false" customHeight="true" outlineLevel="0" collapsed="false">
      <c r="A12" s="5" t="s">
        <v>2182</v>
      </c>
      <c r="B12" s="5" t="s">
        <v>2183</v>
      </c>
      <c r="C12" s="5" t="s">
        <v>2184</v>
      </c>
      <c r="D12" s="5" t="s">
        <v>2185</v>
      </c>
      <c r="E12" s="5" t="s">
        <v>2186</v>
      </c>
      <c r="F12" s="5" t="s">
        <v>2187</v>
      </c>
    </row>
    <row r="13" customFormat="false" ht="21.75" hidden="false" customHeight="true" outlineLevel="0" collapsed="false">
      <c r="A13" s="5" t="s">
        <v>2188</v>
      </c>
      <c r="B13" s="5" t="s">
        <v>2189</v>
      </c>
      <c r="C13" s="5" t="s">
        <v>2190</v>
      </c>
      <c r="D13" s="5" t="s">
        <v>2191</v>
      </c>
      <c r="E13" s="5" t="s">
        <v>2192</v>
      </c>
      <c r="F13" s="5" t="s">
        <v>2193</v>
      </c>
    </row>
    <row r="14" customFormat="false" ht="21.75" hidden="false" customHeight="true" outlineLevel="0" collapsed="false">
      <c r="A14" s="5" t="s">
        <v>1539</v>
      </c>
      <c r="B14" s="5" t="s">
        <v>2194</v>
      </c>
      <c r="C14" s="5" t="s">
        <v>2195</v>
      </c>
      <c r="D14" s="5" t="s">
        <v>2196</v>
      </c>
      <c r="E14" s="5" t="s">
        <v>2171</v>
      </c>
      <c r="F14" s="5" t="s">
        <v>2197</v>
      </c>
    </row>
    <row r="15" customFormat="false" ht="15" hidden="false" customHeight="true" outlineLevel="0" collapsed="false">
      <c r="A15" s="5" t="s">
        <v>2198</v>
      </c>
      <c r="B15" s="5" t="s">
        <v>2199</v>
      </c>
      <c r="C15" s="5" t="s">
        <v>2153</v>
      </c>
      <c r="D15" s="5" t="s">
        <v>2200</v>
      </c>
      <c r="E15" s="5" t="s">
        <v>2124</v>
      </c>
      <c r="F15" s="5" t="s">
        <v>2201</v>
      </c>
    </row>
    <row r="16" customFormat="false" ht="21.75" hidden="false" customHeight="true" outlineLevel="0" collapsed="false">
      <c r="A16" s="5" t="s">
        <v>2202</v>
      </c>
      <c r="B16" s="5" t="s">
        <v>2203</v>
      </c>
      <c r="C16" s="5" t="s">
        <v>2204</v>
      </c>
      <c r="D16" s="5" t="s">
        <v>2205</v>
      </c>
      <c r="E16" s="5" t="s">
        <v>2171</v>
      </c>
      <c r="F16" s="5" t="s">
        <v>2206</v>
      </c>
    </row>
    <row r="17" customFormat="false" ht="15" hidden="false" customHeight="true" outlineLevel="0" collapsed="false">
      <c r="A17" s="5" t="s">
        <v>2207</v>
      </c>
      <c r="B17" s="5" t="s">
        <v>2208</v>
      </c>
      <c r="C17" s="5" t="s">
        <v>2209</v>
      </c>
      <c r="D17" s="5" t="s">
        <v>2210</v>
      </c>
      <c r="E17" s="5" t="s">
        <v>2171</v>
      </c>
      <c r="F17" s="5" t="s">
        <v>2211</v>
      </c>
    </row>
    <row r="18" customFormat="false" ht="21.75" hidden="false" customHeight="true" outlineLevel="0" collapsed="false">
      <c r="A18" s="5" t="s">
        <v>2212</v>
      </c>
      <c r="B18" s="5" t="s">
        <v>2213</v>
      </c>
      <c r="C18" s="5" t="s">
        <v>2214</v>
      </c>
      <c r="D18" s="5" t="s">
        <v>2215</v>
      </c>
      <c r="E18" s="5" t="s">
        <v>2171</v>
      </c>
      <c r="F18" s="5" t="s">
        <v>2216</v>
      </c>
    </row>
    <row r="19" customFormat="false" ht="15" hidden="false" customHeight="true" outlineLevel="0" collapsed="false">
      <c r="A19" s="5" t="s">
        <v>1582</v>
      </c>
      <c r="B19" s="5" t="s">
        <v>2217</v>
      </c>
      <c r="C19" s="5" t="s">
        <v>2218</v>
      </c>
      <c r="D19" s="5" t="s">
        <v>2219</v>
      </c>
      <c r="E19" s="5" t="s">
        <v>2171</v>
      </c>
      <c r="F19" s="5" t="s">
        <v>2220</v>
      </c>
    </row>
    <row r="20" customFormat="false" ht="15" hidden="false" customHeight="true" outlineLevel="0" collapsed="false">
      <c r="A20" s="5" t="s">
        <v>2221</v>
      </c>
      <c r="B20" s="5" t="s">
        <v>2222</v>
      </c>
      <c r="C20" s="5" t="s">
        <v>2223</v>
      </c>
      <c r="D20" s="5" t="s">
        <v>2224</v>
      </c>
      <c r="E20" s="5" t="s">
        <v>2171</v>
      </c>
      <c r="F20" s="5" t="s">
        <v>2225</v>
      </c>
    </row>
    <row r="21" customFormat="false" ht="21.75" hidden="false" customHeight="true" outlineLevel="0" collapsed="false">
      <c r="A21" s="5" t="s">
        <v>2226</v>
      </c>
      <c r="B21" s="5" t="s">
        <v>2227</v>
      </c>
      <c r="C21" s="5" t="s">
        <v>2228</v>
      </c>
      <c r="D21" s="5" t="s">
        <v>2229</v>
      </c>
      <c r="E21" s="5" t="s">
        <v>2171</v>
      </c>
      <c r="F21" s="5" t="s">
        <v>2230</v>
      </c>
    </row>
    <row r="22" customFormat="false" ht="21.75" hidden="false" customHeight="true" outlineLevel="0" collapsed="false">
      <c r="A22" s="5" t="s">
        <v>2231</v>
      </c>
      <c r="B22" s="5" t="s">
        <v>2232</v>
      </c>
      <c r="C22" s="5" t="s">
        <v>2233</v>
      </c>
      <c r="D22" s="5" t="s">
        <v>2234</v>
      </c>
      <c r="E22" s="5" t="s">
        <v>2235</v>
      </c>
      <c r="F22" s="5" t="s">
        <v>2236</v>
      </c>
    </row>
    <row r="23" customFormat="false" ht="15" hidden="false" customHeight="true" outlineLevel="0" collapsed="false">
      <c r="A23" s="5" t="s">
        <v>2237</v>
      </c>
      <c r="B23" s="5" t="s">
        <v>2238</v>
      </c>
      <c r="C23" s="5" t="s">
        <v>2239</v>
      </c>
      <c r="D23" s="5" t="s">
        <v>2240</v>
      </c>
      <c r="E23" s="5" t="s">
        <v>2171</v>
      </c>
      <c r="F23" s="5" t="s">
        <v>2241</v>
      </c>
    </row>
    <row r="24" customFormat="false" ht="21.75" hidden="false" customHeight="true" outlineLevel="0" collapsed="false">
      <c r="A24" s="5" t="s">
        <v>2242</v>
      </c>
      <c r="B24" s="5" t="s">
        <v>2243</v>
      </c>
      <c r="C24" s="5" t="s">
        <v>2244</v>
      </c>
      <c r="D24" s="5" t="s">
        <v>2245</v>
      </c>
      <c r="E24" s="5" t="s">
        <v>2171</v>
      </c>
      <c r="F24" s="5" t="s">
        <v>2246</v>
      </c>
    </row>
    <row r="25" customFormat="false" ht="21.75" hidden="false" customHeight="true" outlineLevel="0" collapsed="false">
      <c r="A25" s="5" t="s">
        <v>1632</v>
      </c>
      <c r="B25" s="5" t="s">
        <v>2247</v>
      </c>
      <c r="C25" s="5" t="s">
        <v>2248</v>
      </c>
      <c r="D25" s="5" t="s">
        <v>2249</v>
      </c>
      <c r="E25" s="5" t="s">
        <v>2171</v>
      </c>
      <c r="F25" s="5" t="s">
        <v>2250</v>
      </c>
    </row>
    <row r="26" customFormat="false" ht="21.75" hidden="false" customHeight="true" outlineLevel="0" collapsed="false">
      <c r="A26" s="5" t="s">
        <v>2251</v>
      </c>
      <c r="B26" s="5" t="s">
        <v>2252</v>
      </c>
      <c r="C26" s="5" t="s">
        <v>2253</v>
      </c>
      <c r="D26" s="5" t="s">
        <v>2254</v>
      </c>
      <c r="E26" s="5" t="s">
        <v>2171</v>
      </c>
      <c r="F26" s="5" t="s">
        <v>2255</v>
      </c>
    </row>
    <row r="27" customFormat="false" ht="32.25" hidden="false" customHeight="true" outlineLevel="0" collapsed="false">
      <c r="A27" s="5" t="s">
        <v>1649</v>
      </c>
      <c r="B27" s="5" t="s">
        <v>2256</v>
      </c>
      <c r="C27" s="5" t="s">
        <v>2257</v>
      </c>
      <c r="D27" s="5" t="s">
        <v>2258</v>
      </c>
      <c r="E27" s="5" t="s">
        <v>2259</v>
      </c>
      <c r="F27" s="5" t="s">
        <v>2260</v>
      </c>
    </row>
    <row r="28" customFormat="false" ht="32.25" hidden="false" customHeight="true" outlineLevel="0" collapsed="false">
      <c r="A28" s="5" t="s">
        <v>1698</v>
      </c>
      <c r="B28" s="5" t="s">
        <v>2261</v>
      </c>
      <c r="C28" s="5" t="s">
        <v>2262</v>
      </c>
      <c r="D28" s="5" t="s">
        <v>2263</v>
      </c>
      <c r="E28" s="5" t="s">
        <v>2259</v>
      </c>
      <c r="F28" s="5" t="s">
        <v>2264</v>
      </c>
    </row>
    <row r="29" customFormat="false" ht="32.25" hidden="false" customHeight="true" outlineLevel="0" collapsed="false">
      <c r="A29" s="5" t="s">
        <v>1718</v>
      </c>
      <c r="B29" s="5" t="s">
        <v>2265</v>
      </c>
      <c r="C29" s="5" t="s">
        <v>2266</v>
      </c>
      <c r="D29" s="5" t="s">
        <v>2263</v>
      </c>
      <c r="E29" s="5" t="s">
        <v>2259</v>
      </c>
      <c r="F29" s="5" t="s">
        <v>2267</v>
      </c>
    </row>
    <row r="30" customFormat="false" ht="21.75" hidden="false" customHeight="true" outlineLevel="0" collapsed="false">
      <c r="A30" s="5" t="s">
        <v>1731</v>
      </c>
      <c r="B30" s="5" t="s">
        <v>2268</v>
      </c>
      <c r="C30" s="5" t="s">
        <v>2269</v>
      </c>
      <c r="D30" s="5" t="s">
        <v>2270</v>
      </c>
      <c r="E30" s="5" t="s">
        <v>2259</v>
      </c>
      <c r="F30" s="5" t="s">
        <v>2271</v>
      </c>
    </row>
    <row r="31" customFormat="false" ht="15" hidden="false" customHeight="true" outlineLevel="0" collapsed="false">
      <c r="A31" s="5" t="s">
        <v>1757</v>
      </c>
      <c r="B31" s="5" t="s">
        <v>2272</v>
      </c>
      <c r="C31" s="5" t="s">
        <v>2273</v>
      </c>
      <c r="D31" s="5" t="s">
        <v>2274</v>
      </c>
      <c r="E31" s="5" t="s">
        <v>2171</v>
      </c>
      <c r="F31" s="5" t="s">
        <v>2275</v>
      </c>
    </row>
    <row r="32" customFormat="false" ht="21.75" hidden="false" customHeight="true" outlineLevel="0" collapsed="false">
      <c r="A32" s="5" t="s">
        <v>1930</v>
      </c>
      <c r="B32" s="5" t="s">
        <v>2276</v>
      </c>
      <c r="C32" s="5" t="s">
        <v>2277</v>
      </c>
      <c r="D32" s="5" t="s">
        <v>2210</v>
      </c>
      <c r="E32" s="5" t="s">
        <v>2124</v>
      </c>
      <c r="F32" s="5" t="s">
        <v>2278</v>
      </c>
    </row>
    <row r="33" customFormat="false" ht="21.75" hidden="false" customHeight="true" outlineLevel="0" collapsed="false">
      <c r="A33" s="5" t="s">
        <v>2279</v>
      </c>
      <c r="B33" s="5" t="s">
        <v>2280</v>
      </c>
      <c r="C33" s="5" t="s">
        <v>2281</v>
      </c>
      <c r="D33" s="5" t="s">
        <v>2179</v>
      </c>
      <c r="E33" s="5" t="s">
        <v>2282</v>
      </c>
      <c r="F33" s="5" t="s">
        <v>2283</v>
      </c>
    </row>
    <row r="34" customFormat="false" ht="32.25" hidden="false" customHeight="true" outlineLevel="0" collapsed="false">
      <c r="A34" s="5" t="s">
        <v>1490</v>
      </c>
      <c r="B34" s="5" t="s">
        <v>2284</v>
      </c>
      <c r="C34" s="5" t="s">
        <v>2285</v>
      </c>
      <c r="D34" s="5" t="s">
        <v>2286</v>
      </c>
      <c r="E34" s="5" t="s">
        <v>2287</v>
      </c>
      <c r="F34" s="5" t="s">
        <v>2288</v>
      </c>
    </row>
    <row r="35" customFormat="false" ht="21.75" hidden="false" customHeight="true" outlineLevel="0" collapsed="false">
      <c r="A35" s="5" t="s">
        <v>1770</v>
      </c>
      <c r="B35" s="5" t="s">
        <v>2289</v>
      </c>
      <c r="C35" s="5" t="s">
        <v>2290</v>
      </c>
      <c r="D35" s="5" t="s">
        <v>1498</v>
      </c>
      <c r="E35" s="5" t="s">
        <v>2291</v>
      </c>
      <c r="F35" s="5" t="s">
        <v>2292</v>
      </c>
    </row>
    <row r="36" customFormat="false" ht="21.75" hidden="false" customHeight="true" outlineLevel="0" collapsed="false">
      <c r="A36" s="5" t="s">
        <v>1778</v>
      </c>
      <c r="B36" s="5" t="s">
        <v>2293</v>
      </c>
      <c r="C36" s="5" t="s">
        <v>2294</v>
      </c>
      <c r="D36" s="5" t="s">
        <v>1777</v>
      </c>
      <c r="E36" s="5" t="s">
        <v>2295</v>
      </c>
      <c r="F36" s="5" t="s">
        <v>2296</v>
      </c>
    </row>
    <row r="37" customFormat="false" ht="21.75" hidden="false" customHeight="true" outlineLevel="0" collapsed="false">
      <c r="A37" s="5" t="s">
        <v>1562</v>
      </c>
      <c r="B37" s="5" t="s">
        <v>2297</v>
      </c>
      <c r="C37" s="5" t="s">
        <v>2285</v>
      </c>
      <c r="D37" s="5" t="s">
        <v>2298</v>
      </c>
      <c r="E37" s="5" t="s">
        <v>2124</v>
      </c>
      <c r="F37" s="5" t="s">
        <v>2299</v>
      </c>
    </row>
    <row r="38" customFormat="false" ht="21.75" hidden="false" customHeight="true" outlineLevel="0" collapsed="false">
      <c r="A38" s="5" t="s">
        <v>1568</v>
      </c>
      <c r="B38" s="5" t="s">
        <v>2300</v>
      </c>
      <c r="C38" s="5" t="s">
        <v>2301</v>
      </c>
      <c r="D38" s="5" t="s">
        <v>2302</v>
      </c>
      <c r="E38" s="5" t="s">
        <v>2171</v>
      </c>
      <c r="F38" s="5" t="s">
        <v>2303</v>
      </c>
    </row>
    <row r="39" customFormat="false" ht="21.75" hidden="false" customHeight="true" outlineLevel="0" collapsed="false">
      <c r="A39" s="5" t="s">
        <v>2304</v>
      </c>
      <c r="B39" s="5" t="s">
        <v>2305</v>
      </c>
      <c r="C39" s="5" t="s">
        <v>2306</v>
      </c>
      <c r="D39" s="5" t="s">
        <v>2307</v>
      </c>
      <c r="E39" s="5" t="s">
        <v>2308</v>
      </c>
      <c r="F39" s="5" t="s">
        <v>2309</v>
      </c>
    </row>
    <row r="40" customFormat="false" ht="21.75" hidden="false" customHeight="true" outlineLevel="0" collapsed="false">
      <c r="A40" s="5" t="s">
        <v>1636</v>
      </c>
      <c r="B40" s="5" t="s">
        <v>2310</v>
      </c>
      <c r="C40" s="5" t="s">
        <v>2311</v>
      </c>
      <c r="D40" s="5" t="s">
        <v>110</v>
      </c>
      <c r="E40" s="5" t="s">
        <v>2180</v>
      </c>
      <c r="F40" s="5" t="s">
        <v>2312</v>
      </c>
    </row>
    <row r="41" customFormat="false" ht="15" hidden="false" customHeight="true" outlineLevel="0" collapsed="false">
      <c r="A41" s="5" t="s">
        <v>1591</v>
      </c>
      <c r="B41" s="5" t="s">
        <v>2313</v>
      </c>
      <c r="C41" s="5" t="s">
        <v>2314</v>
      </c>
      <c r="D41" s="5" t="s">
        <v>1590</v>
      </c>
      <c r="E41" s="5" t="s">
        <v>2171</v>
      </c>
      <c r="F41" s="5" t="s">
        <v>2315</v>
      </c>
    </row>
    <row r="42" customFormat="false" ht="21.75" hidden="false" customHeight="true" outlineLevel="0" collapsed="false">
      <c r="A42" s="5" t="s">
        <v>1510</v>
      </c>
      <c r="B42" s="5" t="s">
        <v>2316</v>
      </c>
      <c r="C42" s="5" t="s">
        <v>2317</v>
      </c>
      <c r="D42" s="5" t="s">
        <v>1498</v>
      </c>
      <c r="E42" s="5" t="s">
        <v>2127</v>
      </c>
      <c r="F42" s="5" t="s">
        <v>2318</v>
      </c>
    </row>
    <row r="43" customFormat="false" ht="21.75" hidden="false" customHeight="true" outlineLevel="0" collapsed="false">
      <c r="A43" s="5" t="s">
        <v>1477</v>
      </c>
      <c r="B43" s="5" t="s">
        <v>2319</v>
      </c>
      <c r="C43" s="5" t="s">
        <v>2285</v>
      </c>
      <c r="D43" s="5" t="s">
        <v>1475</v>
      </c>
      <c r="E43" s="5" t="s">
        <v>2124</v>
      </c>
      <c r="F43" s="5" t="s">
        <v>2320</v>
      </c>
    </row>
    <row r="44" customFormat="false" ht="15" hidden="false" customHeight="true" outlineLevel="0" collapsed="false">
      <c r="A44" s="5" t="s">
        <v>1483</v>
      </c>
      <c r="B44" s="5" t="s">
        <v>2321</v>
      </c>
      <c r="C44" s="5" t="s">
        <v>2322</v>
      </c>
      <c r="D44" s="5" t="s">
        <v>1482</v>
      </c>
      <c r="E44" s="5" t="s">
        <v>2124</v>
      </c>
      <c r="F44" s="5" t="s">
        <v>2323</v>
      </c>
    </row>
    <row r="45" customFormat="false" ht="21.75" hidden="false" customHeight="true" outlineLevel="0" collapsed="false">
      <c r="A45" s="5" t="s">
        <v>1499</v>
      </c>
      <c r="B45" s="5" t="s">
        <v>2324</v>
      </c>
      <c r="C45" s="5" t="s">
        <v>2325</v>
      </c>
      <c r="D45" s="5" t="s">
        <v>1498</v>
      </c>
      <c r="E45" s="5" t="s">
        <v>2124</v>
      </c>
      <c r="F45" s="5" t="s">
        <v>2326</v>
      </c>
    </row>
    <row r="46" customFormat="false" ht="21.75" hidden="false" customHeight="true" outlineLevel="0" collapsed="false">
      <c r="A46" s="5" t="s">
        <v>1523</v>
      </c>
      <c r="B46" s="5" t="s">
        <v>2327</v>
      </c>
      <c r="C46" s="5" t="s">
        <v>2328</v>
      </c>
      <c r="D46" s="5" t="s">
        <v>1522</v>
      </c>
      <c r="E46" s="5" t="s">
        <v>2124</v>
      </c>
      <c r="F46" s="5" t="s">
        <v>2329</v>
      </c>
    </row>
    <row r="47" customFormat="false" ht="15" hidden="false" customHeight="true" outlineLevel="0" collapsed="false">
      <c r="A47" s="5" t="s">
        <v>1532</v>
      </c>
      <c r="B47" s="5" t="s">
        <v>2330</v>
      </c>
      <c r="C47" s="5" t="s">
        <v>2331</v>
      </c>
      <c r="D47" s="5" t="s">
        <v>1475</v>
      </c>
      <c r="E47" s="5" t="s">
        <v>2124</v>
      </c>
      <c r="F47" s="5" t="s">
        <v>2332</v>
      </c>
    </row>
    <row r="48" customFormat="false" ht="15" hidden="false" customHeight="true" outlineLevel="0" collapsed="false">
      <c r="A48" s="5" t="s">
        <v>1765</v>
      </c>
      <c r="B48" s="5" t="s">
        <v>2333</v>
      </c>
      <c r="C48" s="5" t="s">
        <v>2334</v>
      </c>
      <c r="D48" s="5" t="s">
        <v>1764</v>
      </c>
      <c r="E48" s="5" t="s">
        <v>2124</v>
      </c>
      <c r="F48" s="5" t="s">
        <v>2335</v>
      </c>
    </row>
    <row r="49" customFormat="false" ht="15" hidden="false" customHeight="true" outlineLevel="0" collapsed="false">
      <c r="A49" s="5" t="s">
        <v>2058</v>
      </c>
      <c r="B49" s="5" t="s">
        <v>2336</v>
      </c>
      <c r="C49" s="5" t="s">
        <v>2337</v>
      </c>
      <c r="D49" s="5" t="s">
        <v>2057</v>
      </c>
      <c r="E49" s="5" t="s">
        <v>2124</v>
      </c>
      <c r="F49" s="5" t="s">
        <v>2338</v>
      </c>
    </row>
    <row r="50" customFormat="false" ht="21.75" hidden="false" customHeight="true" outlineLevel="0" collapsed="false">
      <c r="A50" s="5" t="s">
        <v>2076</v>
      </c>
      <c r="B50" s="5" t="s">
        <v>2339</v>
      </c>
      <c r="C50" s="5" t="s">
        <v>2340</v>
      </c>
      <c r="D50" s="5" t="s">
        <v>1777</v>
      </c>
      <c r="E50" s="5" t="s">
        <v>2295</v>
      </c>
      <c r="F50" s="5" t="s">
        <v>2341</v>
      </c>
    </row>
    <row r="51" customFormat="false" ht="21.75" hidden="false" customHeight="true" outlineLevel="0" collapsed="false">
      <c r="A51" s="5" t="s">
        <v>2342</v>
      </c>
      <c r="B51" s="5" t="s">
        <v>2343</v>
      </c>
      <c r="C51" s="5" t="s">
        <v>2344</v>
      </c>
      <c r="D51" s="5" t="s">
        <v>2345</v>
      </c>
      <c r="E51" s="5" t="s">
        <v>2346</v>
      </c>
      <c r="F51" s="5" t="s">
        <v>2347</v>
      </c>
    </row>
    <row r="52" customFormat="false" ht="21.75" hidden="false" customHeight="true" outlineLevel="0" collapsed="false">
      <c r="A52" s="5" t="s">
        <v>1963</v>
      </c>
      <c r="B52" s="5" t="s">
        <v>2348</v>
      </c>
      <c r="C52" s="5" t="s">
        <v>2285</v>
      </c>
      <c r="D52" s="5" t="s">
        <v>2286</v>
      </c>
      <c r="E52" s="5" t="s">
        <v>2349</v>
      </c>
      <c r="F52" s="5" t="s">
        <v>2350</v>
      </c>
    </row>
    <row r="53" customFormat="false" ht="21.75" hidden="false" customHeight="true" outlineLevel="0" collapsed="false">
      <c r="A53" s="5" t="s">
        <v>1494</v>
      </c>
      <c r="B53" s="5" t="s">
        <v>2351</v>
      </c>
      <c r="C53" s="5" t="s">
        <v>2352</v>
      </c>
      <c r="D53" s="5" t="s">
        <v>110</v>
      </c>
      <c r="E53" s="5" t="s">
        <v>2124</v>
      </c>
      <c r="F53" s="5" t="s">
        <v>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80"/>
  </cols>
  <sheetData>
    <row r="1" customFormat="false" ht="15.75" hidden="false" customHeight="true" outlineLevel="0" collapsed="false">
      <c r="A1" s="2" t="s">
        <v>2354</v>
      </c>
    </row>
    <row r="2" customFormat="false" ht="15" hidden="false" customHeight="true" outlineLevel="0" collapsed="false">
      <c r="A2" s="3" t="s">
        <v>2355</v>
      </c>
    </row>
    <row r="4" customFormat="false" ht="15" hidden="false" customHeight="true" outlineLevel="0" collapsed="false">
      <c r="A4" s="12" t="s">
        <v>2356</v>
      </c>
      <c r="B4" s="12" t="s">
        <v>2357</v>
      </c>
      <c r="C4" s="12" t="s">
        <v>29</v>
      </c>
      <c r="D4" s="12" t="s">
        <v>81</v>
      </c>
      <c r="E4" s="12" t="s">
        <v>72</v>
      </c>
      <c r="F4" s="12" t="s">
        <v>1469</v>
      </c>
    </row>
    <row r="5" customFormat="false" ht="15" hidden="false" customHeight="true" outlineLevel="0" collapsed="false">
      <c r="A5" s="9" t="s">
        <v>2358</v>
      </c>
      <c r="B5" s="5" t="s">
        <v>2359</v>
      </c>
      <c r="C5" s="36" t="n">
        <v>0.03</v>
      </c>
      <c r="D5" s="9" t="s">
        <v>2360</v>
      </c>
      <c r="E5" s="9" t="s">
        <v>2361</v>
      </c>
      <c r="F5" s="5" t="s">
        <v>2362</v>
      </c>
    </row>
    <row r="6" customFormat="false" ht="15" hidden="false" customHeight="true" outlineLevel="0" collapsed="false">
      <c r="A6" s="9" t="s">
        <v>2363</v>
      </c>
      <c r="B6" s="5" t="s">
        <v>2364</v>
      </c>
      <c r="C6" s="36" t="n">
        <v>0.05</v>
      </c>
      <c r="D6" s="9" t="s">
        <v>2360</v>
      </c>
      <c r="E6" s="9" t="s">
        <v>2361</v>
      </c>
      <c r="F6" s="5" t="s">
        <v>2365</v>
      </c>
    </row>
    <row r="7" customFormat="false" ht="15" hidden="false" customHeight="true" outlineLevel="0" collapsed="false">
      <c r="A7" s="9" t="s">
        <v>91</v>
      </c>
      <c r="B7" s="5" t="s">
        <v>2366</v>
      </c>
      <c r="C7" s="36" t="n">
        <v>0.1</v>
      </c>
      <c r="D7" s="9" t="s">
        <v>2360</v>
      </c>
      <c r="E7" s="9" t="s">
        <v>2361</v>
      </c>
      <c r="F7" s="5" t="s">
        <v>2367</v>
      </c>
    </row>
    <row r="8" customFormat="false" ht="15" hidden="false" customHeight="true" outlineLevel="0" collapsed="false">
      <c r="A8" s="9" t="s">
        <v>2368</v>
      </c>
      <c r="B8" s="5" t="s">
        <v>2369</v>
      </c>
      <c r="C8" s="37" t="s">
        <v>2370</v>
      </c>
      <c r="D8" s="9"/>
      <c r="E8" s="9" t="s">
        <v>2371</v>
      </c>
      <c r="F8" s="5" t="s">
        <v>2372</v>
      </c>
    </row>
    <row r="9" customFormat="false" ht="15" hidden="false" customHeight="true" outlineLevel="0" collapsed="false">
      <c r="A9" s="9" t="s">
        <v>2373</v>
      </c>
      <c r="B9" s="5" t="s">
        <v>2374</v>
      </c>
      <c r="C9" s="38"/>
      <c r="D9" s="9" t="s">
        <v>2360</v>
      </c>
      <c r="E9" s="9" t="s">
        <v>2375</v>
      </c>
      <c r="F9" s="5" t="s">
        <v>2376</v>
      </c>
    </row>
    <row r="10" customFormat="false" ht="21.75" hidden="false" customHeight="true" outlineLevel="0" collapsed="false">
      <c r="A10" s="9" t="s">
        <v>2377</v>
      </c>
      <c r="B10" s="5" t="s">
        <v>2378</v>
      </c>
      <c r="C10" s="37" t="n">
        <v>35.315</v>
      </c>
      <c r="D10" s="9" t="s">
        <v>109</v>
      </c>
      <c r="E10" s="9" t="s">
        <v>2379</v>
      </c>
      <c r="F10" s="5" t="s">
        <v>2380</v>
      </c>
    </row>
    <row r="11" customFormat="false" ht="15" hidden="false" customHeight="true" outlineLevel="0" collapsed="false">
      <c r="A11" s="9" t="s">
        <v>2381</v>
      </c>
      <c r="B11" s="5" t="s">
        <v>2382</v>
      </c>
      <c r="C11" s="37" t="n">
        <v>50</v>
      </c>
      <c r="D11" s="9" t="s">
        <v>198</v>
      </c>
      <c r="E11" s="9" t="s">
        <v>2383</v>
      </c>
      <c r="F11" s="5" t="s">
        <v>2384</v>
      </c>
    </row>
    <row r="12" customFormat="false" ht="15" hidden="false" customHeight="true" outlineLevel="0" collapsed="false">
      <c r="A12" s="9" t="s">
        <v>2385</v>
      </c>
      <c r="B12" s="5" t="s">
        <v>2386</v>
      </c>
      <c r="C12" s="37" t="n">
        <v>1.25</v>
      </c>
      <c r="D12" s="9" t="s">
        <v>109</v>
      </c>
      <c r="E12" s="9" t="s">
        <v>2387</v>
      </c>
      <c r="F12" s="5" t="s">
        <v>2388</v>
      </c>
    </row>
    <row r="13" customFormat="false" ht="21.75" hidden="false" customHeight="true" outlineLevel="0" collapsed="false">
      <c r="A13" s="9" t="s">
        <v>2389</v>
      </c>
      <c r="B13" s="5" t="s">
        <v>2390</v>
      </c>
      <c r="C13" s="39" t="n">
        <v>45</v>
      </c>
      <c r="D13" s="9" t="s">
        <v>2391</v>
      </c>
      <c r="E13" s="9" t="s">
        <v>2392</v>
      </c>
      <c r="F13" s="5" t="s">
        <v>2393</v>
      </c>
    </row>
    <row r="14" customFormat="false" ht="15" hidden="false" customHeight="true" outlineLevel="0" collapsed="false">
      <c r="A14" s="9" t="s">
        <v>2394</v>
      </c>
      <c r="B14" s="5" t="s">
        <v>2395</v>
      </c>
      <c r="C14" s="39" t="n">
        <v>42.5</v>
      </c>
      <c r="D14" s="9" t="s">
        <v>2391</v>
      </c>
      <c r="E14" s="9" t="s">
        <v>2392</v>
      </c>
      <c r="F14" s="5" t="s">
        <v>2396</v>
      </c>
    </row>
    <row r="15" customFormat="false" ht="15" hidden="false" customHeight="true" outlineLevel="0" collapsed="false">
      <c r="A15" s="9" t="s">
        <v>2397</v>
      </c>
      <c r="B15" s="5" t="s">
        <v>2398</v>
      </c>
      <c r="C15" s="37" t="n">
        <v>1.54</v>
      </c>
      <c r="D15" s="9"/>
      <c r="E15" s="9" t="s">
        <v>2387</v>
      </c>
      <c r="F15" s="5" t="s">
        <v>2399</v>
      </c>
    </row>
    <row r="16" customFormat="false" ht="15" hidden="false" customHeight="true" outlineLevel="0" collapsed="false">
      <c r="A16" s="9" t="s">
        <v>2400</v>
      </c>
      <c r="B16" s="5" t="s">
        <v>2401</v>
      </c>
      <c r="C16" s="37" t="n">
        <v>1.3</v>
      </c>
      <c r="D16" s="9"/>
      <c r="E16" s="9" t="s">
        <v>2387</v>
      </c>
      <c r="F16" s="5" t="s">
        <v>2399</v>
      </c>
    </row>
    <row r="17" customFormat="false" ht="15" hidden="false" customHeight="true" outlineLevel="0" collapsed="false">
      <c r="A17" s="9" t="s">
        <v>2402</v>
      </c>
      <c r="B17" s="5" t="s">
        <v>2403</v>
      </c>
      <c r="C17" s="40" t="n">
        <v>0.02</v>
      </c>
      <c r="D17" s="9" t="s">
        <v>2360</v>
      </c>
      <c r="E17" s="9" t="s">
        <v>2392</v>
      </c>
      <c r="F17" s="5" t="s">
        <v>2404</v>
      </c>
    </row>
    <row r="18" customFormat="false" ht="15" hidden="false" customHeight="true" outlineLevel="0" collapsed="false">
      <c r="A18" s="9" t="s">
        <v>2405</v>
      </c>
      <c r="B18" s="5" t="s">
        <v>2406</v>
      </c>
      <c r="C18" s="36" t="n">
        <v>0.05</v>
      </c>
      <c r="D18" s="9" t="s">
        <v>2360</v>
      </c>
      <c r="E18" s="9" t="s">
        <v>2361</v>
      </c>
      <c r="F18" s="5" t="s">
        <v>2407</v>
      </c>
    </row>
    <row r="19" customFormat="false" ht="15" hidden="false" customHeight="true" outlineLevel="0" collapsed="false">
      <c r="A19" s="9" t="s">
        <v>2408</v>
      </c>
      <c r="B19" s="5" t="s">
        <v>2409</v>
      </c>
      <c r="C19" s="40" t="n">
        <v>0.02</v>
      </c>
      <c r="D19" s="9" t="s">
        <v>2360</v>
      </c>
      <c r="E19" s="9" t="s">
        <v>2392</v>
      </c>
      <c r="F19" s="5"/>
    </row>
    <row r="20" customFormat="false" ht="15" hidden="false" customHeight="true" outlineLevel="0" collapsed="false">
      <c r="A20" s="9" t="s">
        <v>2410</v>
      </c>
      <c r="B20" s="5" t="s">
        <v>2411</v>
      </c>
      <c r="C20" s="36" t="n">
        <v>0</v>
      </c>
      <c r="D20" s="9" t="s">
        <v>2360</v>
      </c>
      <c r="E20" s="9"/>
      <c r="F20" s="5"/>
    </row>
    <row r="21" customFormat="false" ht="15" hidden="false" customHeight="true" outlineLevel="0" collapsed="false">
      <c r="A21" s="9" t="s">
        <v>2412</v>
      </c>
      <c r="B21" s="5" t="s">
        <v>2413</v>
      </c>
      <c r="C21" s="36" t="n">
        <v>0.03</v>
      </c>
      <c r="D21" s="9" t="s">
        <v>2360</v>
      </c>
      <c r="E21" s="9" t="s">
        <v>2361</v>
      </c>
      <c r="F21" s="5" t="s">
        <v>2414</v>
      </c>
    </row>
    <row r="22" customFormat="false" ht="15" hidden="false" customHeight="true" outlineLevel="0" collapsed="false">
      <c r="A22" s="9" t="s">
        <v>2415</v>
      </c>
      <c r="B22" s="5" t="s">
        <v>2416</v>
      </c>
      <c r="C22" s="40" t="n">
        <v>0.05</v>
      </c>
      <c r="D22" s="9" t="s">
        <v>2360</v>
      </c>
      <c r="E22" s="9" t="s">
        <v>2392</v>
      </c>
      <c r="F22" s="5" t="s">
        <v>2417</v>
      </c>
    </row>
    <row r="23" customFormat="false" ht="15" hidden="false" customHeight="true" outlineLevel="0" collapsed="false">
      <c r="A23" s="9" t="s">
        <v>2418</v>
      </c>
      <c r="B23" s="5" t="s">
        <v>2419</v>
      </c>
      <c r="C23" s="40" t="n">
        <v>0.05</v>
      </c>
      <c r="D23" s="9" t="s">
        <v>2360</v>
      </c>
      <c r="E23" s="9" t="s">
        <v>2392</v>
      </c>
      <c r="F23" s="5" t="s">
        <v>2417</v>
      </c>
    </row>
    <row r="24" customFormat="false" ht="15" hidden="false" customHeight="true" outlineLevel="0" collapsed="false">
      <c r="A24" s="9" t="s">
        <v>2420</v>
      </c>
      <c r="B24" s="5" t="s">
        <v>2421</v>
      </c>
      <c r="C24" s="40" t="n">
        <v>0.1</v>
      </c>
      <c r="D24" s="9" t="s">
        <v>2360</v>
      </c>
      <c r="E24" s="9" t="s">
        <v>2392</v>
      </c>
      <c r="F24" s="5"/>
    </row>
    <row r="25" customFormat="false" ht="15" hidden="false" customHeight="true" outlineLevel="0" collapsed="false">
      <c r="A25" s="9" t="s">
        <v>2422</v>
      </c>
      <c r="B25" s="5" t="s">
        <v>2423</v>
      </c>
      <c r="C25" s="39" t="n">
        <v>6</v>
      </c>
      <c r="D25" s="9" t="s">
        <v>368</v>
      </c>
      <c r="E25" s="9" t="s">
        <v>2392</v>
      </c>
      <c r="F25" s="5" t="s">
        <v>2424</v>
      </c>
    </row>
    <row r="26" customFormat="false" ht="15" hidden="false" customHeight="true" outlineLevel="0" collapsed="false">
      <c r="A26" s="9" t="s">
        <v>2425</v>
      </c>
      <c r="B26" s="5" t="s">
        <v>2426</v>
      </c>
      <c r="C26" s="39" t="n">
        <v>10</v>
      </c>
      <c r="D26" s="9" t="s">
        <v>368</v>
      </c>
      <c r="E26" s="9" t="s">
        <v>2392</v>
      </c>
      <c r="F26" s="5" t="s">
        <v>2427</v>
      </c>
    </row>
    <row r="27" customFormat="false" ht="15" hidden="false" customHeight="true" outlineLevel="0" collapsed="false">
      <c r="A27" s="9" t="s">
        <v>2428</v>
      </c>
      <c r="B27" s="5" t="s">
        <v>2429</v>
      </c>
      <c r="C27" s="40" t="n">
        <v>0.07</v>
      </c>
      <c r="D27" s="9" t="s">
        <v>2360</v>
      </c>
      <c r="E27" s="9" t="s">
        <v>2392</v>
      </c>
      <c r="F27" s="5"/>
    </row>
    <row r="28" customFormat="false" ht="15" hidden="false" customHeight="true" outlineLevel="0" collapsed="false">
      <c r="A28" s="9" t="s">
        <v>2430</v>
      </c>
      <c r="B28" s="5" t="s">
        <v>2431</v>
      </c>
      <c r="C28" s="40" t="n">
        <v>0.07</v>
      </c>
      <c r="D28" s="9" t="s">
        <v>2360</v>
      </c>
      <c r="E28" s="9" t="s">
        <v>2392</v>
      </c>
      <c r="F28" s="5"/>
    </row>
    <row r="29" customFormat="false" ht="15" hidden="false" customHeight="true" outlineLevel="0" collapsed="false">
      <c r="A29" s="9" t="s">
        <v>2432</v>
      </c>
      <c r="B29" s="5" t="s">
        <v>2433</v>
      </c>
      <c r="C29" s="40" t="n">
        <v>0.1</v>
      </c>
      <c r="D29" s="9" t="s">
        <v>2360</v>
      </c>
      <c r="E29" s="9" t="s">
        <v>2392</v>
      </c>
      <c r="F29" s="5"/>
    </row>
    <row r="30" customFormat="false" ht="15" hidden="false" customHeight="true" outlineLevel="0" collapsed="false">
      <c r="A30" s="9" t="s">
        <v>2434</v>
      </c>
      <c r="B30" s="5" t="s">
        <v>2435</v>
      </c>
      <c r="C30" s="40" t="n">
        <v>0.05</v>
      </c>
      <c r="D30" s="9" t="s">
        <v>2360</v>
      </c>
      <c r="E30" s="9" t="s">
        <v>2392</v>
      </c>
      <c r="F30" s="5"/>
    </row>
    <row r="31" customFormat="false" ht="15" hidden="false" customHeight="true" outlineLevel="0" collapsed="false">
      <c r="A31" s="9" t="s">
        <v>2436</v>
      </c>
      <c r="B31" s="5" t="s">
        <v>2437</v>
      </c>
      <c r="C31" s="40" t="n">
        <v>0.05</v>
      </c>
      <c r="D31" s="9" t="s">
        <v>2360</v>
      </c>
      <c r="E31" s="9" t="s">
        <v>2392</v>
      </c>
      <c r="F31" s="5"/>
    </row>
    <row r="32" customFormat="false" ht="15" hidden="false" customHeight="true" outlineLevel="0" collapsed="false">
      <c r="A32" s="9" t="s">
        <v>2438</v>
      </c>
      <c r="B32" s="5" t="s">
        <v>2439</v>
      </c>
      <c r="C32" s="40" t="n">
        <v>0.03</v>
      </c>
      <c r="D32" s="9" t="s">
        <v>2360</v>
      </c>
      <c r="E32" s="9" t="s">
        <v>2392</v>
      </c>
      <c r="F32" s="5"/>
    </row>
    <row r="33" customFormat="false" ht="15" hidden="false" customHeight="true" outlineLevel="0" collapsed="false">
      <c r="A33" s="9" t="s">
        <v>2440</v>
      </c>
      <c r="B33" s="5" t="s">
        <v>2441</v>
      </c>
      <c r="C33" s="40" t="n">
        <v>0.02</v>
      </c>
      <c r="D33" s="9" t="s">
        <v>2360</v>
      </c>
      <c r="E33" s="9" t="s">
        <v>2392</v>
      </c>
      <c r="F33" s="5"/>
    </row>
    <row r="34" customFormat="false" ht="15" hidden="false" customHeight="true" outlineLevel="0" collapsed="false">
      <c r="A34" s="9" t="s">
        <v>2442</v>
      </c>
      <c r="B34" s="5" t="s">
        <v>2443</v>
      </c>
      <c r="C34" s="40" t="n">
        <v>0.12</v>
      </c>
      <c r="D34" s="9" t="s">
        <v>2360</v>
      </c>
      <c r="E34" s="9" t="s">
        <v>2392</v>
      </c>
      <c r="F34" s="5" t="s">
        <v>2444</v>
      </c>
    </row>
    <row r="35" customFormat="false" ht="21.75" hidden="false" customHeight="true" outlineLevel="0" collapsed="false">
      <c r="A35" s="9" t="s">
        <v>2445</v>
      </c>
      <c r="B35" s="5" t="s">
        <v>2446</v>
      </c>
      <c r="C35" s="37" t="s">
        <v>2124</v>
      </c>
      <c r="D35" s="9"/>
      <c r="E35" s="9" t="s">
        <v>2371</v>
      </c>
      <c r="F35" s="5" t="s">
        <v>2447</v>
      </c>
    </row>
    <row r="38" customFormat="false" ht="15" hidden="false" customHeight="true" outlineLevel="0" collapsed="false">
      <c r="A38" s="41" t="s">
        <v>2448</v>
      </c>
    </row>
    <row r="39" customFormat="false" ht="25.5" hidden="false" customHeight="true" outlineLevel="0" collapsed="false">
      <c r="A39" s="42" t="s">
        <v>2449</v>
      </c>
      <c r="B39" s="42"/>
      <c r="C39" s="42"/>
      <c r="D39" s="42"/>
      <c r="E39" s="42"/>
      <c r="F39" s="42"/>
    </row>
    <row r="40" customFormat="false" ht="25.5" hidden="false" customHeight="true" outlineLevel="0" collapsed="false">
      <c r="A40" s="42" t="s">
        <v>2450</v>
      </c>
      <c r="B40" s="42"/>
      <c r="C40" s="42"/>
      <c r="D40" s="42"/>
      <c r="E40" s="42"/>
      <c r="F40" s="42"/>
    </row>
    <row r="41" customFormat="false" ht="25.5" hidden="false" customHeight="true" outlineLevel="0" collapsed="false">
      <c r="A41" s="42" t="s">
        <v>2451</v>
      </c>
      <c r="B41" s="42"/>
      <c r="C41" s="42"/>
      <c r="D41" s="42"/>
      <c r="E41" s="42"/>
      <c r="F41" s="42"/>
    </row>
    <row r="42" customFormat="false" ht="25.5" hidden="false" customHeight="true" outlineLevel="0" collapsed="false">
      <c r="A42" s="42" t="s">
        <v>2452</v>
      </c>
      <c r="B42" s="42"/>
      <c r="C42" s="42"/>
      <c r="D42" s="42"/>
      <c r="E42" s="42"/>
      <c r="F42" s="42"/>
    </row>
    <row r="43" customFormat="false" ht="25.5" hidden="false" customHeight="true" outlineLevel="0" collapsed="false">
      <c r="A43" s="42" t="s">
        <v>2453</v>
      </c>
      <c r="B43" s="42"/>
      <c r="C43" s="42"/>
      <c r="D43" s="42"/>
      <c r="E43" s="42"/>
      <c r="F43" s="42"/>
    </row>
    <row r="44" customFormat="false" ht="25.5" hidden="false" customHeight="true" outlineLevel="0" collapsed="false">
      <c r="A44" s="42" t="s">
        <v>2454</v>
      </c>
      <c r="B44" s="42"/>
      <c r="C44" s="42"/>
      <c r="D44" s="42"/>
      <c r="E44" s="42"/>
      <c r="F44" s="42"/>
    </row>
    <row r="45" customFormat="false" ht="25.5" hidden="false" customHeight="true" outlineLevel="0" collapsed="false">
      <c r="A45" s="42" t="s">
        <v>2455</v>
      </c>
      <c r="B45" s="42"/>
      <c r="C45" s="42"/>
      <c r="D45" s="42"/>
      <c r="E45" s="42"/>
      <c r="F45" s="42"/>
    </row>
    <row r="46" customFormat="false" ht="25.5" hidden="false" customHeight="true" outlineLevel="0" collapsed="false">
      <c r="A46" s="42" t="s">
        <v>2456</v>
      </c>
      <c r="B46" s="42"/>
      <c r="C46" s="42"/>
      <c r="D46" s="42"/>
      <c r="E46" s="42"/>
      <c r="F46" s="42"/>
    </row>
    <row r="47" customFormat="false" ht="25.5" hidden="false" customHeight="true" outlineLevel="0" collapsed="false">
      <c r="A47" s="42" t="s">
        <v>2457</v>
      </c>
      <c r="B47" s="42"/>
      <c r="C47" s="42"/>
      <c r="D47" s="42"/>
      <c r="E47" s="42"/>
      <c r="F47" s="42"/>
    </row>
    <row r="48" customFormat="false" ht="25.5" hidden="false" customHeight="true" outlineLevel="0" collapsed="false">
      <c r="A48" s="42" t="s">
        <v>2458</v>
      </c>
      <c r="B48" s="42"/>
      <c r="C48" s="42"/>
      <c r="D48" s="42"/>
      <c r="E48" s="42"/>
      <c r="F48" s="42"/>
    </row>
  </sheetData>
  <mergeCells count="10"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</mergeCells>
  <dataValidations count="2"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35" type="list">
      <formula1>"Lahore,Islamabad,Rawalpindi,Karachi,Peshawar,Multan,Faisalabad,Gujranwala,Sialkot,Abbottabad,Quetta"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0"/>
  </cols>
  <sheetData>
    <row r="1" customFormat="false" ht="15.75" hidden="false" customHeight="true" outlineLevel="0" collapsed="false">
      <c r="A1" s="2" t="s">
        <v>2459</v>
      </c>
    </row>
    <row r="2" customFormat="false" ht="15" hidden="false" customHeight="true" outlineLevel="0" collapsed="false">
      <c r="A2" s="3" t="s">
        <v>2460</v>
      </c>
    </row>
    <row r="4" customFormat="false" ht="15" hidden="false" customHeight="true" outlineLevel="0" collapsed="false">
      <c r="A4" s="12" t="s">
        <v>2461</v>
      </c>
      <c r="B4" s="12" t="s">
        <v>2462</v>
      </c>
      <c r="C4" s="12" t="s">
        <v>2463</v>
      </c>
      <c r="D4" s="12" t="s">
        <v>2464</v>
      </c>
    </row>
    <row r="5" customFormat="false" ht="15" hidden="false" customHeight="true" outlineLevel="0" collapsed="false">
      <c r="A5" s="9" t="s">
        <v>2465</v>
      </c>
      <c r="B5" s="9" t="s">
        <v>2466</v>
      </c>
      <c r="C5" s="43" t="n">
        <v>0.0833333333333333</v>
      </c>
      <c r="D5" s="9" t="s">
        <v>2467</v>
      </c>
    </row>
    <row r="6" customFormat="false" ht="15" hidden="false" customHeight="true" outlineLevel="0" collapsed="false">
      <c r="A6" s="9" t="s">
        <v>212</v>
      </c>
      <c r="B6" s="9" t="s">
        <v>2468</v>
      </c>
      <c r="C6" s="43" t="n">
        <v>0.01</v>
      </c>
      <c r="D6" s="9" t="s">
        <v>2469</v>
      </c>
    </row>
    <row r="7" customFormat="false" ht="15" hidden="false" customHeight="true" outlineLevel="0" collapsed="false">
      <c r="A7" s="9" t="s">
        <v>109</v>
      </c>
      <c r="B7" s="9" t="s">
        <v>2470</v>
      </c>
      <c r="C7" s="43" t="n">
        <v>0.01</v>
      </c>
      <c r="D7" s="9"/>
    </row>
    <row r="8" customFormat="false" ht="15" hidden="false" customHeight="true" outlineLevel="0" collapsed="false">
      <c r="A8" s="9" t="s">
        <v>2471</v>
      </c>
      <c r="B8" s="9" t="s">
        <v>109</v>
      </c>
      <c r="C8" s="43" t="n">
        <v>35.315</v>
      </c>
      <c r="D8" s="9" t="s">
        <v>2472</v>
      </c>
    </row>
    <row r="9" customFormat="false" ht="15" hidden="false" customHeight="true" outlineLevel="0" collapsed="false">
      <c r="A9" s="9" t="s">
        <v>2473</v>
      </c>
      <c r="B9" s="9" t="s">
        <v>2474</v>
      </c>
      <c r="C9" s="43" t="n">
        <v>0.0283165793572137</v>
      </c>
      <c r="D9" s="9"/>
    </row>
    <row r="10" customFormat="false" ht="15" hidden="false" customHeight="true" outlineLevel="0" collapsed="false">
      <c r="A10" s="9" t="s">
        <v>644</v>
      </c>
      <c r="B10" s="9" t="s">
        <v>198</v>
      </c>
      <c r="C10" s="43" t="n">
        <v>1000</v>
      </c>
      <c r="D10" s="9" t="s">
        <v>2475</v>
      </c>
    </row>
    <row r="11" customFormat="false" ht="15" hidden="false" customHeight="true" outlineLevel="0" collapsed="false">
      <c r="A11" s="9" t="s">
        <v>2476</v>
      </c>
      <c r="B11" s="9" t="s">
        <v>198</v>
      </c>
      <c r="C11" s="43" t="n">
        <v>50</v>
      </c>
      <c r="D11" s="9"/>
    </row>
    <row r="12" customFormat="false" ht="15" hidden="false" customHeight="true" outlineLevel="0" collapsed="false">
      <c r="A12" s="9" t="s">
        <v>2476</v>
      </c>
      <c r="B12" s="9" t="s">
        <v>109</v>
      </c>
      <c r="C12" s="43" t="n">
        <v>1.25</v>
      </c>
      <c r="D12" s="9" t="s">
        <v>2387</v>
      </c>
    </row>
    <row r="13" customFormat="false" ht="15" hidden="false" customHeight="true" outlineLevel="0" collapsed="false">
      <c r="A13" s="9" t="s">
        <v>2477</v>
      </c>
      <c r="B13" s="9" t="s">
        <v>811</v>
      </c>
      <c r="C13" s="43" t="n">
        <v>4.546</v>
      </c>
      <c r="D13" s="9"/>
    </row>
    <row r="14" customFormat="false" ht="15" hidden="false" customHeight="true" outlineLevel="0" collapsed="false">
      <c r="A14" s="9" t="s">
        <v>2478</v>
      </c>
      <c r="B14" s="9" t="s">
        <v>198</v>
      </c>
      <c r="C14" s="43" t="n">
        <v>1.165</v>
      </c>
      <c r="D14" s="9" t="s">
        <v>2479</v>
      </c>
    </row>
    <row r="15" customFormat="false" ht="15" hidden="false" customHeight="true" outlineLevel="0" collapsed="false">
      <c r="A15" s="9" t="s">
        <v>2480</v>
      </c>
      <c r="B15" s="9" t="s">
        <v>2465</v>
      </c>
      <c r="C15" s="43" t="n">
        <v>0.125</v>
      </c>
      <c r="D15" s="9" t="s">
        <v>2481</v>
      </c>
    </row>
    <row r="16" customFormat="false" ht="15" hidden="false" customHeight="true" outlineLevel="0" collapsed="false">
      <c r="A16" s="9" t="s">
        <v>386</v>
      </c>
      <c r="B16" s="9" t="s">
        <v>2466</v>
      </c>
      <c r="C16" s="43" t="n">
        <v>1</v>
      </c>
      <c r="D16" s="9" t="s">
        <v>2482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90"/>
    <col collapsed="false" customWidth="true" hidden="false" outlineLevel="0" max="4" min="4" style="1" width="10"/>
    <col collapsed="false" customWidth="true" hidden="false" outlineLevel="0" max="5" min="5" style="1" width="28"/>
  </cols>
  <sheetData>
    <row r="1" customFormat="false" ht="15.75" hidden="false" customHeight="true" outlineLevel="0" collapsed="false">
      <c r="A1" s="2" t="s">
        <v>2483</v>
      </c>
    </row>
    <row r="2" customFormat="false" ht="15" hidden="false" customHeight="true" outlineLevel="0" collapsed="false">
      <c r="A2" s="3" t="s">
        <v>2484</v>
      </c>
    </row>
    <row r="4" customFormat="false" ht="15" hidden="false" customHeight="true" outlineLevel="0" collapsed="false">
      <c r="A4" s="12" t="s">
        <v>2485</v>
      </c>
      <c r="B4" s="12" t="s">
        <v>76</v>
      </c>
      <c r="C4" s="12" t="s">
        <v>2486</v>
      </c>
      <c r="D4" s="12" t="s">
        <v>2487</v>
      </c>
      <c r="E4" s="12" t="s">
        <v>72</v>
      </c>
    </row>
    <row r="5" customFormat="false" ht="27.75" hidden="false" customHeight="true" outlineLevel="0" collapsed="false">
      <c r="A5" s="9" t="s">
        <v>2488</v>
      </c>
      <c r="B5" s="9" t="s">
        <v>2489</v>
      </c>
      <c r="C5" s="5" t="s">
        <v>2490</v>
      </c>
      <c r="D5" s="10" t="n">
        <f aca="false">COUNTIF('03 MASTER RATE LIBRARY'!$A$5:$A$999,"PRE-GEN-*")</f>
        <v>7</v>
      </c>
      <c r="E5" s="10" t="str">
        <f aca="false">IF(D5&gt;0,"Issued","Queued – awaiting dated sources")</f>
        <v>Issued</v>
      </c>
    </row>
    <row r="6" customFormat="false" ht="27.75" hidden="false" customHeight="true" outlineLevel="0" collapsed="false">
      <c r="A6" s="9" t="s">
        <v>2491</v>
      </c>
      <c r="B6" s="9" t="s">
        <v>2492</v>
      </c>
      <c r="C6" s="5" t="s">
        <v>2493</v>
      </c>
      <c r="D6" s="10" t="n">
        <f aca="false">COUNTIF('03 MASTER RATE LIBRARY'!$A$5:$A$999,"CIV-EW-*")</f>
        <v>7</v>
      </c>
      <c r="E6" s="10" t="str">
        <f aca="false">IF(D6&gt;0,"Issued","Queued – awaiting dated sources")</f>
        <v>Issued</v>
      </c>
    </row>
    <row r="7" customFormat="false" ht="27.75" hidden="false" customHeight="true" outlineLevel="0" collapsed="false">
      <c r="A7" s="9" t="s">
        <v>2494</v>
      </c>
      <c r="B7" s="9" t="s">
        <v>2495</v>
      </c>
      <c r="C7" s="5" t="s">
        <v>2496</v>
      </c>
      <c r="D7" s="10" t="n">
        <f aca="false">COUNTIF('03 MASTER RATE LIBRARY'!$A$5:$A$999,"CIV-CON-*")</f>
        <v>24</v>
      </c>
      <c r="E7" s="10" t="str">
        <f aca="false">IF(D7&gt;0,"Issued","Queued – awaiting dated sources")</f>
        <v>Issued</v>
      </c>
    </row>
    <row r="8" customFormat="false" ht="27.75" hidden="false" customHeight="true" outlineLevel="0" collapsed="false">
      <c r="A8" s="9" t="s">
        <v>2497</v>
      </c>
      <c r="B8" s="9" t="s">
        <v>194</v>
      </c>
      <c r="C8" s="5" t="s">
        <v>2498</v>
      </c>
      <c r="D8" s="10" t="n">
        <f aca="false">COUNTIF('03 MASTER RATE LIBRARY'!$A$5:$A$999,"CIV-RFT-*")</f>
        <v>2</v>
      </c>
      <c r="E8" s="10" t="str">
        <f aca="false">IF(D8&gt;0,"Issued","Queued – awaiting dated sources")</f>
        <v>Issued</v>
      </c>
    </row>
    <row r="9" customFormat="false" ht="27.75" hidden="false" customHeight="true" outlineLevel="0" collapsed="false">
      <c r="A9" s="9" t="s">
        <v>2499</v>
      </c>
      <c r="B9" s="9" t="s">
        <v>219</v>
      </c>
      <c r="C9" s="5" t="s">
        <v>2500</v>
      </c>
      <c r="D9" s="10" t="n">
        <f aca="false">COUNTIF('03 MASTER RATE LIBRARY'!$A$5:$A$999,"CIV-FWK-*")</f>
        <v>6</v>
      </c>
      <c r="E9" s="10" t="str">
        <f aca="false">IF(D9&gt;0,"Issued","Queued – awaiting dated sources")</f>
        <v>Issued</v>
      </c>
    </row>
    <row r="10" customFormat="false" ht="27.75" hidden="false" customHeight="true" outlineLevel="0" collapsed="false">
      <c r="A10" s="9" t="s">
        <v>2501</v>
      </c>
      <c r="B10" s="9" t="s">
        <v>2502</v>
      </c>
      <c r="C10" s="5" t="s">
        <v>2503</v>
      </c>
      <c r="D10" s="10" t="n">
        <f aca="false">COUNTIF('03 MASTER RATE LIBRARY'!$A$5:$A$999,"CIV-MAS-*")</f>
        <v>11</v>
      </c>
      <c r="E10" s="10" t="str">
        <f aca="false">IF(D10&gt;0,"Issued","Queued – awaiting dated sources")</f>
        <v>Issued</v>
      </c>
    </row>
    <row r="11" customFormat="false" ht="27.75" hidden="false" customHeight="true" outlineLevel="0" collapsed="false">
      <c r="A11" s="9" t="s">
        <v>2504</v>
      </c>
      <c r="B11" s="9" t="s">
        <v>2505</v>
      </c>
      <c r="C11" s="5" t="s">
        <v>2506</v>
      </c>
      <c r="D11" s="10" t="n">
        <f aca="false">COUNTIF('03 MASTER RATE LIBRARY'!$A$5:$A$999,"FIN-PLS-*")</f>
        <v>5</v>
      </c>
      <c r="E11" s="10" t="str">
        <f aca="false">IF(D11&gt;0,"Issued","Queued – awaiting dated sources")</f>
        <v>Issued</v>
      </c>
    </row>
    <row r="12" customFormat="false" ht="27.75" hidden="false" customHeight="true" outlineLevel="0" collapsed="false">
      <c r="A12" s="9" t="s">
        <v>2507</v>
      </c>
      <c r="B12" s="9" t="s">
        <v>2508</v>
      </c>
      <c r="C12" s="5" t="s">
        <v>2509</v>
      </c>
      <c r="D12" s="10" t="n">
        <f aca="false">COUNTIF('03 MASTER RATE LIBRARY'!$A$5:$A$999,"FIN-WPF-*")</f>
        <v>3</v>
      </c>
      <c r="E12" s="10" t="str">
        <f aca="false">IF(D12&gt;0,"Issued","Queued – awaiting dated sources")</f>
        <v>Issued</v>
      </c>
    </row>
    <row r="13" customFormat="false" ht="27.75" hidden="false" customHeight="true" outlineLevel="0" collapsed="false">
      <c r="A13" s="9" t="s">
        <v>2510</v>
      </c>
      <c r="B13" s="9" t="s">
        <v>279</v>
      </c>
      <c r="C13" s="5" t="s">
        <v>2511</v>
      </c>
      <c r="D13" s="10" t="n">
        <f aca="false">COUNTIF('03 MASTER RATE LIBRARY'!$A$5:$A$999,"FIN-FLR-*")</f>
        <v>9</v>
      </c>
      <c r="E13" s="10" t="str">
        <f aca="false">IF(D13&gt;0,"Issued","Queued – awaiting dated sources")</f>
        <v>Issued</v>
      </c>
    </row>
    <row r="14" customFormat="false" ht="27.75" hidden="false" customHeight="true" outlineLevel="0" collapsed="false">
      <c r="A14" s="9" t="s">
        <v>2512</v>
      </c>
      <c r="B14" s="9" t="s">
        <v>288</v>
      </c>
      <c r="C14" s="5" t="s">
        <v>2513</v>
      </c>
      <c r="D14" s="10" t="n">
        <f aca="false">COUNTIF('03 MASTER RATE LIBRARY'!$A$5:$A$999,"FIN-WAL-*")</f>
        <v>4</v>
      </c>
      <c r="E14" s="10" t="str">
        <f aca="false">IF(D14&gt;0,"Issued","Queued – awaiting dated sources")</f>
        <v>Issued</v>
      </c>
    </row>
    <row r="15" customFormat="false" ht="27.75" hidden="false" customHeight="true" outlineLevel="0" collapsed="false">
      <c r="A15" s="9" t="s">
        <v>2514</v>
      </c>
      <c r="B15" s="9" t="s">
        <v>304</v>
      </c>
      <c r="C15" s="5" t="s">
        <v>2515</v>
      </c>
      <c r="D15" s="10" t="n">
        <f aca="false">COUNTIF('03 MASTER RATE LIBRARY'!$A$5:$A$999,"FIN-CLG-*")</f>
        <v>5</v>
      </c>
      <c r="E15" s="10" t="str">
        <f aca="false">IF(D15&gt;0,"Issued","Queued – awaiting dated sources")</f>
        <v>Issued</v>
      </c>
    </row>
    <row r="16" customFormat="false" ht="27.75" hidden="false" customHeight="true" outlineLevel="0" collapsed="false">
      <c r="A16" s="9" t="s">
        <v>2516</v>
      </c>
      <c r="B16" s="9" t="s">
        <v>313</v>
      </c>
      <c r="C16" s="5" t="s">
        <v>2517</v>
      </c>
      <c r="D16" s="10" t="n">
        <f aca="false">COUNTIF('03 MASTER RATE LIBRARY'!$A$5:$A$999,"FIN-PNT-*")</f>
        <v>2</v>
      </c>
      <c r="E16" s="10" t="str">
        <f aca="false">IF(D16&gt;0,"Issued","Queued – awaiting dated sources")</f>
        <v>Issued</v>
      </c>
    </row>
    <row r="17" customFormat="false" ht="27.75" hidden="false" customHeight="true" outlineLevel="0" collapsed="false">
      <c r="A17" s="9" t="s">
        <v>2518</v>
      </c>
      <c r="B17" s="9" t="s">
        <v>364</v>
      </c>
      <c r="C17" s="5" t="s">
        <v>2519</v>
      </c>
      <c r="D17" s="10" t="n">
        <f aca="false">COUNTIF('03 MASTER RATE LIBRARY'!$A$5:$A$999,"FIN-DOR-*")</f>
        <v>3</v>
      </c>
      <c r="E17" s="10" t="str">
        <f aca="false">IF(D17&gt;0,"Issued","Queued – awaiting dated sources")</f>
        <v>Issued</v>
      </c>
    </row>
    <row r="18" customFormat="false" ht="27.75" hidden="false" customHeight="true" outlineLevel="0" collapsed="false">
      <c r="A18" s="9" t="s">
        <v>2520</v>
      </c>
      <c r="B18" s="9" t="s">
        <v>2521</v>
      </c>
      <c r="C18" s="5" t="s">
        <v>2522</v>
      </c>
      <c r="D18" s="10" t="n">
        <f aca="false">COUNTIF('03 MASTER RATE LIBRARY'!$A$5:$A$999,"FIN-WIN-*")</f>
        <v>2</v>
      </c>
      <c r="E18" s="10" t="str">
        <f aca="false">IF(D18&gt;0,"Issued","Queued – awaiting dated sources")</f>
        <v>Issued</v>
      </c>
    </row>
    <row r="19" customFormat="false" ht="27.75" hidden="false" customHeight="true" outlineLevel="0" collapsed="false">
      <c r="A19" s="9" t="s">
        <v>2523</v>
      </c>
      <c r="B19" s="9" t="s">
        <v>382</v>
      </c>
      <c r="C19" s="5" t="s">
        <v>2524</v>
      </c>
      <c r="D19" s="10" t="n">
        <f aca="false">COUNTIF('03 MASTER RATE LIBRARY'!$A$5:$A$999,"FIN-JNR-*")</f>
        <v>1</v>
      </c>
      <c r="E19" s="10" t="str">
        <f aca="false">IF(D19&gt;0,"Issued","Queued – awaiting dated sources")</f>
        <v>Issued</v>
      </c>
    </row>
    <row r="20" customFormat="false" ht="27.75" hidden="false" customHeight="true" outlineLevel="0" collapsed="false">
      <c r="A20" s="9" t="s">
        <v>2525</v>
      </c>
      <c r="B20" s="9" t="s">
        <v>388</v>
      </c>
      <c r="C20" s="5" t="s">
        <v>2526</v>
      </c>
      <c r="D20" s="10" t="n">
        <f aca="false">COUNTIF('03 MASTER RATE LIBRARY'!$A$5:$A$999,"FAC-*")</f>
        <v>7</v>
      </c>
      <c r="E20" s="10" t="str">
        <f aca="false">IF(D20&gt;0,"Issued","Queued – awaiting dated sources")</f>
        <v>Issued</v>
      </c>
    </row>
    <row r="21" customFormat="false" ht="27.75" hidden="false" customHeight="true" outlineLevel="0" collapsed="false">
      <c r="A21" s="9" t="s">
        <v>2527</v>
      </c>
      <c r="B21" s="9" t="s">
        <v>2528</v>
      </c>
      <c r="C21" s="5" t="s">
        <v>2529</v>
      </c>
      <c r="D21" s="10" t="n">
        <f aca="false">COUNTIF('03 MASTER RATE LIBRARY'!$A$5:$A$999,"EXT-*")</f>
        <v>7</v>
      </c>
      <c r="E21" s="10" t="str">
        <f aca="false">IF(D21&gt;0,"Issued","Queued – awaiting dated sources")</f>
        <v>Issued</v>
      </c>
    </row>
    <row r="22" customFormat="false" ht="27.75" hidden="false" customHeight="true" outlineLevel="0" collapsed="false">
      <c r="A22" s="9" t="s">
        <v>2530</v>
      </c>
      <c r="B22" s="9" t="s">
        <v>433</v>
      </c>
      <c r="C22" s="5" t="s">
        <v>2531</v>
      </c>
      <c r="D22" s="10" t="n">
        <f aca="false">COUNTIF('03 MASTER RATE LIBRARY'!$A$5:$A$999,"PLB-*")</f>
        <v>17</v>
      </c>
      <c r="E22" s="10" t="str">
        <f aca="false">IF(D22&gt;0,"Issued","Queued – awaiting dated sources")</f>
        <v>Issued</v>
      </c>
    </row>
    <row r="23" customFormat="false" ht="27.75" hidden="false" customHeight="true" outlineLevel="0" collapsed="false">
      <c r="A23" s="9" t="s">
        <v>2532</v>
      </c>
      <c r="B23" s="9" t="s">
        <v>481</v>
      </c>
      <c r="C23" s="5" t="s">
        <v>2533</v>
      </c>
      <c r="D23" s="10" t="n">
        <f aca="false">COUNTIF('03 MASTER RATE LIBRARY'!$A$5:$A$999,"FF-*")</f>
        <v>6</v>
      </c>
      <c r="E23" s="10" t="str">
        <f aca="false">IF(D23&gt;0,"Issued","Queued – awaiting dated sources")</f>
        <v>Issued</v>
      </c>
    </row>
    <row r="24" customFormat="false" ht="27.75" hidden="false" customHeight="true" outlineLevel="0" collapsed="false">
      <c r="A24" s="9" t="s">
        <v>2534</v>
      </c>
      <c r="B24" s="9" t="s">
        <v>2535</v>
      </c>
      <c r="C24" s="5" t="s">
        <v>2536</v>
      </c>
      <c r="D24" s="10" t="n">
        <f aca="false">COUNTIF('03 MASTER RATE LIBRARY'!$A$5:$A$999,"MEP-HVAC-*")</f>
        <v>4</v>
      </c>
      <c r="E24" s="10" t="str">
        <f aca="false">IF(D24&gt;0,"Issued","Queued – awaiting dated sources")</f>
        <v>Issued</v>
      </c>
    </row>
    <row r="25" customFormat="false" ht="27.75" hidden="false" customHeight="true" outlineLevel="0" collapsed="false">
      <c r="A25" s="9" t="s">
        <v>2537</v>
      </c>
      <c r="B25" s="9" t="s">
        <v>503</v>
      </c>
      <c r="C25" s="5" t="s">
        <v>2538</v>
      </c>
      <c r="D25" s="10" t="n">
        <f aca="false">COUNTIF('03 MASTER RATE LIBRARY'!$A$5:$A$999,"ELE-*")</f>
        <v>14</v>
      </c>
      <c r="E25" s="10" t="str">
        <f aca="false">IF(D25&gt;0,"Issued","Queued – awaiting dated sources")</f>
        <v>Issued</v>
      </c>
    </row>
    <row r="26" customFormat="false" ht="27.75" hidden="false" customHeight="true" outlineLevel="0" collapsed="false">
      <c r="A26" s="9" t="s">
        <v>65</v>
      </c>
      <c r="B26" s="9" t="s">
        <v>2539</v>
      </c>
      <c r="C26" s="5" t="s">
        <v>2540</v>
      </c>
      <c r="D26" s="10" t="n">
        <f aca="false">COUNTIF('03 MASTER RATE LIBRARY'!$A$5:$A$999,"ELV-*")</f>
        <v>2</v>
      </c>
      <c r="E26" s="10" t="str">
        <f aca="false">IF(D26&gt;0,"Issued","Queued – awaiting dated sources")</f>
        <v>Issued</v>
      </c>
    </row>
    <row r="27" customFormat="false" ht="27.75" hidden="false" customHeight="true" outlineLevel="0" collapsed="false">
      <c r="A27" s="9" t="s">
        <v>2541</v>
      </c>
      <c r="B27" s="9" t="s">
        <v>546</v>
      </c>
      <c r="C27" s="5" t="s">
        <v>2542</v>
      </c>
      <c r="D27" s="10" t="n">
        <f aca="false">COUNTIF('03 MASTER RATE LIBRARY'!$A$5:$A$999,"LS-*")</f>
        <v>2</v>
      </c>
      <c r="E27" s="10" t="str">
        <f aca="false">IF(D27&gt;0,"Issued","Queued – awaiting dated sources")</f>
        <v>Issued</v>
      </c>
    </row>
    <row r="28" customFormat="false" ht="27.75" hidden="false" customHeight="true" outlineLevel="0" collapsed="false">
      <c r="A28" s="9" t="s">
        <v>2543</v>
      </c>
      <c r="B28" s="9" t="s">
        <v>567</v>
      </c>
      <c r="C28" s="5" t="s">
        <v>2544</v>
      </c>
      <c r="D28" s="10" t="n">
        <f aca="false">COUNTIF('03 MASTER RATE LIBRARY'!$A$5:$A$999,"LFT-*")</f>
        <v>2</v>
      </c>
      <c r="E28" s="10" t="str">
        <f aca="false">IF(D28&gt;0,"Issued","Queued – awaiting dated sources")</f>
        <v>Issued</v>
      </c>
    </row>
    <row r="29" customFormat="false" ht="27.75" hidden="false" customHeight="true" outlineLevel="0" collapsed="false">
      <c r="A29" s="9" t="s">
        <v>2545</v>
      </c>
      <c r="B29" s="9" t="s">
        <v>2546</v>
      </c>
      <c r="C29" s="5" t="s">
        <v>2547</v>
      </c>
      <c r="D29" s="10" t="n">
        <f aca="false">COUNTIF('03 MASTER RATE LIBRARY'!$A$5:$A$999,"MISC-*")</f>
        <v>3</v>
      </c>
      <c r="E29" s="10" t="str">
        <f aca="false">IF(D29&gt;0,"Issued","Queued – awaiting dated sources")</f>
        <v>Issued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70"/>
    <col collapsed="false" customWidth="true" hidden="false" outlineLevel="0" max="12" min="8" style="1" width="12"/>
    <col collapsed="false" customWidth="true" hidden="false" outlineLevel="0" max="13" min="13" style="1" width="60"/>
    <col collapsed="false" customWidth="true" hidden="false" outlineLevel="0" max="15" min="14" style="1" width="12"/>
    <col collapsed="false" customWidth="true" hidden="false" outlineLevel="0" max="16" min="16" style="1" width="10"/>
    <col collapsed="false" customWidth="true" hidden="false" outlineLevel="0" max="17" min="17" style="1" width="12"/>
    <col collapsed="false" customWidth="true" hidden="false" outlineLevel="0" max="18" min="18" style="1" width="10"/>
    <col collapsed="false" customWidth="true" hidden="false" outlineLevel="0" max="19" min="19" style="1" width="34"/>
  </cols>
  <sheetData>
    <row r="1" customFormat="false" ht="15.75" hidden="false" customHeight="true" outlineLevel="0" collapsed="false">
      <c r="A1" s="2" t="s">
        <v>2548</v>
      </c>
    </row>
    <row r="2" customFormat="false" ht="15" hidden="false" customHeight="true" outlineLevel="0" collapsed="false">
      <c r="A2" s="3" t="s">
        <v>2549</v>
      </c>
    </row>
    <row r="4" customFormat="false" ht="21.75" hidden="false" customHeight="true" outlineLevel="0" collapsed="false">
      <c r="A4" s="12" t="s">
        <v>2550</v>
      </c>
      <c r="B4" s="12" t="s">
        <v>2551</v>
      </c>
      <c r="C4" s="12" t="s">
        <v>81</v>
      </c>
      <c r="D4" s="12" t="s">
        <v>2552</v>
      </c>
      <c r="E4" s="12" t="s">
        <v>2553</v>
      </c>
      <c r="F4" s="12" t="s">
        <v>2554</v>
      </c>
      <c r="G4" s="12" t="s">
        <v>1469</v>
      </c>
      <c r="H4" s="12" t="s">
        <v>2555</v>
      </c>
      <c r="I4" s="12" t="s">
        <v>2556</v>
      </c>
      <c r="J4" s="12" t="s">
        <v>2557</v>
      </c>
      <c r="K4" s="12" t="s">
        <v>2558</v>
      </c>
      <c r="L4" s="12" t="s">
        <v>2559</v>
      </c>
      <c r="M4" s="12" t="s">
        <v>2560</v>
      </c>
      <c r="N4" s="12" t="s">
        <v>2561</v>
      </c>
      <c r="O4" s="12" t="s">
        <v>2562</v>
      </c>
      <c r="P4" s="12" t="s">
        <v>2563</v>
      </c>
      <c r="Q4" s="12" t="s">
        <v>2564</v>
      </c>
      <c r="R4" s="12" t="s">
        <v>2565</v>
      </c>
      <c r="S4" s="12" t="s">
        <v>2566</v>
      </c>
    </row>
    <row r="5" customFormat="false" ht="15" hidden="false" customHeight="true" outlineLevel="0" collapsed="false">
      <c r="A5" s="9" t="s">
        <v>2567</v>
      </c>
      <c r="B5" s="9" t="s">
        <v>2568</v>
      </c>
      <c r="C5" s="9" t="s">
        <v>109</v>
      </c>
      <c r="D5" s="44" t="n">
        <v>100</v>
      </c>
      <c r="E5" s="45" t="n">
        <v>1</v>
      </c>
      <c r="F5" s="45" t="n">
        <v>8</v>
      </c>
      <c r="G5" s="5" t="s">
        <v>2569</v>
      </c>
      <c r="H5" s="5" t="s">
        <v>813</v>
      </c>
      <c r="I5" s="5" t="n">
        <f aca="false">IF(E5&gt;0,D5/E5,"—")</f>
        <v>100</v>
      </c>
      <c r="J5" s="5" t="n">
        <f aca="false">D5/(E5+F5)</f>
        <v>11.1111111111111</v>
      </c>
      <c r="K5" s="46" t="n">
        <f aca="false">E5*INDEX('06 LABOUR RATE LIBRARY'!$D$5:$D$100,MATCH(H5,'06 LABOUR RATE LIBRARY'!$A$5:$A$100,0))+F5*INDEX('06 LABOUR RATE LIBRARY'!$D$5:$D$100,MATCH("LAB-HLP",'06 LABOUR RATE LIBRARY'!$A$5:$A$100,0))</f>
        <v>14504</v>
      </c>
      <c r="L5" s="46" t="n">
        <f aca="false">K5/D5</f>
        <v>145.04</v>
      </c>
      <c r="M5" s="5" t="s">
        <v>2570</v>
      </c>
      <c r="N5" s="46" t="n">
        <v>140.263</v>
      </c>
      <c r="O5" s="46" t="n">
        <f aca="false">IF(ISNUMBER(N5),K5/N5,"—")</f>
        <v>103.405744922039</v>
      </c>
      <c r="P5" s="5" t="n">
        <v>100</v>
      </c>
      <c r="Q5" s="46" t="n">
        <v>145.04</v>
      </c>
      <c r="R5" s="47" t="n">
        <v>0.034</v>
      </c>
      <c r="S5" s="5" t="s">
        <v>2571</v>
      </c>
    </row>
    <row r="6" customFormat="false" ht="15" hidden="false" customHeight="true" outlineLevel="0" collapsed="false">
      <c r="A6" s="9" t="s">
        <v>2572</v>
      </c>
      <c r="B6" s="9" t="s">
        <v>2573</v>
      </c>
      <c r="C6" s="9" t="s">
        <v>109</v>
      </c>
      <c r="D6" s="44" t="n">
        <v>80</v>
      </c>
      <c r="E6" s="45" t="n">
        <v>1</v>
      </c>
      <c r="F6" s="45" t="n">
        <v>6</v>
      </c>
      <c r="G6" s="5" t="s">
        <v>2574</v>
      </c>
      <c r="H6" s="5" t="s">
        <v>813</v>
      </c>
      <c r="I6" s="5" t="n">
        <f aca="false">IF(E6&gt;0,D6/E6,"—")</f>
        <v>80</v>
      </c>
      <c r="J6" s="5" t="n">
        <f aca="false">D6/(E6+F6)</f>
        <v>11.4285714285714</v>
      </c>
      <c r="K6" s="46" t="n">
        <f aca="false">E6*INDEX('06 LABOUR RATE LIBRARY'!$D$5:$D$100,MATCH(H6,'06 LABOUR RATE LIBRARY'!$A$5:$A$100,0))+F6*INDEX('06 LABOUR RATE LIBRARY'!$D$5:$D$100,MATCH("LAB-HLP",'06 LABOUR RATE LIBRARY'!$A$5:$A$100,0))</f>
        <v>11428</v>
      </c>
      <c r="L6" s="46" t="n">
        <f aca="false">K6/D6</f>
        <v>142.85</v>
      </c>
      <c r="M6" s="5" t="s">
        <v>2575</v>
      </c>
      <c r="N6" s="46" t="n">
        <v>140.263</v>
      </c>
      <c r="O6" s="46" t="n">
        <f aca="false">IF(ISNUMBER(N6),K6/N6,"—")</f>
        <v>81.4755138561132</v>
      </c>
      <c r="P6" s="5" t="n">
        <v>150</v>
      </c>
      <c r="Q6" s="46" t="n">
        <v>76.19</v>
      </c>
      <c r="R6" s="47" t="n">
        <v>-0.457</v>
      </c>
      <c r="S6" s="5" t="s">
        <v>2576</v>
      </c>
    </row>
    <row r="7" customFormat="false" ht="15" hidden="false" customHeight="true" outlineLevel="0" collapsed="false">
      <c r="A7" s="9" t="s">
        <v>2577</v>
      </c>
      <c r="B7" s="9" t="s">
        <v>2578</v>
      </c>
      <c r="C7" s="9" t="s">
        <v>198</v>
      </c>
      <c r="D7" s="44" t="n">
        <v>360</v>
      </c>
      <c r="E7" s="45" t="n">
        <v>1</v>
      </c>
      <c r="F7" s="45" t="n">
        <v>1</v>
      </c>
      <c r="G7" s="5" t="s">
        <v>2579</v>
      </c>
      <c r="H7" s="5" t="s">
        <v>880</v>
      </c>
      <c r="I7" s="5" t="n">
        <f aca="false">IF(E7&gt;0,D7/E7,"—")</f>
        <v>360</v>
      </c>
      <c r="J7" s="5" t="n">
        <f aca="false">D7/(E7+F7)</f>
        <v>180</v>
      </c>
      <c r="K7" s="46" t="n">
        <f aca="false">E7*INDEX('06 LABOUR RATE LIBRARY'!$D$5:$D$100,MATCH(H7,'06 LABOUR RATE LIBRARY'!$A$5:$A$100,0))+F7*INDEX('06 LABOUR RATE LIBRARY'!$D$5:$D$100,MATCH("LAB-HLP",'06 LABOUR RATE LIBRARY'!$A$5:$A$100,0))</f>
        <v>3988</v>
      </c>
      <c r="L7" s="46" t="n">
        <f aca="false">K7/D7</f>
        <v>11.0777777777778</v>
      </c>
      <c r="M7" s="5" t="s">
        <v>2580</v>
      </c>
      <c r="N7" s="46" t="n">
        <v>11.031</v>
      </c>
      <c r="O7" s="46" t="n">
        <f aca="false">IF(ISNUMBER(N7),K7/N7,"—")</f>
        <v>361.526606835282</v>
      </c>
      <c r="P7" s="5" t="n">
        <v>250</v>
      </c>
      <c r="Q7" s="46" t="n">
        <v>15.95</v>
      </c>
      <c r="R7" s="47" t="n">
        <v>0.446</v>
      </c>
      <c r="S7" s="5" t="s">
        <v>2576</v>
      </c>
    </row>
    <row r="8" customFormat="false" ht="15" hidden="false" customHeight="true" outlineLevel="0" collapsed="false">
      <c r="A8" s="9" t="s">
        <v>2581</v>
      </c>
      <c r="B8" s="9" t="s">
        <v>2582</v>
      </c>
      <c r="C8" s="9" t="s">
        <v>109</v>
      </c>
      <c r="D8" s="44" t="n">
        <v>50</v>
      </c>
      <c r="E8" s="45" t="n">
        <v>1</v>
      </c>
      <c r="F8" s="45" t="n">
        <v>1.5</v>
      </c>
      <c r="G8" s="5" t="s">
        <v>2583</v>
      </c>
      <c r="H8" s="5" t="s">
        <v>813</v>
      </c>
      <c r="I8" s="5" t="n">
        <f aca="false">IF(E8&gt;0,D8/E8,"—")</f>
        <v>50</v>
      </c>
      <c r="J8" s="5" t="n">
        <f aca="false">D8/(E8+F8)</f>
        <v>20</v>
      </c>
      <c r="K8" s="46" t="n">
        <f aca="false">E8*INDEX('06 LABOUR RATE LIBRARY'!$D$5:$D$100,MATCH(H8,'06 LABOUR RATE LIBRARY'!$A$5:$A$100,0))+F8*INDEX('06 LABOUR RATE LIBRARY'!$D$5:$D$100,MATCH("LAB-HLP",'06 LABOUR RATE LIBRARY'!$A$5:$A$100,0))</f>
        <v>4507</v>
      </c>
      <c r="L8" s="46" t="n">
        <f aca="false">K8/D8</f>
        <v>90.14</v>
      </c>
      <c r="M8" s="5" t="s">
        <v>2584</v>
      </c>
      <c r="N8" s="46" t="n">
        <v>90.566</v>
      </c>
      <c r="O8" s="46" t="n">
        <f aca="false">IF(ISNUMBER(N8),K8/N8,"—")</f>
        <v>49.7648124020052</v>
      </c>
      <c r="P8" s="5" t="n">
        <v>80</v>
      </c>
      <c r="Q8" s="46" t="n">
        <v>56.34</v>
      </c>
      <c r="R8" s="47" t="n">
        <v>-0.378</v>
      </c>
      <c r="S8" s="5" t="s">
        <v>2576</v>
      </c>
    </row>
    <row r="9" customFormat="false" ht="21.75" hidden="false" customHeight="true" outlineLevel="0" collapsed="false">
      <c r="A9" s="9" t="s">
        <v>2585</v>
      </c>
      <c r="B9" s="9" t="s">
        <v>2586</v>
      </c>
      <c r="C9" s="9" t="s">
        <v>212</v>
      </c>
      <c r="D9" s="44" t="n">
        <v>100</v>
      </c>
      <c r="E9" s="45" t="n">
        <v>1</v>
      </c>
      <c r="F9" s="45" t="n">
        <v>1</v>
      </c>
      <c r="G9" s="5" t="s">
        <v>2587</v>
      </c>
      <c r="H9" s="5" t="s">
        <v>892</v>
      </c>
      <c r="I9" s="5" t="n">
        <f aca="false">IF(E9&gt;0,D9/E9,"—")</f>
        <v>100</v>
      </c>
      <c r="J9" s="5" t="n">
        <f aca="false">D9/(E9+F9)</f>
        <v>50</v>
      </c>
      <c r="K9" s="46" t="n">
        <f aca="false">E9*INDEX('06 LABOUR RATE LIBRARY'!$D$5:$D$100,MATCH(H9,'06 LABOUR RATE LIBRARY'!$A$5:$A$100,0))+F9*INDEX('06 LABOUR RATE LIBRARY'!$D$5:$D$100,MATCH("LAB-HLP",'06 LABOUR RATE LIBRARY'!$A$5:$A$100,0))</f>
        <v>3688</v>
      </c>
      <c r="L9" s="46" t="n">
        <f aca="false">K9/D9</f>
        <v>36.88</v>
      </c>
      <c r="M9" s="5" t="s">
        <v>2588</v>
      </c>
      <c r="N9" s="46" t="n">
        <v>36.2</v>
      </c>
      <c r="O9" s="46" t="n">
        <f aca="false">IF(ISNUMBER(N9),K9/N9,"—")</f>
        <v>101.878453038674</v>
      </c>
      <c r="P9" s="5" t="n">
        <v>100</v>
      </c>
      <c r="Q9" s="46" t="n">
        <v>36.88</v>
      </c>
      <c r="R9" s="47" t="n">
        <v>0.019</v>
      </c>
      <c r="S9" s="5" t="s">
        <v>2571</v>
      </c>
    </row>
    <row r="10" customFormat="false" ht="15" hidden="false" customHeight="true" outlineLevel="0" collapsed="false">
      <c r="A10" s="9" t="s">
        <v>2589</v>
      </c>
      <c r="B10" s="9" t="s">
        <v>2590</v>
      </c>
      <c r="C10" s="9" t="s">
        <v>212</v>
      </c>
      <c r="D10" s="45" t="n">
        <v>150</v>
      </c>
      <c r="E10" s="45" t="n">
        <v>1</v>
      </c>
      <c r="F10" s="45" t="n">
        <v>1</v>
      </c>
      <c r="G10" s="5" t="s">
        <v>2591</v>
      </c>
      <c r="H10" s="5" t="s">
        <v>907</v>
      </c>
      <c r="I10" s="5" t="n">
        <f aca="false">IF(E10&gt;0,D10/E10,"—")</f>
        <v>150</v>
      </c>
      <c r="J10" s="5" t="n">
        <f aca="false">D10/(E10+F10)</f>
        <v>75</v>
      </c>
      <c r="K10" s="46" t="n">
        <f aca="false">E10*INDEX('06 LABOUR RATE LIBRARY'!$D$5:$D$100,MATCH(H10,'06 LABOUR RATE LIBRARY'!$A$5:$A$100,0))+F10*INDEX('06 LABOUR RATE LIBRARY'!$D$5:$D$100,MATCH("LAB-HLP",'06 LABOUR RATE LIBRARY'!$A$5:$A$100,0))</f>
        <v>3938</v>
      </c>
      <c r="L10" s="46" t="n">
        <f aca="false">K10/D10</f>
        <v>26.2533333333333</v>
      </c>
      <c r="M10" s="5" t="s">
        <v>2592</v>
      </c>
      <c r="N10" s="46"/>
      <c r="O10" s="46" t="str">
        <f aca="false">IF(ISNUMBER(N10),K10/N10,"—")</f>
        <v>—</v>
      </c>
      <c r="P10" s="5" t="n">
        <v>150</v>
      </c>
      <c r="Q10" s="46" t="n">
        <v>26.25</v>
      </c>
      <c r="R10" s="47"/>
      <c r="S10" s="5" t="s">
        <v>2593</v>
      </c>
    </row>
    <row r="11" customFormat="false" ht="15" hidden="false" customHeight="true" outlineLevel="0" collapsed="false">
      <c r="A11" s="9" t="s">
        <v>2594</v>
      </c>
      <c r="B11" s="9" t="s">
        <v>2595</v>
      </c>
      <c r="C11" s="9" t="s">
        <v>212</v>
      </c>
      <c r="D11" s="45" t="n">
        <v>100</v>
      </c>
      <c r="E11" s="45" t="n">
        <v>1</v>
      </c>
      <c r="F11" s="45" t="n">
        <v>1</v>
      </c>
      <c r="G11" s="5" t="s">
        <v>2596</v>
      </c>
      <c r="H11" s="5" t="s">
        <v>907</v>
      </c>
      <c r="I11" s="5" t="n">
        <f aca="false">IF(E11&gt;0,D11/E11,"—")</f>
        <v>100</v>
      </c>
      <c r="J11" s="5" t="n">
        <f aca="false">D11/(E11+F11)</f>
        <v>50</v>
      </c>
      <c r="K11" s="46" t="n">
        <f aca="false">E11*INDEX('06 LABOUR RATE LIBRARY'!$D$5:$D$100,MATCH(H11,'06 LABOUR RATE LIBRARY'!$A$5:$A$100,0))+F11*INDEX('06 LABOUR RATE LIBRARY'!$D$5:$D$100,MATCH("LAB-HLP",'06 LABOUR RATE LIBRARY'!$A$5:$A$100,0))</f>
        <v>3938</v>
      </c>
      <c r="L11" s="46" t="n">
        <f aca="false">K11/D11</f>
        <v>39.38</v>
      </c>
      <c r="M11" s="5" t="s">
        <v>2592</v>
      </c>
      <c r="N11" s="46"/>
      <c r="O11" s="46" t="str">
        <f aca="false">IF(ISNUMBER(N11),K11/N11,"—")</f>
        <v>—</v>
      </c>
      <c r="P11" s="5" t="n">
        <v>100</v>
      </c>
      <c r="Q11" s="46" t="n">
        <v>39.38</v>
      </c>
      <c r="R11" s="47"/>
      <c r="S11" s="5" t="s">
        <v>2593</v>
      </c>
    </row>
    <row r="12" customFormat="false" ht="15" hidden="false" customHeight="true" outlineLevel="0" collapsed="false">
      <c r="A12" s="9" t="s">
        <v>2597</v>
      </c>
      <c r="B12" s="9" t="s">
        <v>2598</v>
      </c>
      <c r="C12" s="9" t="s">
        <v>212</v>
      </c>
      <c r="D12" s="45" t="n">
        <v>120</v>
      </c>
      <c r="E12" s="45" t="n">
        <v>1</v>
      </c>
      <c r="F12" s="45" t="n">
        <v>1</v>
      </c>
      <c r="G12" s="5" t="s">
        <v>2596</v>
      </c>
      <c r="H12" s="5" t="s">
        <v>907</v>
      </c>
      <c r="I12" s="5" t="n">
        <f aca="false">IF(E12&gt;0,D12/E12,"—")</f>
        <v>120</v>
      </c>
      <c r="J12" s="5" t="n">
        <f aca="false">D12/(E12+F12)</f>
        <v>60</v>
      </c>
      <c r="K12" s="46" t="n">
        <f aca="false">E12*INDEX('06 LABOUR RATE LIBRARY'!$D$5:$D$100,MATCH(H12,'06 LABOUR RATE LIBRARY'!$A$5:$A$100,0))+F12*INDEX('06 LABOUR RATE LIBRARY'!$D$5:$D$100,MATCH("LAB-HLP",'06 LABOUR RATE LIBRARY'!$A$5:$A$100,0))</f>
        <v>3938</v>
      </c>
      <c r="L12" s="46" t="n">
        <f aca="false">K12/D12</f>
        <v>32.8166666666667</v>
      </c>
      <c r="M12" s="5" t="s">
        <v>2592</v>
      </c>
      <c r="N12" s="46"/>
      <c r="O12" s="46" t="str">
        <f aca="false">IF(ISNUMBER(N12),K12/N12,"—")</f>
        <v>—</v>
      </c>
      <c r="P12" s="5" t="n">
        <v>120</v>
      </c>
      <c r="Q12" s="46" t="n">
        <v>32.82</v>
      </c>
      <c r="R12" s="47"/>
      <c r="S12" s="5" t="s">
        <v>2593</v>
      </c>
    </row>
    <row r="13" customFormat="false" ht="15" hidden="false" customHeight="true" outlineLevel="0" collapsed="false">
      <c r="A13" s="9" t="s">
        <v>2599</v>
      </c>
      <c r="B13" s="9" t="s">
        <v>2600</v>
      </c>
      <c r="C13" s="9" t="s">
        <v>212</v>
      </c>
      <c r="D13" s="45" t="n">
        <v>130</v>
      </c>
      <c r="E13" s="45" t="n">
        <v>1</v>
      </c>
      <c r="F13" s="45" t="n">
        <v>1</v>
      </c>
      <c r="G13" s="5" t="s">
        <v>2596</v>
      </c>
      <c r="H13" s="5" t="s">
        <v>907</v>
      </c>
      <c r="I13" s="5" t="n">
        <f aca="false">IF(E13&gt;0,D13/E13,"—")</f>
        <v>130</v>
      </c>
      <c r="J13" s="5" t="n">
        <f aca="false">D13/(E13+F13)</f>
        <v>65</v>
      </c>
      <c r="K13" s="46" t="n">
        <f aca="false">E13*INDEX('06 LABOUR RATE LIBRARY'!$D$5:$D$100,MATCH(H13,'06 LABOUR RATE LIBRARY'!$A$5:$A$100,0))+F13*INDEX('06 LABOUR RATE LIBRARY'!$D$5:$D$100,MATCH("LAB-HLP",'06 LABOUR RATE LIBRARY'!$A$5:$A$100,0))</f>
        <v>3938</v>
      </c>
      <c r="L13" s="46" t="n">
        <f aca="false">K13/D13</f>
        <v>30.2923076923077</v>
      </c>
      <c r="M13" s="5" t="s">
        <v>2592</v>
      </c>
      <c r="N13" s="46"/>
      <c r="O13" s="46" t="str">
        <f aca="false">IF(ISNUMBER(N13),K13/N13,"—")</f>
        <v>—</v>
      </c>
      <c r="P13" s="5" t="n">
        <v>130</v>
      </c>
      <c r="Q13" s="46" t="n">
        <v>30.29</v>
      </c>
      <c r="R13" s="47"/>
      <c r="S13" s="5" t="s">
        <v>2593</v>
      </c>
    </row>
    <row r="14" customFormat="false" ht="15" hidden="false" customHeight="true" outlineLevel="0" collapsed="false">
      <c r="A14" s="9" t="s">
        <v>2601</v>
      </c>
      <c r="B14" s="9" t="s">
        <v>2602</v>
      </c>
      <c r="C14" s="9" t="s">
        <v>212</v>
      </c>
      <c r="D14" s="45" t="n">
        <v>100</v>
      </c>
      <c r="E14" s="45" t="n">
        <v>1</v>
      </c>
      <c r="F14" s="45" t="n">
        <v>1</v>
      </c>
      <c r="G14" s="5" t="s">
        <v>2603</v>
      </c>
      <c r="H14" s="5" t="s">
        <v>813</v>
      </c>
      <c r="I14" s="5" t="n">
        <f aca="false">IF(E14&gt;0,D14/E14,"—")</f>
        <v>100</v>
      </c>
      <c r="J14" s="5" t="n">
        <f aca="false">D14/(E14+F14)</f>
        <v>50</v>
      </c>
      <c r="K14" s="46" t="n">
        <f aca="false">E14*INDEX('06 LABOUR RATE LIBRARY'!$D$5:$D$100,MATCH(H14,'06 LABOUR RATE LIBRARY'!$A$5:$A$100,0))+F14*INDEX('06 LABOUR RATE LIBRARY'!$D$5:$D$100,MATCH("LAB-HLP",'06 LABOUR RATE LIBRARY'!$A$5:$A$100,0))</f>
        <v>3738</v>
      </c>
      <c r="L14" s="46" t="n">
        <f aca="false">K14/D14</f>
        <v>37.38</v>
      </c>
      <c r="M14" s="5" t="s">
        <v>2604</v>
      </c>
      <c r="N14" s="46"/>
      <c r="O14" s="46" t="str">
        <f aca="false">IF(ISNUMBER(N14),K14/N14,"—")</f>
        <v>—</v>
      </c>
      <c r="P14" s="5" t="n">
        <v>100</v>
      </c>
      <c r="Q14" s="46" t="n">
        <v>37.38</v>
      </c>
      <c r="R14" s="47"/>
      <c r="S14" s="5" t="s">
        <v>2593</v>
      </c>
    </row>
    <row r="15" customFormat="false" ht="15" hidden="false" customHeight="true" outlineLevel="0" collapsed="false">
      <c r="A15" s="9" t="s">
        <v>2605</v>
      </c>
      <c r="B15" s="9" t="s">
        <v>2606</v>
      </c>
      <c r="C15" s="9" t="s">
        <v>212</v>
      </c>
      <c r="D15" s="45" t="n">
        <v>120</v>
      </c>
      <c r="E15" s="45" t="n">
        <v>1</v>
      </c>
      <c r="F15" s="45" t="n">
        <v>1</v>
      </c>
      <c r="G15" s="5" t="s">
        <v>2607</v>
      </c>
      <c r="H15" s="5" t="s">
        <v>813</v>
      </c>
      <c r="I15" s="5" t="n">
        <f aca="false">IF(E15&gt;0,D15/E15,"—")</f>
        <v>120</v>
      </c>
      <c r="J15" s="5" t="n">
        <f aca="false">D15/(E15+F15)</f>
        <v>60</v>
      </c>
      <c r="K15" s="46" t="n">
        <f aca="false">E15*INDEX('06 LABOUR RATE LIBRARY'!$D$5:$D$100,MATCH(H15,'06 LABOUR RATE LIBRARY'!$A$5:$A$100,0))+F15*INDEX('06 LABOUR RATE LIBRARY'!$D$5:$D$100,MATCH("LAB-HLP",'06 LABOUR RATE LIBRARY'!$A$5:$A$100,0))</f>
        <v>3738</v>
      </c>
      <c r="L15" s="46" t="n">
        <f aca="false">K15/D15</f>
        <v>31.15</v>
      </c>
      <c r="M15" s="5" t="s">
        <v>2592</v>
      </c>
      <c r="N15" s="46"/>
      <c r="O15" s="46" t="str">
        <f aca="false">IF(ISNUMBER(N15),K15/N15,"—")</f>
        <v>—</v>
      </c>
      <c r="P15" s="5" t="n">
        <v>120</v>
      </c>
      <c r="Q15" s="46" t="n">
        <v>31.15</v>
      </c>
      <c r="R15" s="47"/>
      <c r="S15" s="5" t="s">
        <v>2593</v>
      </c>
    </row>
    <row r="16" customFormat="false" ht="15" hidden="false" customHeight="true" outlineLevel="0" collapsed="false">
      <c r="A16" s="9" t="s">
        <v>2608</v>
      </c>
      <c r="B16" s="9" t="s">
        <v>2609</v>
      </c>
      <c r="C16" s="9" t="s">
        <v>212</v>
      </c>
      <c r="D16" s="45" t="n">
        <v>150</v>
      </c>
      <c r="E16" s="45" t="n">
        <v>1</v>
      </c>
      <c r="F16" s="45" t="n">
        <v>1</v>
      </c>
      <c r="G16" s="5" t="s">
        <v>2607</v>
      </c>
      <c r="H16" s="5" t="s">
        <v>813</v>
      </c>
      <c r="I16" s="5" t="n">
        <f aca="false">IF(E16&gt;0,D16/E16,"—")</f>
        <v>150</v>
      </c>
      <c r="J16" s="5" t="n">
        <f aca="false">D16/(E16+F16)</f>
        <v>75</v>
      </c>
      <c r="K16" s="46" t="n">
        <f aca="false">E16*INDEX('06 LABOUR RATE LIBRARY'!$D$5:$D$100,MATCH(H16,'06 LABOUR RATE LIBRARY'!$A$5:$A$100,0))+F16*INDEX('06 LABOUR RATE LIBRARY'!$D$5:$D$100,MATCH("LAB-HLP",'06 LABOUR RATE LIBRARY'!$A$5:$A$100,0))</f>
        <v>3738</v>
      </c>
      <c r="L16" s="46" t="n">
        <f aca="false">K16/D16</f>
        <v>24.92</v>
      </c>
      <c r="M16" s="5" t="s">
        <v>2592</v>
      </c>
      <c r="N16" s="46"/>
      <c r="O16" s="46" t="str">
        <f aca="false">IF(ISNUMBER(N16),K16/N16,"—")</f>
        <v>—</v>
      </c>
      <c r="P16" s="5" t="n">
        <v>150</v>
      </c>
      <c r="Q16" s="46" t="n">
        <v>24.92</v>
      </c>
      <c r="R16" s="47"/>
      <c r="S16" s="5" t="s">
        <v>2593</v>
      </c>
    </row>
    <row r="17" customFormat="false" ht="15" hidden="false" customHeight="true" outlineLevel="0" collapsed="false">
      <c r="A17" s="9" t="s">
        <v>2610</v>
      </c>
      <c r="B17" s="9" t="s">
        <v>2611</v>
      </c>
      <c r="C17" s="9" t="s">
        <v>212</v>
      </c>
      <c r="D17" s="44" t="n">
        <v>120</v>
      </c>
      <c r="E17" s="45" t="n">
        <v>1</v>
      </c>
      <c r="F17" s="45" t="n">
        <v>1</v>
      </c>
      <c r="G17" s="5" t="s">
        <v>2612</v>
      </c>
      <c r="H17" s="5" t="s">
        <v>813</v>
      </c>
      <c r="I17" s="5" t="n">
        <f aca="false">IF(E17&gt;0,D17/E17,"—")</f>
        <v>120</v>
      </c>
      <c r="J17" s="5" t="n">
        <f aca="false">D17/(E17+F17)</f>
        <v>60</v>
      </c>
      <c r="K17" s="46" t="n">
        <f aca="false">E17*INDEX('06 LABOUR RATE LIBRARY'!$D$5:$D$100,MATCH(H17,'06 LABOUR RATE LIBRARY'!$A$5:$A$100,0))+F17*INDEX('06 LABOUR RATE LIBRARY'!$D$5:$D$100,MATCH("LAB-HLP",'06 LABOUR RATE LIBRARY'!$A$5:$A$100,0))</f>
        <v>3738</v>
      </c>
      <c r="L17" s="46" t="n">
        <f aca="false">K17/D17</f>
        <v>31.15</v>
      </c>
      <c r="M17" s="5" t="s">
        <v>2613</v>
      </c>
      <c r="N17" s="46" t="n">
        <v>33.962</v>
      </c>
      <c r="O17" s="46" t="n">
        <f aca="false">IF(ISNUMBER(N17),K17/N17,"—")</f>
        <v>110.06418938814</v>
      </c>
      <c r="P17" s="5" t="n">
        <v>120</v>
      </c>
      <c r="Q17" s="46" t="n">
        <v>31.15</v>
      </c>
      <c r="R17" s="47" t="n">
        <v>-0.083</v>
      </c>
      <c r="S17" s="5" t="s">
        <v>2571</v>
      </c>
    </row>
    <row r="18" customFormat="false" ht="15" hidden="false" customHeight="true" outlineLevel="0" collapsed="false">
      <c r="A18" s="9" t="s">
        <v>2614</v>
      </c>
      <c r="B18" s="9" t="s">
        <v>2615</v>
      </c>
      <c r="C18" s="9" t="s">
        <v>212</v>
      </c>
      <c r="D18" s="44" t="n">
        <v>95</v>
      </c>
      <c r="E18" s="45" t="n">
        <v>1</v>
      </c>
      <c r="F18" s="45" t="n">
        <v>2</v>
      </c>
      <c r="G18" s="5" t="s">
        <v>2616</v>
      </c>
      <c r="H18" s="5" t="s">
        <v>813</v>
      </c>
      <c r="I18" s="5" t="n">
        <f aca="false">IF(E18&gt;0,D18/E18,"—")</f>
        <v>95</v>
      </c>
      <c r="J18" s="5" t="n">
        <f aca="false">D18/(E18+F18)</f>
        <v>31.6666666666667</v>
      </c>
      <c r="K18" s="46" t="n">
        <f aca="false">E18*INDEX('06 LABOUR RATE LIBRARY'!$D$5:$D$100,MATCH(H18,'06 LABOUR RATE LIBRARY'!$A$5:$A$100,0))+F18*INDEX('06 LABOUR RATE LIBRARY'!$D$5:$D$100,MATCH("LAB-HLP",'06 LABOUR RATE LIBRARY'!$A$5:$A$100,0))</f>
        <v>5276</v>
      </c>
      <c r="L18" s="46" t="n">
        <f aca="false">K18/D18</f>
        <v>55.5368421052632</v>
      </c>
      <c r="M18" s="5" t="s">
        <v>2617</v>
      </c>
      <c r="N18" s="46" t="n">
        <v>56.391</v>
      </c>
      <c r="O18" s="46" t="n">
        <f aca="false">IF(ISNUMBER(N18),K18/N18,"—")</f>
        <v>93.561029242255</v>
      </c>
      <c r="P18" s="5" t="n">
        <v>250</v>
      </c>
      <c r="Q18" s="46" t="n">
        <v>21.1</v>
      </c>
      <c r="R18" s="47" t="n">
        <v>-0.626</v>
      </c>
      <c r="S18" s="5" t="s">
        <v>2576</v>
      </c>
    </row>
    <row r="19" customFormat="false" ht="15" hidden="false" customHeight="true" outlineLevel="0" collapsed="false">
      <c r="A19" s="9" t="s">
        <v>2618</v>
      </c>
      <c r="B19" s="9" t="s">
        <v>2619</v>
      </c>
      <c r="C19" s="9" t="s">
        <v>212</v>
      </c>
      <c r="D19" s="44" t="n">
        <v>180</v>
      </c>
      <c r="E19" s="45" t="n">
        <v>1</v>
      </c>
      <c r="F19" s="45" t="n">
        <v>1</v>
      </c>
      <c r="G19" s="5" t="s">
        <v>2620</v>
      </c>
      <c r="H19" s="5" t="s">
        <v>953</v>
      </c>
      <c r="I19" s="5" t="n">
        <f aca="false">IF(E19&gt;0,D19/E19,"—")</f>
        <v>180</v>
      </c>
      <c r="J19" s="5" t="n">
        <f aca="false">D19/(E19+F19)</f>
        <v>90</v>
      </c>
      <c r="K19" s="46" t="n">
        <f aca="false">E19*INDEX('06 LABOUR RATE LIBRARY'!$D$5:$D$100,MATCH(H19,'06 LABOUR RATE LIBRARY'!$A$5:$A$100,0))+F19*INDEX('06 LABOUR RATE LIBRARY'!$D$5:$D$100,MATCH("LAB-HLP",'06 LABOUR RATE LIBRARY'!$A$5:$A$100,0))</f>
        <v>3738</v>
      </c>
      <c r="L19" s="46" t="n">
        <f aca="false">K19/D19</f>
        <v>20.7666666666667</v>
      </c>
      <c r="M19" s="5" t="s">
        <v>2621</v>
      </c>
      <c r="N19" s="46" t="n">
        <v>20.45</v>
      </c>
      <c r="O19" s="46" t="n">
        <f aca="false">IF(ISNUMBER(N19),K19/N19,"—")</f>
        <v>182.78728606357</v>
      </c>
      <c r="P19" s="5" t="n">
        <v>400</v>
      </c>
      <c r="Q19" s="46" t="n">
        <v>9.35</v>
      </c>
      <c r="R19" s="47" t="n">
        <v>-0.543</v>
      </c>
      <c r="S19" s="5" t="s">
        <v>2576</v>
      </c>
    </row>
    <row r="20" customFormat="false" ht="15" hidden="false" customHeight="true" outlineLevel="0" collapsed="false">
      <c r="A20" s="9" t="s">
        <v>2622</v>
      </c>
      <c r="B20" s="9" t="s">
        <v>2623</v>
      </c>
      <c r="C20" s="9" t="s">
        <v>212</v>
      </c>
      <c r="D20" s="45" t="n">
        <v>300</v>
      </c>
      <c r="E20" s="45" t="n">
        <v>1</v>
      </c>
      <c r="F20" s="45" t="n">
        <v>1</v>
      </c>
      <c r="G20" s="5" t="s">
        <v>2624</v>
      </c>
      <c r="H20" s="5" t="s">
        <v>953</v>
      </c>
      <c r="I20" s="5" t="n">
        <f aca="false">IF(E20&gt;0,D20/E20,"—")</f>
        <v>300</v>
      </c>
      <c r="J20" s="5" t="n">
        <f aca="false">D20/(E20+F20)</f>
        <v>150</v>
      </c>
      <c r="K20" s="46" t="n">
        <f aca="false">E20*INDEX('06 LABOUR RATE LIBRARY'!$D$5:$D$100,MATCH(H20,'06 LABOUR RATE LIBRARY'!$A$5:$A$100,0))+F20*INDEX('06 LABOUR RATE LIBRARY'!$D$5:$D$100,MATCH("LAB-HLP",'06 LABOUR RATE LIBRARY'!$A$5:$A$100,0))</f>
        <v>3738</v>
      </c>
      <c r="L20" s="46" t="n">
        <f aca="false">K20/D20</f>
        <v>12.46</v>
      </c>
      <c r="M20" s="5" t="s">
        <v>2592</v>
      </c>
      <c r="N20" s="46"/>
      <c r="O20" s="46" t="str">
        <f aca="false">IF(ISNUMBER(N20),K20/N20,"—")</f>
        <v>—</v>
      </c>
      <c r="P20" s="5" t="n">
        <v>300</v>
      </c>
      <c r="Q20" s="46" t="n">
        <v>12.46</v>
      </c>
      <c r="R20" s="47"/>
      <c r="S20" s="5" t="s">
        <v>2593</v>
      </c>
    </row>
    <row r="21" customFormat="false" ht="15" hidden="false" customHeight="true" outlineLevel="0" collapsed="false">
      <c r="A21" s="9" t="s">
        <v>2625</v>
      </c>
      <c r="B21" s="9" t="s">
        <v>2626</v>
      </c>
      <c r="C21" s="9" t="s">
        <v>212</v>
      </c>
      <c r="D21" s="44" t="n">
        <v>125</v>
      </c>
      <c r="E21" s="45" t="n">
        <v>1</v>
      </c>
      <c r="F21" s="45" t="n">
        <v>2</v>
      </c>
      <c r="G21" s="5" t="s">
        <v>2627</v>
      </c>
      <c r="H21" s="5" t="s">
        <v>813</v>
      </c>
      <c r="I21" s="5" t="n">
        <f aca="false">IF(E21&gt;0,D21/E21,"—")</f>
        <v>125</v>
      </c>
      <c r="J21" s="5" t="n">
        <f aca="false">D21/(E21+F21)</f>
        <v>41.6666666666667</v>
      </c>
      <c r="K21" s="46" t="n">
        <f aca="false">E21*INDEX('06 LABOUR RATE LIBRARY'!$D$5:$D$100,MATCH(H21,'06 LABOUR RATE LIBRARY'!$A$5:$A$100,0))+F21*INDEX('06 LABOUR RATE LIBRARY'!$D$5:$D$100,MATCH("LAB-HLP",'06 LABOUR RATE LIBRARY'!$A$5:$A$100,0))</f>
        <v>5276</v>
      </c>
      <c r="L21" s="46" t="n">
        <f aca="false">K21/D21</f>
        <v>42.208</v>
      </c>
      <c r="M21" s="5" t="s">
        <v>2628</v>
      </c>
      <c r="N21" s="46" t="n">
        <v>41.941</v>
      </c>
      <c r="O21" s="46" t="n">
        <f aca="false">IF(ISNUMBER(N21),K21/N21,"—")</f>
        <v>125.795760711476</v>
      </c>
      <c r="P21" s="5" t="n">
        <v>200</v>
      </c>
      <c r="Q21" s="46" t="n">
        <v>26.38</v>
      </c>
      <c r="R21" s="47" t="n">
        <v>-0.371</v>
      </c>
      <c r="S21" s="5" t="s">
        <v>2576</v>
      </c>
    </row>
    <row r="22" customFormat="false" ht="15" hidden="false" customHeight="true" outlineLevel="0" collapsed="false">
      <c r="A22" s="9" t="s">
        <v>2629</v>
      </c>
      <c r="B22" s="9" t="s">
        <v>2630</v>
      </c>
      <c r="C22" s="9" t="s">
        <v>212</v>
      </c>
      <c r="D22" s="44" t="n">
        <v>120</v>
      </c>
      <c r="E22" s="45" t="n">
        <v>1</v>
      </c>
      <c r="F22" s="45" t="n">
        <v>1</v>
      </c>
      <c r="G22" s="5" t="s">
        <v>2631</v>
      </c>
      <c r="H22" s="5" t="s">
        <v>973</v>
      </c>
      <c r="I22" s="5" t="n">
        <f aca="false">IF(E22&gt;0,D22/E22,"—")</f>
        <v>120</v>
      </c>
      <c r="J22" s="5" t="n">
        <f aca="false">D22/(E22+F22)</f>
        <v>60</v>
      </c>
      <c r="K22" s="46" t="n">
        <f aca="false">E22*INDEX('06 LABOUR RATE LIBRARY'!$D$5:$D$100,MATCH(H22,'06 LABOUR RATE LIBRARY'!$A$5:$A$100,0))+F22*INDEX('06 LABOUR RATE LIBRARY'!$D$5:$D$100,MATCH("LAB-HLP",'06 LABOUR RATE LIBRARY'!$A$5:$A$100,0))</f>
        <v>4038</v>
      </c>
      <c r="L22" s="46" t="n">
        <f aca="false">K22/D22</f>
        <v>33.65</v>
      </c>
      <c r="M22" s="5" t="s">
        <v>2632</v>
      </c>
      <c r="N22" s="46" t="n">
        <v>42.5</v>
      </c>
      <c r="O22" s="46" t="n">
        <f aca="false">IF(ISNUMBER(N22),K22/N22,"—")</f>
        <v>95.0117647058824</v>
      </c>
      <c r="P22" s="5" t="n">
        <v>120</v>
      </c>
      <c r="Q22" s="46" t="n">
        <v>33.65</v>
      </c>
      <c r="R22" s="47" t="n">
        <v>-0.208</v>
      </c>
      <c r="S22" s="5" t="s">
        <v>2571</v>
      </c>
    </row>
    <row r="23" customFormat="false" ht="15" hidden="false" customHeight="true" outlineLevel="0" collapsed="false">
      <c r="A23" s="9" t="s">
        <v>2633</v>
      </c>
      <c r="B23" s="9" t="s">
        <v>2634</v>
      </c>
      <c r="C23" s="9" t="s">
        <v>212</v>
      </c>
      <c r="D23" s="44" t="n">
        <v>100</v>
      </c>
      <c r="E23" s="45" t="n">
        <v>1</v>
      </c>
      <c r="F23" s="45" t="n">
        <v>1</v>
      </c>
      <c r="G23" s="5" t="s">
        <v>2635</v>
      </c>
      <c r="H23" s="5" t="s">
        <v>973</v>
      </c>
      <c r="I23" s="5" t="n">
        <f aca="false">IF(E23&gt;0,D23/E23,"—")</f>
        <v>100</v>
      </c>
      <c r="J23" s="5" t="n">
        <f aca="false">D23/(E23+F23)</f>
        <v>50</v>
      </c>
      <c r="K23" s="46" t="n">
        <f aca="false">E23*INDEX('06 LABOUR RATE LIBRARY'!$D$5:$D$100,MATCH(H23,'06 LABOUR RATE LIBRARY'!$A$5:$A$100,0))+F23*INDEX('06 LABOUR RATE LIBRARY'!$D$5:$D$100,MATCH("LAB-HLP",'06 LABOUR RATE LIBRARY'!$A$5:$A$100,0))</f>
        <v>4038</v>
      </c>
      <c r="L23" s="46" t="n">
        <f aca="false">K23/D23</f>
        <v>40.38</v>
      </c>
      <c r="M23" s="5" t="s">
        <v>2636</v>
      </c>
      <c r="N23" s="46" t="n">
        <v>42.5</v>
      </c>
      <c r="O23" s="46" t="n">
        <f aca="false">IF(ISNUMBER(N23),K23/N23,"—")</f>
        <v>95.0117647058824</v>
      </c>
      <c r="P23" s="5" t="n">
        <v>100</v>
      </c>
      <c r="Q23" s="46" t="n">
        <v>40.38</v>
      </c>
      <c r="R23" s="47" t="n">
        <v>-0.05</v>
      </c>
      <c r="S23" s="5" t="s">
        <v>2571</v>
      </c>
    </row>
    <row r="24" customFormat="false" ht="15" hidden="false" customHeight="true" outlineLevel="0" collapsed="false">
      <c r="A24" s="9" t="s">
        <v>2637</v>
      </c>
      <c r="B24" s="9" t="s">
        <v>2638</v>
      </c>
      <c r="C24" s="9" t="s">
        <v>212</v>
      </c>
      <c r="D24" s="44" t="n">
        <v>80</v>
      </c>
      <c r="E24" s="45" t="n">
        <v>1</v>
      </c>
      <c r="F24" s="45" t="n">
        <v>1</v>
      </c>
      <c r="G24" s="5" t="s">
        <v>2639</v>
      </c>
      <c r="H24" s="5" t="s">
        <v>973</v>
      </c>
      <c r="I24" s="5" t="n">
        <f aca="false">IF(E24&gt;0,D24/E24,"—")</f>
        <v>80</v>
      </c>
      <c r="J24" s="5" t="n">
        <f aca="false">D24/(E24+F24)</f>
        <v>40</v>
      </c>
      <c r="K24" s="46" t="n">
        <f aca="false">E24*INDEX('06 LABOUR RATE LIBRARY'!$D$5:$D$100,MATCH(H24,'06 LABOUR RATE LIBRARY'!$A$5:$A$100,0))+F24*INDEX('06 LABOUR RATE LIBRARY'!$D$5:$D$100,MATCH("LAB-HLP",'06 LABOUR RATE LIBRARY'!$A$5:$A$100,0))</f>
        <v>4038</v>
      </c>
      <c r="L24" s="46" t="n">
        <f aca="false">K24/D24</f>
        <v>50.475</v>
      </c>
      <c r="M24" s="5" t="s">
        <v>2640</v>
      </c>
      <c r="N24" s="46" t="n">
        <v>42.5</v>
      </c>
      <c r="O24" s="46" t="n">
        <f aca="false">IF(ISNUMBER(N24),K24/N24,"—")</f>
        <v>95.0117647058824</v>
      </c>
      <c r="P24" s="5" t="n">
        <v>80</v>
      </c>
      <c r="Q24" s="46" t="n">
        <v>50.48</v>
      </c>
      <c r="R24" s="47" t="n">
        <v>0.188</v>
      </c>
      <c r="S24" s="5" t="s">
        <v>2571</v>
      </c>
    </row>
    <row r="25" customFormat="false" ht="15" hidden="false" customHeight="true" outlineLevel="0" collapsed="false">
      <c r="A25" s="9" t="s">
        <v>2641</v>
      </c>
      <c r="B25" s="9" t="s">
        <v>2642</v>
      </c>
      <c r="C25" s="9" t="s">
        <v>212</v>
      </c>
      <c r="D25" s="44" t="n">
        <v>150</v>
      </c>
      <c r="E25" s="45" t="n">
        <v>2</v>
      </c>
      <c r="F25" s="45" t="n">
        <v>1</v>
      </c>
      <c r="G25" s="5" t="s">
        <v>2643</v>
      </c>
      <c r="H25" s="5" t="s">
        <v>989</v>
      </c>
      <c r="I25" s="5" t="n">
        <f aca="false">IF(E25&gt;0,D25/E25,"—")</f>
        <v>75</v>
      </c>
      <c r="J25" s="5" t="n">
        <f aca="false">D25/(E25+F25)</f>
        <v>50</v>
      </c>
      <c r="K25" s="46" t="n">
        <f aca="false">E25*INDEX('06 LABOUR RATE LIBRARY'!$D$5:$D$100,MATCH(H25,'06 LABOUR RATE LIBRARY'!$A$5:$A$100,0))+F25*INDEX('06 LABOUR RATE LIBRARY'!$D$5:$D$100,MATCH("LAB-HLP",'06 LABOUR RATE LIBRARY'!$A$5:$A$100,0))</f>
        <v>5938</v>
      </c>
      <c r="L25" s="46" t="n">
        <f aca="false">K25/D25</f>
        <v>39.5866666666667</v>
      </c>
      <c r="M25" s="5" t="s">
        <v>2644</v>
      </c>
      <c r="N25" s="46" t="n">
        <v>45.2</v>
      </c>
      <c r="O25" s="46" t="n">
        <f aca="false">IF(ISNUMBER(N25),K25/N25,"—")</f>
        <v>131.371681415929</v>
      </c>
      <c r="P25" s="5" t="n">
        <v>150</v>
      </c>
      <c r="Q25" s="46" t="n">
        <v>39.59</v>
      </c>
      <c r="R25" s="47" t="n">
        <v>-0.124</v>
      </c>
      <c r="S25" s="5" t="s">
        <v>2571</v>
      </c>
    </row>
    <row r="26" customFormat="false" ht="15" hidden="false" customHeight="true" outlineLevel="0" collapsed="false">
      <c r="A26" s="9" t="s">
        <v>2645</v>
      </c>
      <c r="B26" s="9" t="s">
        <v>2646</v>
      </c>
      <c r="C26" s="9" t="s">
        <v>212</v>
      </c>
      <c r="D26" s="44" t="n">
        <v>150</v>
      </c>
      <c r="E26" s="45" t="n">
        <v>1</v>
      </c>
      <c r="F26" s="45" t="n">
        <v>0.5</v>
      </c>
      <c r="G26" s="5" t="s">
        <v>2647</v>
      </c>
      <c r="H26" s="5" t="s">
        <v>1000</v>
      </c>
      <c r="I26" s="5" t="n">
        <f aca="false">IF(E26&gt;0,D26/E26,"—")</f>
        <v>150</v>
      </c>
      <c r="J26" s="5" t="n">
        <f aca="false">D26/(E26+F26)</f>
        <v>100</v>
      </c>
      <c r="K26" s="46" t="n">
        <f aca="false">E26*INDEX('06 LABOUR RATE LIBRARY'!$D$5:$D$100,MATCH(H26,'06 LABOUR RATE LIBRARY'!$A$5:$A$100,0))+F26*INDEX('06 LABOUR RATE LIBRARY'!$D$5:$D$100,MATCH("LAB-HLP",'06 LABOUR RATE LIBRARY'!$A$5:$A$100,0))</f>
        <v>2869</v>
      </c>
      <c r="L26" s="46" t="n">
        <f aca="false">K26/D26</f>
        <v>19.1266666666667</v>
      </c>
      <c r="M26" s="5" t="s">
        <v>2648</v>
      </c>
      <c r="N26" s="46" t="n">
        <v>21.51</v>
      </c>
      <c r="O26" s="46" t="n">
        <f aca="false">IF(ISNUMBER(N26),K26/N26,"—")</f>
        <v>133.379823337982</v>
      </c>
      <c r="P26" s="5" t="n">
        <v>150</v>
      </c>
      <c r="Q26" s="46" t="n">
        <v>19.13</v>
      </c>
      <c r="R26" s="47" t="n">
        <v>-0.111</v>
      </c>
      <c r="S26" s="5" t="s">
        <v>2571</v>
      </c>
    </row>
    <row r="27" customFormat="false" ht="15" hidden="false" customHeight="true" outlineLevel="0" collapsed="false">
      <c r="A27" s="9" t="s">
        <v>2649</v>
      </c>
      <c r="B27" s="9" t="s">
        <v>2650</v>
      </c>
      <c r="C27" s="9" t="s">
        <v>212</v>
      </c>
      <c r="D27" s="44" t="n">
        <v>70</v>
      </c>
      <c r="E27" s="45" t="n">
        <v>1</v>
      </c>
      <c r="F27" s="45" t="n">
        <v>0.5</v>
      </c>
      <c r="G27" s="5" t="s">
        <v>2651</v>
      </c>
      <c r="H27" s="5" t="s">
        <v>1000</v>
      </c>
      <c r="I27" s="5" t="n">
        <f aca="false">IF(E27&gt;0,D27/E27,"—")</f>
        <v>70</v>
      </c>
      <c r="J27" s="5" t="n">
        <f aca="false">D27/(E27+F27)</f>
        <v>46.6666666666667</v>
      </c>
      <c r="K27" s="46" t="n">
        <f aca="false">E27*INDEX('06 LABOUR RATE LIBRARY'!$D$5:$D$100,MATCH(H27,'06 LABOUR RATE LIBRARY'!$A$5:$A$100,0))+F27*INDEX('06 LABOUR RATE LIBRARY'!$D$5:$D$100,MATCH("LAB-HLP",'06 LABOUR RATE LIBRARY'!$A$5:$A$100,0))</f>
        <v>2869</v>
      </c>
      <c r="L27" s="46" t="n">
        <f aca="false">K27/D27</f>
        <v>40.9857142857143</v>
      </c>
      <c r="M27" s="5" t="s">
        <v>2652</v>
      </c>
      <c r="N27" s="46" t="n">
        <v>41.522</v>
      </c>
      <c r="O27" s="46" t="n">
        <f aca="false">IF(ISNUMBER(N27),K27/N27,"—")</f>
        <v>69.0959009681615</v>
      </c>
      <c r="P27" s="5" t="n">
        <v>200</v>
      </c>
      <c r="Q27" s="46" t="n">
        <v>14.35</v>
      </c>
      <c r="R27" s="47" t="n">
        <v>-0.655</v>
      </c>
      <c r="S27" s="5" t="s">
        <v>2576</v>
      </c>
    </row>
    <row r="28" customFormat="false" ht="21.75" hidden="false" customHeight="true" outlineLevel="0" collapsed="false">
      <c r="A28" s="9" t="s">
        <v>2653</v>
      </c>
      <c r="B28" s="9" t="s">
        <v>2654</v>
      </c>
      <c r="C28" s="9" t="s">
        <v>109</v>
      </c>
      <c r="D28" s="44" t="n">
        <v>155</v>
      </c>
      <c r="E28" s="45" t="n">
        <v>1</v>
      </c>
      <c r="F28" s="45" t="n">
        <v>8</v>
      </c>
      <c r="G28" s="5" t="s">
        <v>2655</v>
      </c>
      <c r="H28" s="5" t="s">
        <v>813</v>
      </c>
      <c r="I28" s="5" t="n">
        <f aca="false">IF(E28&gt;0,D28/E28,"—")</f>
        <v>155</v>
      </c>
      <c r="J28" s="5" t="n">
        <f aca="false">D28/(E28+F28)</f>
        <v>17.2222222222222</v>
      </c>
      <c r="K28" s="46" t="n">
        <f aca="false">E28*INDEX('06 LABOUR RATE LIBRARY'!$D$5:$D$100,MATCH(H28,'06 LABOUR RATE LIBRARY'!$A$5:$A$100,0))+F28*INDEX('06 LABOUR RATE LIBRARY'!$D$5:$D$100,MATCH("LAB-HLP",'06 LABOUR RATE LIBRARY'!$A$5:$A$100,0))</f>
        <v>14504</v>
      </c>
      <c r="L28" s="46" t="n">
        <f aca="false">K28/D28</f>
        <v>93.5741935483871</v>
      </c>
      <c r="M28" s="5" t="s">
        <v>2656</v>
      </c>
      <c r="N28" s="46" t="n">
        <v>93.7</v>
      </c>
      <c r="O28" s="46" t="n">
        <f aca="false">IF(ISNUMBER(N28),K28/N28,"—")</f>
        <v>154.791889007471</v>
      </c>
      <c r="P28" s="5" t="n">
        <v>100</v>
      </c>
      <c r="Q28" s="46" t="n">
        <v>145.04</v>
      </c>
      <c r="R28" s="47" t="n">
        <v>0.548</v>
      </c>
      <c r="S28" s="5" t="s">
        <v>2576</v>
      </c>
    </row>
    <row r="29" customFormat="false" ht="21.75" hidden="false" customHeight="true" outlineLevel="0" collapsed="false">
      <c r="A29" s="9" t="s">
        <v>2657</v>
      </c>
      <c r="B29" s="9" t="s">
        <v>2658</v>
      </c>
      <c r="C29" s="9" t="s">
        <v>109</v>
      </c>
      <c r="D29" s="44" t="n">
        <v>55</v>
      </c>
      <c r="E29" s="45" t="n">
        <v>1</v>
      </c>
      <c r="F29" s="45" t="n">
        <v>1.5</v>
      </c>
      <c r="G29" s="5" t="s">
        <v>2659</v>
      </c>
      <c r="H29" s="5" t="s">
        <v>813</v>
      </c>
      <c r="I29" s="5" t="n">
        <f aca="false">IF(E29&gt;0,D29/E29,"—")</f>
        <v>55</v>
      </c>
      <c r="J29" s="5" t="n">
        <f aca="false">D29/(E29+F29)</f>
        <v>22</v>
      </c>
      <c r="K29" s="46" t="n">
        <f aca="false">E29*INDEX('06 LABOUR RATE LIBRARY'!$D$5:$D$100,MATCH(H29,'06 LABOUR RATE LIBRARY'!$A$5:$A$100,0))+F29*INDEX('06 LABOUR RATE LIBRARY'!$D$5:$D$100,MATCH("LAB-HLP",'06 LABOUR RATE LIBRARY'!$A$5:$A$100,0))</f>
        <v>4507</v>
      </c>
      <c r="L29" s="46" t="n">
        <f aca="false">K29/D29</f>
        <v>81.9454545454546</v>
      </c>
      <c r="M29" s="5" t="s">
        <v>2660</v>
      </c>
      <c r="N29" s="46" t="n">
        <v>80.279</v>
      </c>
      <c r="O29" s="46" t="n">
        <f aca="false">IF(ISNUMBER(N29),K29/N29,"—")</f>
        <v>56.141705801019</v>
      </c>
      <c r="P29" s="5" t="n">
        <v>80</v>
      </c>
      <c r="Q29" s="46" t="n">
        <v>56.34</v>
      </c>
      <c r="R29" s="47" t="n">
        <v>-0.298</v>
      </c>
      <c r="S29" s="5" t="s">
        <v>2661</v>
      </c>
    </row>
    <row r="30" customFormat="false" ht="15" hidden="false" customHeight="true" outlineLevel="0" collapsed="false">
      <c r="A30" s="9" t="s">
        <v>2662</v>
      </c>
      <c r="B30" s="9" t="s">
        <v>2663</v>
      </c>
      <c r="C30" s="9" t="s">
        <v>212</v>
      </c>
      <c r="D30" s="44" t="n">
        <v>80</v>
      </c>
      <c r="E30" s="45" t="n">
        <v>1</v>
      </c>
      <c r="F30" s="45" t="n">
        <v>1</v>
      </c>
      <c r="G30" s="5" t="s">
        <v>2664</v>
      </c>
      <c r="H30" s="5" t="s">
        <v>892</v>
      </c>
      <c r="I30" s="5" t="n">
        <f aca="false">IF(E30&gt;0,D30/E30,"—")</f>
        <v>80</v>
      </c>
      <c r="J30" s="5" t="n">
        <f aca="false">D30/(E30+F30)</f>
        <v>40</v>
      </c>
      <c r="K30" s="46" t="n">
        <f aca="false">E30*INDEX('06 LABOUR RATE LIBRARY'!$D$5:$D$100,MATCH(H30,'06 LABOUR RATE LIBRARY'!$A$5:$A$100,0))+F30*INDEX('06 LABOUR RATE LIBRARY'!$D$5:$D$100,MATCH("LAB-HLP",'06 LABOUR RATE LIBRARY'!$A$5:$A$100,0))</f>
        <v>3688</v>
      </c>
      <c r="L30" s="46" t="n">
        <f aca="false">K30/D30</f>
        <v>46.1</v>
      </c>
      <c r="M30" s="5" t="s">
        <v>2665</v>
      </c>
      <c r="N30" s="46" t="n">
        <v>45.54</v>
      </c>
      <c r="O30" s="46" t="n">
        <f aca="false">IF(ISNUMBER(N30),K30/N30,"—")</f>
        <v>80.983750548968</v>
      </c>
      <c r="P30" s="5" t="n">
        <v>100</v>
      </c>
      <c r="Q30" s="46" t="n">
        <v>36.88</v>
      </c>
      <c r="R30" s="47" t="n">
        <v>-0.19</v>
      </c>
      <c r="S30" s="5" t="s">
        <v>2661</v>
      </c>
    </row>
    <row r="31" customFormat="false" ht="15" hidden="false" customHeight="true" outlineLevel="0" collapsed="false">
      <c r="A31" s="9" t="s">
        <v>2666</v>
      </c>
      <c r="B31" s="9" t="s">
        <v>2667</v>
      </c>
      <c r="C31" s="9" t="s">
        <v>212</v>
      </c>
      <c r="D31" s="44" t="n">
        <v>90</v>
      </c>
      <c r="E31" s="45" t="n">
        <v>1</v>
      </c>
      <c r="F31" s="45" t="n">
        <v>1</v>
      </c>
      <c r="G31" s="5" t="s">
        <v>2668</v>
      </c>
      <c r="H31" s="5" t="s">
        <v>892</v>
      </c>
      <c r="I31" s="5" t="n">
        <f aca="false">IF(E31&gt;0,D31/E31,"—")</f>
        <v>90</v>
      </c>
      <c r="J31" s="5" t="n">
        <f aca="false">D31/(E31+F31)</f>
        <v>45</v>
      </c>
      <c r="K31" s="46" t="n">
        <f aca="false">E31*INDEX('06 LABOUR RATE LIBRARY'!$D$5:$D$100,MATCH(H31,'06 LABOUR RATE LIBRARY'!$A$5:$A$100,0))+F31*INDEX('06 LABOUR RATE LIBRARY'!$D$5:$D$100,MATCH("LAB-HLP",'06 LABOUR RATE LIBRARY'!$A$5:$A$100,0))</f>
        <v>3688</v>
      </c>
      <c r="L31" s="46" t="n">
        <f aca="false">K31/D31</f>
        <v>40.9777777777778</v>
      </c>
      <c r="M31" s="5" t="s">
        <v>2669</v>
      </c>
      <c r="N31" s="46" t="n">
        <v>41.48</v>
      </c>
      <c r="O31" s="46" t="n">
        <f aca="false">IF(ISNUMBER(N31),K31/N31,"—")</f>
        <v>88.9103182256509</v>
      </c>
      <c r="P31" s="5" t="n">
        <v>100</v>
      </c>
      <c r="Q31" s="46" t="n">
        <v>36.88</v>
      </c>
      <c r="R31" s="47" t="n">
        <v>-0.111</v>
      </c>
      <c r="S31" s="5" t="s">
        <v>2661</v>
      </c>
    </row>
    <row r="32" customFormat="false" ht="15" hidden="false" customHeight="true" outlineLevel="0" collapsed="false">
      <c r="A32" s="9" t="s">
        <v>2670</v>
      </c>
      <c r="B32" s="9" t="s">
        <v>2671</v>
      </c>
      <c r="C32" s="9" t="s">
        <v>212</v>
      </c>
      <c r="D32" s="44" t="n">
        <v>115</v>
      </c>
      <c r="E32" s="45" t="n">
        <v>1</v>
      </c>
      <c r="F32" s="45" t="n">
        <v>2</v>
      </c>
      <c r="G32" s="5" t="s">
        <v>2672</v>
      </c>
      <c r="H32" s="5" t="s">
        <v>813</v>
      </c>
      <c r="I32" s="5" t="n">
        <f aca="false">IF(E32&gt;0,D32/E32,"—")</f>
        <v>115</v>
      </c>
      <c r="J32" s="5" t="n">
        <f aca="false">D32/(E32+F32)</f>
        <v>38.3333333333333</v>
      </c>
      <c r="K32" s="46" t="n">
        <f aca="false">E32*INDEX('06 LABOUR RATE LIBRARY'!$D$5:$D$100,MATCH(H32,'06 LABOUR RATE LIBRARY'!$A$5:$A$100,0))+F32*INDEX('06 LABOUR RATE LIBRARY'!$D$5:$D$100,MATCH("LAB-HLP",'06 LABOUR RATE LIBRARY'!$A$5:$A$100,0))</f>
        <v>5276</v>
      </c>
      <c r="L32" s="46" t="n">
        <f aca="false">K32/D32</f>
        <v>45.8782608695652</v>
      </c>
      <c r="M32" s="5" t="s">
        <v>2673</v>
      </c>
      <c r="N32" s="46" t="n">
        <v>45.21</v>
      </c>
      <c r="O32" s="46" t="n">
        <f aca="false">IF(ISNUMBER(N32),K32/N32,"—")</f>
        <v>116.699845166998</v>
      </c>
      <c r="P32" s="5" t="n">
        <v>250</v>
      </c>
      <c r="Q32" s="46" t="n">
        <v>21.1</v>
      </c>
      <c r="R32" s="47" t="n">
        <v>-0.533</v>
      </c>
      <c r="S32" s="5" t="s">
        <v>2576</v>
      </c>
    </row>
    <row r="33" customFormat="false" ht="15" hidden="false" customHeight="true" outlineLevel="0" collapsed="false">
      <c r="A33" s="9" t="s">
        <v>2674</v>
      </c>
      <c r="B33" s="9" t="s">
        <v>2675</v>
      </c>
      <c r="C33" s="9" t="s">
        <v>212</v>
      </c>
      <c r="D33" s="44" t="n">
        <v>80</v>
      </c>
      <c r="E33" s="45" t="n">
        <v>1</v>
      </c>
      <c r="F33" s="45" t="n">
        <v>2</v>
      </c>
      <c r="G33" s="5" t="s">
        <v>2676</v>
      </c>
      <c r="H33" s="5" t="s">
        <v>813</v>
      </c>
      <c r="I33" s="5" t="n">
        <f aca="false">IF(E33&gt;0,D33/E33,"—")</f>
        <v>80</v>
      </c>
      <c r="J33" s="5" t="n">
        <f aca="false">D33/(E33+F33)</f>
        <v>26.6666666666667</v>
      </c>
      <c r="K33" s="46" t="n">
        <f aca="false">E33*INDEX('06 LABOUR RATE LIBRARY'!$D$5:$D$100,MATCH(H33,'06 LABOUR RATE LIBRARY'!$A$5:$A$100,0))+F33*INDEX('06 LABOUR RATE LIBRARY'!$D$5:$D$100,MATCH("LAB-HLP",'06 LABOUR RATE LIBRARY'!$A$5:$A$100,0))</f>
        <v>5276</v>
      </c>
      <c r="L33" s="46" t="n">
        <f aca="false">K33/D33</f>
        <v>65.95</v>
      </c>
      <c r="M33" s="5" t="s">
        <v>2677</v>
      </c>
      <c r="N33" s="46" t="n">
        <v>67.571</v>
      </c>
      <c r="O33" s="46" t="n">
        <f aca="false">IF(ISNUMBER(N33),K33/N33,"—")</f>
        <v>78.0808334936585</v>
      </c>
      <c r="P33" s="5" t="n">
        <v>250</v>
      </c>
      <c r="Q33" s="46" t="n">
        <v>21.1</v>
      </c>
      <c r="R33" s="47" t="n">
        <v>-0.688</v>
      </c>
      <c r="S33" s="5" t="s">
        <v>2576</v>
      </c>
    </row>
    <row r="34" customFormat="false" ht="15" hidden="false" customHeight="true" outlineLevel="0" collapsed="false">
      <c r="A34" s="9" t="s">
        <v>2678</v>
      </c>
      <c r="B34" s="9" t="s">
        <v>2679</v>
      </c>
      <c r="C34" s="9" t="s">
        <v>212</v>
      </c>
      <c r="D34" s="44" t="n">
        <v>65</v>
      </c>
      <c r="E34" s="45" t="n">
        <v>1</v>
      </c>
      <c r="F34" s="45" t="n">
        <v>2</v>
      </c>
      <c r="G34" s="5" t="s">
        <v>2680</v>
      </c>
      <c r="H34" s="5" t="s">
        <v>813</v>
      </c>
      <c r="I34" s="5" t="n">
        <f aca="false">IF(E34&gt;0,D34/E34,"—")</f>
        <v>65</v>
      </c>
      <c r="J34" s="5" t="n">
        <f aca="false">D34/(E34+F34)</f>
        <v>21.6666666666667</v>
      </c>
      <c r="K34" s="46" t="n">
        <f aca="false">E34*INDEX('06 LABOUR RATE LIBRARY'!$D$5:$D$100,MATCH(H34,'06 LABOUR RATE LIBRARY'!$A$5:$A$100,0))+F34*INDEX('06 LABOUR RATE LIBRARY'!$D$5:$D$100,MATCH("LAB-HLP",'06 LABOUR RATE LIBRARY'!$A$5:$A$100,0))</f>
        <v>5276</v>
      </c>
      <c r="L34" s="46" t="n">
        <f aca="false">K34/D34</f>
        <v>81.1692307692308</v>
      </c>
      <c r="M34" s="5" t="s">
        <v>2681</v>
      </c>
      <c r="N34" s="46" t="n">
        <v>78.751</v>
      </c>
      <c r="O34" s="46" t="n">
        <f aca="false">IF(ISNUMBER(N34),K34/N34,"—")</f>
        <v>66.9959746542901</v>
      </c>
      <c r="P34" s="5" t="n">
        <v>250</v>
      </c>
      <c r="Q34" s="46" t="n">
        <v>21.1</v>
      </c>
      <c r="R34" s="47" t="n">
        <v>-0.732</v>
      </c>
      <c r="S34" s="5" t="s">
        <v>2576</v>
      </c>
    </row>
    <row r="35" customFormat="false" ht="21.75" hidden="false" customHeight="true" outlineLevel="0" collapsed="false">
      <c r="A35" s="9" t="s">
        <v>2682</v>
      </c>
      <c r="B35" s="9" t="s">
        <v>2683</v>
      </c>
      <c r="C35" s="9" t="s">
        <v>109</v>
      </c>
      <c r="D35" s="44" t="n">
        <v>375</v>
      </c>
      <c r="E35" s="45" t="n">
        <v>0</v>
      </c>
      <c r="F35" s="45" t="n">
        <v>2</v>
      </c>
      <c r="G35" s="5" t="s">
        <v>2684</v>
      </c>
      <c r="H35" s="5" t="s">
        <v>816</v>
      </c>
      <c r="I35" s="5" t="str">
        <f aca="false">IF(E35&gt;0,D35/E35,"—")</f>
        <v>—</v>
      </c>
      <c r="J35" s="5" t="n">
        <f aca="false">D35/(E35+F35)</f>
        <v>187.5</v>
      </c>
      <c r="K35" s="46" t="n">
        <f aca="false">E35*INDEX('06 LABOUR RATE LIBRARY'!$D$5:$D$100,MATCH(H35,'06 LABOUR RATE LIBRARY'!$A$5:$A$100,0))+F35*INDEX('06 LABOUR RATE LIBRARY'!$D$5:$D$100,MATCH("LAB-HLP",'06 LABOUR RATE LIBRARY'!$A$5:$A$100,0))</f>
        <v>3076</v>
      </c>
      <c r="L35" s="46" t="n">
        <f aca="false">K35/D35</f>
        <v>8.20266666666667</v>
      </c>
      <c r="M35" s="5" t="s">
        <v>2685</v>
      </c>
      <c r="N35" s="46" t="n">
        <v>8.155</v>
      </c>
      <c r="O35" s="46" t="n">
        <f aca="false">IF(ISNUMBER(N35),K35/N35,"—")</f>
        <v>377.191906805641</v>
      </c>
      <c r="P35" s="5" t="n">
        <v>200</v>
      </c>
      <c r="Q35" s="46" t="n">
        <v>15.38</v>
      </c>
      <c r="R35" s="47" t="n">
        <v>0.886</v>
      </c>
      <c r="S35" s="5" t="s">
        <v>2576</v>
      </c>
    </row>
    <row r="36" customFormat="false" ht="21.75" hidden="false" customHeight="true" outlineLevel="0" collapsed="false">
      <c r="A36" s="9" t="s">
        <v>2686</v>
      </c>
      <c r="B36" s="9" t="s">
        <v>2687</v>
      </c>
      <c r="C36" s="9" t="s">
        <v>109</v>
      </c>
      <c r="D36" s="44" t="n">
        <v>450</v>
      </c>
      <c r="E36" s="45" t="n">
        <v>0</v>
      </c>
      <c r="F36" s="45" t="n">
        <v>2</v>
      </c>
      <c r="G36" s="5" t="s">
        <v>2688</v>
      </c>
      <c r="H36" s="5" t="s">
        <v>816</v>
      </c>
      <c r="I36" s="5" t="str">
        <f aca="false">IF(E36&gt;0,D36/E36,"—")</f>
        <v>—</v>
      </c>
      <c r="J36" s="5" t="n">
        <f aca="false">D36/(E36+F36)</f>
        <v>225</v>
      </c>
      <c r="K36" s="46" t="n">
        <f aca="false">E36*INDEX('06 LABOUR RATE LIBRARY'!$D$5:$D$100,MATCH(H36,'06 LABOUR RATE LIBRARY'!$A$5:$A$100,0))+F36*INDEX('06 LABOUR RATE LIBRARY'!$D$5:$D$100,MATCH("LAB-HLP",'06 LABOUR RATE LIBRARY'!$A$5:$A$100,0))</f>
        <v>3076</v>
      </c>
      <c r="L36" s="46" t="n">
        <f aca="false">K36/D36</f>
        <v>6.83555555555556</v>
      </c>
      <c r="M36" s="5" t="s">
        <v>2689</v>
      </c>
      <c r="N36" s="46" t="n">
        <v>6.767</v>
      </c>
      <c r="O36" s="46" t="n">
        <f aca="false">IF(ISNUMBER(N36),K36/N36,"—")</f>
        <v>454.558888724693</v>
      </c>
      <c r="P36" s="5" t="n">
        <v>200</v>
      </c>
      <c r="Q36" s="46" t="n">
        <v>15.38</v>
      </c>
      <c r="R36" s="47" t="n">
        <v>1.273</v>
      </c>
      <c r="S36" s="5" t="s">
        <v>2576</v>
      </c>
    </row>
    <row r="37" customFormat="false" ht="15" hidden="false" customHeight="true" outlineLevel="0" collapsed="false">
      <c r="A37" s="9" t="s">
        <v>2690</v>
      </c>
      <c r="B37" s="9" t="s">
        <v>2691</v>
      </c>
      <c r="C37" s="9" t="s">
        <v>386</v>
      </c>
      <c r="D37" s="44" t="n">
        <v>45</v>
      </c>
      <c r="E37" s="45" t="n">
        <v>1</v>
      </c>
      <c r="F37" s="45" t="n">
        <v>1</v>
      </c>
      <c r="G37" s="5" t="s">
        <v>2692</v>
      </c>
      <c r="H37" s="5" t="s">
        <v>1134</v>
      </c>
      <c r="I37" s="5" t="n">
        <f aca="false">IF(E37&gt;0,D37/E37,"—")</f>
        <v>45</v>
      </c>
      <c r="J37" s="5" t="n">
        <f aca="false">D37/(E37+F37)</f>
        <v>22.5</v>
      </c>
      <c r="K37" s="46" t="n">
        <f aca="false">E37*INDEX('06 LABOUR RATE LIBRARY'!$D$5:$D$100,MATCH(H37,'06 LABOUR RATE LIBRARY'!$A$5:$A$100,0))+F37*INDEX('06 LABOUR RATE LIBRARY'!$D$5:$D$100,MATCH("LAB-HLP",'06 LABOUR RATE LIBRARY'!$A$5:$A$100,0))</f>
        <v>4138</v>
      </c>
      <c r="L37" s="46" t="n">
        <f aca="false">K37/D37</f>
        <v>91.9555555555556</v>
      </c>
      <c r="M37" s="5" t="s">
        <v>2693</v>
      </c>
      <c r="N37" s="46" t="n">
        <v>89.4</v>
      </c>
      <c r="O37" s="46" t="n">
        <f aca="false">IF(ISNUMBER(N37),K37/N37,"—")</f>
        <v>46.2863534675615</v>
      </c>
      <c r="P37" s="5" t="n">
        <v>80</v>
      </c>
      <c r="Q37" s="46" t="n">
        <v>51.73</v>
      </c>
      <c r="R37" s="47" t="n">
        <v>-0.421</v>
      </c>
      <c r="S37" s="5" t="s">
        <v>2576</v>
      </c>
    </row>
    <row r="38" customFormat="false" ht="15" hidden="false" customHeight="true" outlineLevel="0" collapsed="false">
      <c r="A38" s="9" t="s">
        <v>2694</v>
      </c>
      <c r="B38" s="9" t="s">
        <v>2695</v>
      </c>
      <c r="C38" s="9" t="s">
        <v>386</v>
      </c>
      <c r="D38" s="44" t="n">
        <v>35</v>
      </c>
      <c r="E38" s="45" t="n">
        <v>1</v>
      </c>
      <c r="F38" s="45" t="n">
        <v>1</v>
      </c>
      <c r="G38" s="5" t="s">
        <v>2696</v>
      </c>
      <c r="H38" s="5" t="s">
        <v>1134</v>
      </c>
      <c r="I38" s="5" t="n">
        <f aca="false">IF(E38&gt;0,D38/E38,"—")</f>
        <v>35</v>
      </c>
      <c r="J38" s="5" t="n">
        <f aca="false">D38/(E38+F38)</f>
        <v>17.5</v>
      </c>
      <c r="K38" s="46" t="n">
        <f aca="false">E38*INDEX('06 LABOUR RATE LIBRARY'!$D$5:$D$100,MATCH(H38,'06 LABOUR RATE LIBRARY'!$A$5:$A$100,0))+F38*INDEX('06 LABOUR RATE LIBRARY'!$D$5:$D$100,MATCH("LAB-HLP",'06 LABOUR RATE LIBRARY'!$A$5:$A$100,0))</f>
        <v>4138</v>
      </c>
      <c r="L38" s="46" t="n">
        <f aca="false">K38/D38</f>
        <v>118.228571428571</v>
      </c>
      <c r="M38" s="5" t="s">
        <v>2697</v>
      </c>
      <c r="N38" s="46" t="n">
        <v>120.22</v>
      </c>
      <c r="O38" s="46" t="n">
        <f aca="false">IF(ISNUMBER(N38),K38/N38,"—")</f>
        <v>34.420229579105</v>
      </c>
      <c r="P38" s="5" t="n">
        <v>50</v>
      </c>
      <c r="Q38" s="46" t="n">
        <v>82.76</v>
      </c>
      <c r="R38" s="47" t="n">
        <v>-0.312</v>
      </c>
      <c r="S38" s="5" t="s">
        <v>2661</v>
      </c>
    </row>
    <row r="39" customFormat="false" ht="15" hidden="false" customHeight="true" outlineLevel="0" collapsed="false">
      <c r="A39" s="9" t="s">
        <v>2698</v>
      </c>
      <c r="B39" s="9" t="s">
        <v>2699</v>
      </c>
      <c r="C39" s="9" t="s">
        <v>386</v>
      </c>
      <c r="D39" s="44" t="n">
        <v>25</v>
      </c>
      <c r="E39" s="45" t="n">
        <v>1</v>
      </c>
      <c r="F39" s="45" t="n">
        <v>1</v>
      </c>
      <c r="G39" s="5" t="s">
        <v>2700</v>
      </c>
      <c r="H39" s="5" t="s">
        <v>1134</v>
      </c>
      <c r="I39" s="5" t="n">
        <f aca="false">IF(E39&gt;0,D39/E39,"—")</f>
        <v>25</v>
      </c>
      <c r="J39" s="5" t="n">
        <f aca="false">D39/(E39+F39)</f>
        <v>12.5</v>
      </c>
      <c r="K39" s="46" t="n">
        <f aca="false">E39*INDEX('06 LABOUR RATE LIBRARY'!$D$5:$D$100,MATCH(H39,'06 LABOUR RATE LIBRARY'!$A$5:$A$100,0))+F39*INDEX('06 LABOUR RATE LIBRARY'!$D$5:$D$100,MATCH("LAB-HLP",'06 LABOUR RATE LIBRARY'!$A$5:$A$100,0))</f>
        <v>4138</v>
      </c>
      <c r="L39" s="46" t="n">
        <f aca="false">K39/D39</f>
        <v>165.52</v>
      </c>
      <c r="M39" s="5" t="s">
        <v>2701</v>
      </c>
      <c r="N39" s="46" t="n">
        <v>160.3</v>
      </c>
      <c r="O39" s="46" t="n">
        <f aca="false">IF(ISNUMBER(N39),K39/N39,"—")</f>
        <v>25.8140985651903</v>
      </c>
      <c r="P39" s="5" t="n">
        <v>50</v>
      </c>
      <c r="Q39" s="46" t="n">
        <v>82.76</v>
      </c>
      <c r="R39" s="47" t="n">
        <v>-0.484</v>
      </c>
      <c r="S39" s="5" t="s">
        <v>2576</v>
      </c>
    </row>
    <row r="40" customFormat="false" ht="15" hidden="false" customHeight="true" outlineLevel="0" collapsed="false">
      <c r="A40" s="9" t="s">
        <v>2702</v>
      </c>
      <c r="B40" s="9" t="s">
        <v>2703</v>
      </c>
      <c r="C40" s="9" t="s">
        <v>386</v>
      </c>
      <c r="D40" s="44" t="n">
        <v>20</v>
      </c>
      <c r="E40" s="45" t="n">
        <v>1</v>
      </c>
      <c r="F40" s="45" t="n">
        <v>1</v>
      </c>
      <c r="G40" s="5" t="s">
        <v>2700</v>
      </c>
      <c r="H40" s="5" t="s">
        <v>1134</v>
      </c>
      <c r="I40" s="5" t="n">
        <f aca="false">IF(E40&gt;0,D40/E40,"—")</f>
        <v>20</v>
      </c>
      <c r="J40" s="5" t="n">
        <f aca="false">D40/(E40+F40)</f>
        <v>10</v>
      </c>
      <c r="K40" s="46" t="n">
        <f aca="false">E40*INDEX('06 LABOUR RATE LIBRARY'!$D$5:$D$100,MATCH(H40,'06 LABOUR RATE LIBRARY'!$A$5:$A$100,0))+F40*INDEX('06 LABOUR RATE LIBRARY'!$D$5:$D$100,MATCH("LAB-HLP",'06 LABOUR RATE LIBRARY'!$A$5:$A$100,0))</f>
        <v>4138</v>
      </c>
      <c r="L40" s="46" t="n">
        <f aca="false">K40/D40</f>
        <v>206.9</v>
      </c>
      <c r="M40" s="5" t="s">
        <v>2704</v>
      </c>
      <c r="N40" s="46" t="n">
        <v>201.77</v>
      </c>
      <c r="O40" s="46" t="n">
        <f aca="false">IF(ISNUMBER(N40),K40/N40,"—")</f>
        <v>20.5084997769738</v>
      </c>
      <c r="P40" s="5" t="n">
        <v>50</v>
      </c>
      <c r="Q40" s="46" t="n">
        <v>82.76</v>
      </c>
      <c r="R40" s="47" t="n">
        <v>-0.59</v>
      </c>
      <c r="S40" s="5" t="s">
        <v>2576</v>
      </c>
    </row>
    <row r="41" customFormat="false" ht="15" hidden="false" customHeight="true" outlineLevel="0" collapsed="false">
      <c r="A41" s="9" t="s">
        <v>2705</v>
      </c>
      <c r="B41" s="9" t="s">
        <v>2706</v>
      </c>
      <c r="C41" s="9" t="s">
        <v>386</v>
      </c>
      <c r="D41" s="44" t="n">
        <v>17</v>
      </c>
      <c r="E41" s="45" t="n">
        <v>1</v>
      </c>
      <c r="F41" s="45" t="n">
        <v>1</v>
      </c>
      <c r="G41" s="5" t="s">
        <v>2700</v>
      </c>
      <c r="H41" s="5" t="s">
        <v>1134</v>
      </c>
      <c r="I41" s="5" t="n">
        <f aca="false">IF(E41&gt;0,D41/E41,"—")</f>
        <v>17</v>
      </c>
      <c r="J41" s="5" t="n">
        <f aca="false">D41/(E41+F41)</f>
        <v>8.5</v>
      </c>
      <c r="K41" s="46" t="n">
        <f aca="false">E41*INDEX('06 LABOUR RATE LIBRARY'!$D$5:$D$100,MATCH(H41,'06 LABOUR RATE LIBRARY'!$A$5:$A$100,0))+F41*INDEX('06 LABOUR RATE LIBRARY'!$D$5:$D$100,MATCH("LAB-HLP",'06 LABOUR RATE LIBRARY'!$A$5:$A$100,0))</f>
        <v>4138</v>
      </c>
      <c r="L41" s="46" t="n">
        <f aca="false">K41/D41</f>
        <v>243.411764705882</v>
      </c>
      <c r="M41" s="5" t="s">
        <v>2707</v>
      </c>
      <c r="N41" s="46" t="n">
        <v>246.61</v>
      </c>
      <c r="O41" s="46" t="n">
        <f aca="false">IF(ISNUMBER(N41),K41/N41,"—")</f>
        <v>16.779530432667</v>
      </c>
      <c r="P41" s="5" t="n">
        <v>50</v>
      </c>
      <c r="Q41" s="46" t="n">
        <v>82.76</v>
      </c>
      <c r="R41" s="47" t="n">
        <v>-0.664</v>
      </c>
      <c r="S41" s="5" t="s">
        <v>2576</v>
      </c>
    </row>
    <row r="42" customFormat="false" ht="15" hidden="false" customHeight="true" outlineLevel="0" collapsed="false">
      <c r="A42" s="9" t="s">
        <v>2708</v>
      </c>
      <c r="B42" s="9" t="s">
        <v>1696</v>
      </c>
      <c r="C42" s="9" t="s">
        <v>386</v>
      </c>
      <c r="D42" s="44" t="n">
        <v>35</v>
      </c>
      <c r="E42" s="45" t="n">
        <v>1</v>
      </c>
      <c r="F42" s="45" t="n">
        <v>1</v>
      </c>
      <c r="G42" s="5" t="s">
        <v>2709</v>
      </c>
      <c r="H42" s="5" t="s">
        <v>1134</v>
      </c>
      <c r="I42" s="5" t="n">
        <f aca="false">IF(E42&gt;0,D42/E42,"—")</f>
        <v>35</v>
      </c>
      <c r="J42" s="5" t="n">
        <f aca="false">D42/(E42+F42)</f>
        <v>17.5</v>
      </c>
      <c r="K42" s="46" t="n">
        <f aca="false">E42*INDEX('06 LABOUR RATE LIBRARY'!$D$5:$D$100,MATCH(H42,'06 LABOUR RATE LIBRARY'!$A$5:$A$100,0))+F42*INDEX('06 LABOUR RATE LIBRARY'!$D$5:$D$100,MATCH("LAB-HLP",'06 LABOUR RATE LIBRARY'!$A$5:$A$100,0))</f>
        <v>4138</v>
      </c>
      <c r="L42" s="46" t="n">
        <f aca="false">K42/D42</f>
        <v>118.228571428571</v>
      </c>
      <c r="M42" s="5" t="s">
        <v>2710</v>
      </c>
      <c r="N42" s="46" t="n">
        <v>114.06</v>
      </c>
      <c r="O42" s="46" t="n">
        <f aca="false">IF(ISNUMBER(N42),K42/N42,"—")</f>
        <v>36.2791513238646</v>
      </c>
      <c r="P42" s="5" t="n">
        <v>60</v>
      </c>
      <c r="Q42" s="46" t="n">
        <v>68.97</v>
      </c>
      <c r="R42" s="47" t="n">
        <v>-0.395</v>
      </c>
      <c r="S42" s="5" t="s">
        <v>2576</v>
      </c>
    </row>
    <row r="43" customFormat="false" ht="15" hidden="false" customHeight="true" outlineLevel="0" collapsed="false">
      <c r="A43" s="9" t="s">
        <v>2711</v>
      </c>
      <c r="B43" s="9" t="s">
        <v>1700</v>
      </c>
      <c r="C43" s="9" t="s">
        <v>386</v>
      </c>
      <c r="D43" s="44" t="n">
        <v>16</v>
      </c>
      <c r="E43" s="45" t="n">
        <v>1</v>
      </c>
      <c r="F43" s="45" t="n">
        <v>1</v>
      </c>
      <c r="G43" s="5" t="s">
        <v>2700</v>
      </c>
      <c r="H43" s="5" t="s">
        <v>1134</v>
      </c>
      <c r="I43" s="5" t="n">
        <f aca="false">IF(E43&gt;0,D43/E43,"—")</f>
        <v>16</v>
      </c>
      <c r="J43" s="5" t="n">
        <f aca="false">D43/(E43+F43)</f>
        <v>8</v>
      </c>
      <c r="K43" s="46" t="n">
        <f aca="false">E43*INDEX('06 LABOUR RATE LIBRARY'!$D$5:$D$100,MATCH(H43,'06 LABOUR RATE LIBRARY'!$A$5:$A$100,0))+F43*INDEX('06 LABOUR RATE LIBRARY'!$D$5:$D$100,MATCH("LAB-HLP",'06 LABOUR RATE LIBRARY'!$A$5:$A$100,0))</f>
        <v>4138</v>
      </c>
      <c r="L43" s="46" t="n">
        <f aca="false">K43/D43</f>
        <v>258.625</v>
      </c>
      <c r="M43" s="5" t="s">
        <v>2712</v>
      </c>
      <c r="N43" s="46" t="n">
        <v>255.86</v>
      </c>
      <c r="O43" s="46" t="n">
        <f aca="false">IF(ISNUMBER(N43),K43/N43,"—")</f>
        <v>16.1729070585476</v>
      </c>
      <c r="P43" s="5" t="n">
        <v>60</v>
      </c>
      <c r="Q43" s="46" t="n">
        <v>68.97</v>
      </c>
      <c r="R43" s="47" t="n">
        <v>-0.73</v>
      </c>
      <c r="S43" s="5" t="s">
        <v>2576</v>
      </c>
    </row>
    <row r="44" customFormat="false" ht="15" hidden="false" customHeight="true" outlineLevel="0" collapsed="false">
      <c r="A44" s="9" t="s">
        <v>2713</v>
      </c>
      <c r="B44" s="9" t="s">
        <v>1701</v>
      </c>
      <c r="C44" s="9" t="s">
        <v>386</v>
      </c>
      <c r="D44" s="44" t="n">
        <v>15</v>
      </c>
      <c r="E44" s="45" t="n">
        <v>1</v>
      </c>
      <c r="F44" s="45" t="n">
        <v>1</v>
      </c>
      <c r="G44" s="5" t="s">
        <v>2700</v>
      </c>
      <c r="H44" s="5" t="s">
        <v>1134</v>
      </c>
      <c r="I44" s="5" t="n">
        <f aca="false">IF(E44&gt;0,D44/E44,"—")</f>
        <v>15</v>
      </c>
      <c r="J44" s="5" t="n">
        <f aca="false">D44/(E44+F44)</f>
        <v>7.5</v>
      </c>
      <c r="K44" s="46" t="n">
        <f aca="false">E44*INDEX('06 LABOUR RATE LIBRARY'!$D$5:$D$100,MATCH(H44,'06 LABOUR RATE LIBRARY'!$A$5:$A$100,0))+F44*INDEX('06 LABOUR RATE LIBRARY'!$D$5:$D$100,MATCH("LAB-HLP",'06 LABOUR RATE LIBRARY'!$A$5:$A$100,0))</f>
        <v>4138</v>
      </c>
      <c r="L44" s="46" t="n">
        <f aca="false">K44/D44</f>
        <v>275.866666666667</v>
      </c>
      <c r="M44" s="5" t="s">
        <v>2714</v>
      </c>
      <c r="N44" s="46" t="n">
        <v>277.44</v>
      </c>
      <c r="O44" s="46" t="n">
        <f aca="false">IF(ISNUMBER(N44),K44/N44,"—")</f>
        <v>14.9149365628604</v>
      </c>
      <c r="P44" s="5" t="n">
        <v>60</v>
      </c>
      <c r="Q44" s="46" t="n">
        <v>68.97</v>
      </c>
      <c r="R44" s="47" t="n">
        <v>-0.751</v>
      </c>
      <c r="S44" s="5" t="s">
        <v>2576</v>
      </c>
    </row>
    <row r="45" customFormat="false" ht="15" hidden="false" customHeight="true" outlineLevel="0" collapsed="false">
      <c r="A45" s="9" t="s">
        <v>2715</v>
      </c>
      <c r="B45" s="9" t="s">
        <v>2716</v>
      </c>
      <c r="C45" s="9" t="s">
        <v>386</v>
      </c>
      <c r="D45" s="44" t="n">
        <v>23</v>
      </c>
      <c r="E45" s="45" t="n">
        <v>1</v>
      </c>
      <c r="F45" s="45" t="n">
        <v>1</v>
      </c>
      <c r="G45" s="5" t="s">
        <v>2717</v>
      </c>
      <c r="H45" s="5" t="s">
        <v>1222</v>
      </c>
      <c r="I45" s="5" t="n">
        <f aca="false">IF(E45&gt;0,D45/E45,"—")</f>
        <v>23</v>
      </c>
      <c r="J45" s="5" t="n">
        <f aca="false">D45/(E45+F45)</f>
        <v>11.5</v>
      </c>
      <c r="K45" s="46" t="n">
        <f aca="false">E45*INDEX('06 LABOUR RATE LIBRARY'!$D$5:$D$100,MATCH(H45,'06 LABOUR RATE LIBRARY'!$A$5:$A$100,0))+F45*INDEX('06 LABOUR RATE LIBRARY'!$D$5:$D$100,MATCH("LAB-HLP",'06 LABOUR RATE LIBRARY'!$A$5:$A$100,0))</f>
        <v>4138</v>
      </c>
      <c r="L45" s="46" t="n">
        <f aca="false">K45/D45</f>
        <v>179.913043478261</v>
      </c>
      <c r="M45" s="5" t="s">
        <v>2718</v>
      </c>
      <c r="N45" s="46" t="n">
        <v>178.79</v>
      </c>
      <c r="O45" s="46" t="n">
        <f aca="false">IF(ISNUMBER(N45),K45/N45,"—")</f>
        <v>23.1444711672912</v>
      </c>
      <c r="P45" s="5" t="n">
        <v>40</v>
      </c>
      <c r="Q45" s="46" t="n">
        <v>103.45</v>
      </c>
      <c r="R45" s="47" t="n">
        <v>-0.421</v>
      </c>
      <c r="S45" s="5" t="s">
        <v>2576</v>
      </c>
    </row>
    <row r="46" customFormat="false" ht="15" hidden="false" customHeight="true" outlineLevel="0" collapsed="false">
      <c r="A46" s="9" t="s">
        <v>2719</v>
      </c>
      <c r="B46" s="9" t="s">
        <v>2720</v>
      </c>
      <c r="C46" s="9" t="s">
        <v>386</v>
      </c>
      <c r="D46" s="44" t="n">
        <v>14</v>
      </c>
      <c r="E46" s="45" t="n">
        <v>1</v>
      </c>
      <c r="F46" s="45" t="n">
        <v>1</v>
      </c>
      <c r="G46" s="5" t="s">
        <v>2700</v>
      </c>
      <c r="H46" s="5" t="s">
        <v>1222</v>
      </c>
      <c r="I46" s="5" t="n">
        <f aca="false">IF(E46&gt;0,D46/E46,"—")</f>
        <v>14</v>
      </c>
      <c r="J46" s="5" t="n">
        <f aca="false">D46/(E46+F46)</f>
        <v>7</v>
      </c>
      <c r="K46" s="46" t="n">
        <f aca="false">E46*INDEX('06 LABOUR RATE LIBRARY'!$D$5:$D$100,MATCH(H46,'06 LABOUR RATE LIBRARY'!$A$5:$A$100,0))+F46*INDEX('06 LABOUR RATE LIBRARY'!$D$5:$D$100,MATCH("LAB-HLP",'06 LABOUR RATE LIBRARY'!$A$5:$A$100,0))</f>
        <v>4138</v>
      </c>
      <c r="L46" s="46" t="n">
        <f aca="false">K46/D46</f>
        <v>295.571428571429</v>
      </c>
      <c r="M46" s="5" t="s">
        <v>2721</v>
      </c>
      <c r="N46" s="46" t="n">
        <v>295.93</v>
      </c>
      <c r="O46" s="46" t="n">
        <f aca="false">IF(ISNUMBER(N46),K46/N46,"—")</f>
        <v>13.9830365289089</v>
      </c>
      <c r="P46" s="5" t="n">
        <v>40</v>
      </c>
      <c r="Q46" s="46" t="n">
        <v>103.45</v>
      </c>
      <c r="R46" s="47" t="n">
        <v>-0.65</v>
      </c>
      <c r="S46" s="5" t="s">
        <v>2576</v>
      </c>
    </row>
    <row r="47" customFormat="false" ht="15" hidden="false" customHeight="true" outlineLevel="0" collapsed="false">
      <c r="A47" s="9" t="s">
        <v>2722</v>
      </c>
      <c r="B47" s="9" t="s">
        <v>2723</v>
      </c>
      <c r="C47" s="9" t="s">
        <v>386</v>
      </c>
      <c r="D47" s="44" t="n">
        <v>7.5</v>
      </c>
      <c r="E47" s="45" t="n">
        <v>1</v>
      </c>
      <c r="F47" s="45" t="n">
        <v>1</v>
      </c>
      <c r="G47" s="5" t="s">
        <v>2700</v>
      </c>
      <c r="H47" s="5" t="s">
        <v>1222</v>
      </c>
      <c r="I47" s="5" t="n">
        <f aca="false">IF(E47&gt;0,D47/E47,"—")</f>
        <v>7.5</v>
      </c>
      <c r="J47" s="5" t="n">
        <f aca="false">D47/(E47+F47)</f>
        <v>3.75</v>
      </c>
      <c r="K47" s="46" t="n">
        <f aca="false">E47*INDEX('06 LABOUR RATE LIBRARY'!$D$5:$D$100,MATCH(H47,'06 LABOUR RATE LIBRARY'!$A$5:$A$100,0))+F47*INDEX('06 LABOUR RATE LIBRARY'!$D$5:$D$100,MATCH("LAB-HLP",'06 LABOUR RATE LIBRARY'!$A$5:$A$100,0))</f>
        <v>4138</v>
      </c>
      <c r="L47" s="46" t="n">
        <f aca="false">K47/D47</f>
        <v>551.733333333333</v>
      </c>
      <c r="M47" s="5" t="s">
        <v>2724</v>
      </c>
      <c r="N47" s="46" t="n">
        <v>548.71</v>
      </c>
      <c r="O47" s="46" t="n">
        <f aca="false">IF(ISNUMBER(N47),K47/N47,"—")</f>
        <v>7.54132419675238</v>
      </c>
      <c r="P47" s="5" t="n">
        <v>40</v>
      </c>
      <c r="Q47" s="46" t="n">
        <v>103.45</v>
      </c>
      <c r="R47" s="47" t="n">
        <v>-0.811</v>
      </c>
      <c r="S47" s="5" t="s">
        <v>2576</v>
      </c>
    </row>
    <row r="48" customFormat="false" ht="15" hidden="false" customHeight="true" outlineLevel="0" collapsed="false">
      <c r="A48" s="9" t="s">
        <v>2725</v>
      </c>
      <c r="B48" s="9" t="s">
        <v>2726</v>
      </c>
      <c r="C48" s="9" t="s">
        <v>368</v>
      </c>
      <c r="D48" s="44" t="n">
        <v>5.8</v>
      </c>
      <c r="E48" s="45" t="n">
        <v>1</v>
      </c>
      <c r="F48" s="45" t="n">
        <v>1</v>
      </c>
      <c r="G48" s="5" t="s">
        <v>2727</v>
      </c>
      <c r="H48" s="5" t="s">
        <v>1222</v>
      </c>
      <c r="I48" s="5" t="n">
        <f aca="false">IF(E48&gt;0,D48/E48,"—")</f>
        <v>5.8</v>
      </c>
      <c r="J48" s="5" t="n">
        <f aca="false">D48/(E48+F48)</f>
        <v>2.9</v>
      </c>
      <c r="K48" s="46" t="n">
        <f aca="false">E48*INDEX('06 LABOUR RATE LIBRARY'!$D$5:$D$100,MATCH(H48,'06 LABOUR RATE LIBRARY'!$A$5:$A$100,0))+F48*INDEX('06 LABOUR RATE LIBRARY'!$D$5:$D$100,MATCH("LAB-HLP",'06 LABOUR RATE LIBRARY'!$A$5:$A$100,0))</f>
        <v>4138</v>
      </c>
      <c r="L48" s="46" t="n">
        <f aca="false">K48/D48</f>
        <v>713.448275862069</v>
      </c>
      <c r="M48" s="5" t="s">
        <v>2728</v>
      </c>
      <c r="N48" s="46" t="n">
        <v>709</v>
      </c>
      <c r="O48" s="46" t="n">
        <f aca="false">IF(ISNUMBER(N48),K48/N48,"—")</f>
        <v>5.83638928067701</v>
      </c>
      <c r="P48" s="5" t="n">
        <v>10</v>
      </c>
      <c r="Q48" s="46" t="n">
        <v>413.8</v>
      </c>
      <c r="R48" s="47" t="n">
        <v>-0.416</v>
      </c>
      <c r="S48" s="5" t="s">
        <v>2576</v>
      </c>
    </row>
    <row r="49" customFormat="false" ht="15" hidden="false" customHeight="true" outlineLevel="0" collapsed="false">
      <c r="A49" s="9" t="s">
        <v>2729</v>
      </c>
      <c r="B49" s="9" t="s">
        <v>2730</v>
      </c>
      <c r="C49" s="9" t="s">
        <v>368</v>
      </c>
      <c r="D49" s="44" t="n">
        <v>0.83</v>
      </c>
      <c r="E49" s="45" t="n">
        <v>1</v>
      </c>
      <c r="F49" s="45" t="n">
        <v>1</v>
      </c>
      <c r="G49" s="5" t="s">
        <v>2731</v>
      </c>
      <c r="H49" s="5" t="s">
        <v>1134</v>
      </c>
      <c r="I49" s="5" t="n">
        <f aca="false">IF(E49&gt;0,D49/E49,"—")</f>
        <v>0.83</v>
      </c>
      <c r="J49" s="5" t="n">
        <f aca="false">D49/(E49+F49)</f>
        <v>0.415</v>
      </c>
      <c r="K49" s="46" t="n">
        <f aca="false">E49*INDEX('06 LABOUR RATE LIBRARY'!$D$5:$D$100,MATCH(H49,'06 LABOUR RATE LIBRARY'!$A$5:$A$100,0))+F49*INDEX('06 LABOUR RATE LIBRARY'!$D$5:$D$100,MATCH("LAB-HLP",'06 LABOUR RATE LIBRARY'!$A$5:$A$100,0))</f>
        <v>4138</v>
      </c>
      <c r="L49" s="46" t="n">
        <f aca="false">K49/D49</f>
        <v>4985.5421686747</v>
      </c>
      <c r="M49" s="5" t="s">
        <v>2732</v>
      </c>
      <c r="N49" s="46" t="n">
        <v>4963.03</v>
      </c>
      <c r="O49" s="46" t="n">
        <f aca="false">IF(ISNUMBER(N49),K49/N49,"—")</f>
        <v>0.833764857355285</v>
      </c>
      <c r="P49" s="5" t="n">
        <v>2</v>
      </c>
      <c r="Q49" s="46" t="n">
        <v>2069</v>
      </c>
      <c r="R49" s="47" t="n">
        <v>-0.583</v>
      </c>
      <c r="S49" s="5" t="s">
        <v>2576</v>
      </c>
    </row>
    <row r="50" customFormat="false" ht="15" hidden="false" customHeight="true" outlineLevel="0" collapsed="false">
      <c r="A50" s="9" t="s">
        <v>2733</v>
      </c>
      <c r="B50" s="9" t="s">
        <v>2734</v>
      </c>
      <c r="C50" s="9" t="s">
        <v>368</v>
      </c>
      <c r="D50" s="44" t="n">
        <v>0.9</v>
      </c>
      <c r="E50" s="45" t="n">
        <v>1</v>
      </c>
      <c r="F50" s="45" t="n">
        <v>1</v>
      </c>
      <c r="G50" s="5" t="s">
        <v>2700</v>
      </c>
      <c r="H50" s="5" t="s">
        <v>1134</v>
      </c>
      <c r="I50" s="5" t="n">
        <f aca="false">IF(E50&gt;0,D50/E50,"—")</f>
        <v>0.9</v>
      </c>
      <c r="J50" s="5" t="n">
        <f aca="false">D50/(E50+F50)</f>
        <v>0.45</v>
      </c>
      <c r="K50" s="46" t="n">
        <f aca="false">E50*INDEX('06 LABOUR RATE LIBRARY'!$D$5:$D$100,MATCH(H50,'06 LABOUR RATE LIBRARY'!$A$5:$A$100,0))+F50*INDEX('06 LABOUR RATE LIBRARY'!$D$5:$D$100,MATCH("LAB-HLP",'06 LABOUR RATE LIBRARY'!$A$5:$A$100,0))</f>
        <v>4138</v>
      </c>
      <c r="L50" s="46" t="n">
        <f aca="false">K50/D50</f>
        <v>4597.77777777778</v>
      </c>
      <c r="M50" s="5" t="s">
        <v>2735</v>
      </c>
      <c r="N50" s="46" t="n">
        <v>4608.47</v>
      </c>
      <c r="O50" s="46" t="n">
        <f aca="false">IF(ISNUMBER(N50),K50/N50,"—")</f>
        <v>0.897911888327362</v>
      </c>
      <c r="P50" s="5" t="n">
        <v>2</v>
      </c>
      <c r="Q50" s="46" t="n">
        <v>2069</v>
      </c>
      <c r="R50" s="47" t="n">
        <v>-0.551</v>
      </c>
      <c r="S50" s="5" t="s">
        <v>2576</v>
      </c>
    </row>
    <row r="51" customFormat="false" ht="15" hidden="false" customHeight="true" outlineLevel="0" collapsed="false">
      <c r="A51" s="9" t="s">
        <v>2736</v>
      </c>
      <c r="B51" s="9" t="s">
        <v>558</v>
      </c>
      <c r="C51" s="9" t="s">
        <v>212</v>
      </c>
      <c r="D51" s="44" t="n">
        <v>74</v>
      </c>
      <c r="E51" s="45" t="n">
        <v>1</v>
      </c>
      <c r="F51" s="45" t="n">
        <v>1</v>
      </c>
      <c r="G51" s="5" t="s">
        <v>2737</v>
      </c>
      <c r="H51" s="5" t="s">
        <v>1302</v>
      </c>
      <c r="I51" s="5" t="n">
        <f aca="false">IF(E51&gt;0,D51/E51,"—")</f>
        <v>74</v>
      </c>
      <c r="J51" s="5" t="n">
        <f aca="false">D51/(E51+F51)</f>
        <v>37</v>
      </c>
      <c r="K51" s="46" t="n">
        <f aca="false">E51*INDEX('06 LABOUR RATE LIBRARY'!$D$5:$D$100,MATCH(H51,'06 LABOUR RATE LIBRARY'!$A$5:$A$100,0))+F51*INDEX('06 LABOUR RATE LIBRARY'!$D$5:$D$100,MATCH("LAB-HLP",'06 LABOUR RATE LIBRARY'!$A$5:$A$100,0))</f>
        <v>4338</v>
      </c>
      <c r="L51" s="46" t="n">
        <f aca="false">K51/D51</f>
        <v>58.6216216216216</v>
      </c>
      <c r="M51" s="5" t="s">
        <v>2738</v>
      </c>
      <c r="N51" s="46" t="n">
        <v>58.47</v>
      </c>
      <c r="O51" s="46" t="n">
        <f aca="false">IF(ISNUMBER(N51),K51/N51,"—")</f>
        <v>74.1918932786044</v>
      </c>
      <c r="P51" s="5" t="n">
        <v>150</v>
      </c>
      <c r="Q51" s="46" t="n">
        <v>28.92</v>
      </c>
      <c r="R51" s="47" t="n">
        <v>-0.505</v>
      </c>
      <c r="S51" s="5" t="s">
        <v>2576</v>
      </c>
    </row>
    <row r="52" customFormat="false" ht="15" hidden="false" customHeight="true" outlineLevel="0" collapsed="false">
      <c r="A52" s="9" t="s">
        <v>2739</v>
      </c>
      <c r="B52" s="9" t="s">
        <v>2740</v>
      </c>
      <c r="C52" s="9" t="s">
        <v>212</v>
      </c>
      <c r="D52" s="44" t="n">
        <v>50</v>
      </c>
      <c r="E52" s="45" t="n">
        <v>1</v>
      </c>
      <c r="F52" s="45" t="n">
        <v>1</v>
      </c>
      <c r="G52" s="5" t="s">
        <v>2741</v>
      </c>
      <c r="H52" s="5" t="s">
        <v>1302</v>
      </c>
      <c r="I52" s="5" t="n">
        <f aca="false">IF(E52&gt;0,D52/E52,"—")</f>
        <v>50</v>
      </c>
      <c r="J52" s="5" t="n">
        <f aca="false">D52/(E52+F52)</f>
        <v>25</v>
      </c>
      <c r="K52" s="46" t="n">
        <f aca="false">E52*INDEX('06 LABOUR RATE LIBRARY'!$D$5:$D$100,MATCH(H52,'06 LABOUR RATE LIBRARY'!$A$5:$A$100,0))+F52*INDEX('06 LABOUR RATE LIBRARY'!$D$5:$D$100,MATCH("LAB-HLP",'06 LABOUR RATE LIBRARY'!$A$5:$A$100,0))</f>
        <v>4338</v>
      </c>
      <c r="L52" s="46" t="n">
        <f aca="false">K52/D52</f>
        <v>86.76</v>
      </c>
      <c r="M52" s="5" t="s">
        <v>2742</v>
      </c>
      <c r="N52" s="46" t="n">
        <v>81.13</v>
      </c>
      <c r="O52" s="46" t="n">
        <f aca="false">IF(ISNUMBER(N52),K52/N52,"—")</f>
        <v>53.4697399235794</v>
      </c>
      <c r="P52" s="5" t="n">
        <v>50</v>
      </c>
      <c r="Q52" s="46" t="n">
        <v>86.76</v>
      </c>
      <c r="R52" s="47" t="n">
        <v>0.069</v>
      </c>
      <c r="S52" s="5" t="s">
        <v>2571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30"/>
    <col collapsed="false" customWidth="true" hidden="false" outlineLevel="0" max="4" min="4" style="1" width="22"/>
  </cols>
  <sheetData>
    <row r="1" customFormat="false" ht="15.75" hidden="false" customHeight="true" outlineLevel="0" collapsed="false">
      <c r="A1" s="2" t="s">
        <v>2743</v>
      </c>
    </row>
    <row r="2" customFormat="false" ht="15" hidden="false" customHeight="true" outlineLevel="0" collapsed="false">
      <c r="A2" s="3" t="s">
        <v>2744</v>
      </c>
    </row>
    <row r="4" customFormat="false" ht="15" hidden="false" customHeight="true" outlineLevel="0" collapsed="false">
      <c r="A4" s="12" t="s">
        <v>2745</v>
      </c>
      <c r="B4" s="12" t="s">
        <v>2746</v>
      </c>
      <c r="C4" s="12" t="s">
        <v>2747</v>
      </c>
      <c r="D4" s="12" t="s">
        <v>72</v>
      </c>
    </row>
    <row r="5" customFormat="false" ht="15" hidden="false" customHeight="true" outlineLevel="0" collapsed="false">
      <c r="A5" s="9" t="n">
        <v>1</v>
      </c>
      <c r="B5" s="9" t="s">
        <v>2748</v>
      </c>
      <c r="C5" s="10" t="n">
        <f aca="false">COUNTA('03 MASTER RATE LIBRARY'!A5:A400)</f>
        <v>160</v>
      </c>
      <c r="D5" s="9" t="s">
        <v>2749</v>
      </c>
    </row>
    <row r="6" customFormat="false" ht="15" hidden="false" customHeight="true" outlineLevel="0" collapsed="false">
      <c r="A6" s="9" t="n">
        <v>2</v>
      </c>
      <c r="B6" s="9" t="s">
        <v>2750</v>
      </c>
      <c r="C6" s="10" t="n">
        <f aca="false">COUNTIF('03 MASTER RATE LIBRARY'!W5:W400,"&gt;0")</f>
        <v>34</v>
      </c>
      <c r="D6" s="15" t="str">
        <f aca="false">IF(C6=0,"OK","FILL RED INPUTS")</f>
        <v>FILL RED INPUTS</v>
      </c>
    </row>
    <row r="7" customFormat="false" ht="15" hidden="false" customHeight="true" outlineLevel="0" collapsed="false">
      <c r="A7" s="9" t="n">
        <v>3</v>
      </c>
      <c r="B7" s="9" t="s">
        <v>2751</v>
      </c>
      <c r="C7" s="10" t="n">
        <f aca="false">COUNTIFS('03 MASTER RATE LIBRARY'!S5:S400,"&lt;=0",'03 MASTER RATE LIBRARY'!W5:W400,0)</f>
        <v>0</v>
      </c>
      <c r="D7" s="15" t="str">
        <f aca="false">IF(C7=0,"OK","ERROR")</f>
        <v>OK</v>
      </c>
    </row>
    <row r="8" customFormat="false" ht="15" hidden="false" customHeight="true" outlineLevel="0" collapsed="false">
      <c r="A8" s="9" t="n">
        <v>4</v>
      </c>
      <c r="B8" s="9" t="s">
        <v>2752</v>
      </c>
      <c r="C8" s="10" t="n">
        <f aca="false">COUNTIF('03 MASTER RATE LIBRARY'!AB5:AB400,"DUPLICATE")</f>
        <v>0</v>
      </c>
      <c r="D8" s="15" t="str">
        <f aca="false">IF(C8=0,"OK","ERROR")</f>
        <v>OK</v>
      </c>
    </row>
    <row r="9" customFormat="false" ht="15" hidden="false" customHeight="true" outlineLevel="0" collapsed="false">
      <c r="A9" s="9" t="n">
        <v>5</v>
      </c>
      <c r="B9" s="9" t="s">
        <v>2753</v>
      </c>
      <c r="C9" s="10" t="n">
        <f aca="false">COUNTIFS('03 MASTER RATE LIBRARY'!A5:A400,"?*",'03 MASTER RATE LIBRARY'!G5:G400,"")</f>
        <v>0</v>
      </c>
      <c r="D9" s="15" t="str">
        <f aca="false">IF(C9=0,"OK","ERROR")</f>
        <v>OK</v>
      </c>
    </row>
    <row r="10" customFormat="false" ht="15" hidden="false" customHeight="true" outlineLevel="0" collapsed="false">
      <c r="A10" s="9" t="n">
        <v>6</v>
      </c>
      <c r="B10" s="9" t="s">
        <v>2754</v>
      </c>
      <c r="C10" s="10" t="n">
        <f aca="false">COUNTIF('05 MATERIAL RATE LIBRARY'!M5:M400,0)+COUNTIF('05 MATERIAL RATE LIBRARY'!M5:M400,2)</f>
        <v>13</v>
      </c>
      <c r="D10" s="15" t="str">
        <f aca="false">IF(C10=0,"OK","FILL RED INPUTS")</f>
        <v>FILL RED INPUTS</v>
      </c>
    </row>
    <row r="11" customFormat="false" ht="15" hidden="false" customHeight="true" outlineLevel="0" collapsed="false">
      <c r="A11" s="9" t="n">
        <v>7</v>
      </c>
      <c r="B11" s="9" t="s">
        <v>2755</v>
      </c>
      <c r="C11" s="10" t="n">
        <f aca="false">COUNTIF('06 LABOUR RATE LIBRARY'!L5:L100,0)</f>
        <v>0</v>
      </c>
      <c r="D11" s="15" t="str">
        <f aca="false">IF(C11=0,"OK","FILL RED INPUTS")</f>
        <v>OK</v>
      </c>
    </row>
    <row r="12" customFormat="false" ht="15" hidden="false" customHeight="true" outlineLevel="0" collapsed="false">
      <c r="A12" s="9" t="n">
        <v>8</v>
      </c>
      <c r="B12" s="9" t="s">
        <v>2756</v>
      </c>
      <c r="C12" s="10" t="n">
        <f aca="false">COUNTIF('07 EQUIPMENT RATE LIBRARY'!H5:H100,0)</f>
        <v>0</v>
      </c>
      <c r="D12" s="15" t="str">
        <f aca="false">IF(C12=0,"OK","FILL RED INPUTS")</f>
        <v>OK</v>
      </c>
    </row>
    <row r="13" customFormat="false" ht="15" hidden="false" customHeight="true" outlineLevel="0" collapsed="false">
      <c r="A13" s="9" t="n">
        <v>9</v>
      </c>
      <c r="B13" s="9" t="s">
        <v>2757</v>
      </c>
      <c r="C13" s="10" t="n">
        <f aca="false">COUNTIF('15 MIX DESIGN LIBRARY'!K:K,"Σ ≠ lab density")</f>
        <v>0</v>
      </c>
      <c r="D13" s="15" t="str">
        <f aca="false">IF(C13=0,"OK","CHECK TRANSCRIPTION")</f>
        <v>OK</v>
      </c>
    </row>
    <row r="14" customFormat="false" ht="15" hidden="false" customHeight="true" outlineLevel="0" collapsed="false">
      <c r="A14" s="9" t="n">
        <v>10</v>
      </c>
      <c r="B14" s="9" t="s">
        <v>2758</v>
      </c>
      <c r="C14" s="10" t="n">
        <f aca="false">IF(AND(ISNUMBER(OH_Site),ISNUMBER(OH_HO)),1,0)</f>
        <v>1</v>
      </c>
      <c r="D14" s="15" t="str">
        <f aca="false">IF(C14=1,"OK","MISSING")</f>
        <v>OK</v>
      </c>
    </row>
    <row r="15" customFormat="false" ht="15" hidden="false" customHeight="true" outlineLevel="0" collapsed="false">
      <c r="A15" s="9" t="n">
        <v>11</v>
      </c>
      <c r="B15" s="9" t="s">
        <v>2759</v>
      </c>
      <c r="C15" s="10" t="n">
        <f aca="false">IF(ISNUMBER(Profit),1,0)</f>
        <v>1</v>
      </c>
      <c r="D15" s="15" t="str">
        <f aca="false">IF(C15=1,"OK","MISSING")</f>
        <v>OK</v>
      </c>
    </row>
    <row r="16" customFormat="false" ht="15" hidden="false" customHeight="true" outlineLevel="0" collapsed="false">
      <c r="A16" s="9" t="n">
        <v>12</v>
      </c>
      <c r="B16" s="9" t="s">
        <v>2760</v>
      </c>
      <c r="C16" s="10" t="n">
        <f aca="false">IF(AND(Tax_On="Yes",NOT(ISNUMBER(Tax_Rate))),1,0)</f>
        <v>0</v>
      </c>
      <c r="D16" s="15" t="str">
        <f aca="false">IF(C16=0,"OK","ENTER Tax_Rate")</f>
        <v>OK</v>
      </c>
    </row>
    <row r="17" customFormat="false" ht="15" hidden="false" customHeight="true" outlineLevel="0" collapsed="false">
      <c r="A17" s="9" t="n">
        <v>13</v>
      </c>
      <c r="B17" s="9" t="s">
        <v>2761</v>
      </c>
      <c r="C17" s="10" t="s">
        <v>2762</v>
      </c>
      <c r="D17" s="9" t="s">
        <v>2749</v>
      </c>
    </row>
    <row r="18" customFormat="false" ht="15" hidden="false" customHeight="true" outlineLevel="0" collapsed="false">
      <c r="A18" s="9" t="n">
        <v>14</v>
      </c>
      <c r="B18" s="9" t="s">
        <v>2763</v>
      </c>
      <c r="C18" s="10" t="n">
        <f aca="false">COUNTIF('13 PRODUCTIVITY LIBRARY'!S5:S100,"ASSUMPTION*")</f>
        <v>8</v>
      </c>
      <c r="D18" s="9" t="s">
        <v>2749</v>
      </c>
    </row>
    <row r="19" customFormat="false" ht="15" hidden="false" customHeight="true" outlineLevel="0" collapsed="false">
      <c r="A19" s="9" t="n">
        <v>15</v>
      </c>
      <c r="B19" s="9" t="s">
        <v>2764</v>
      </c>
      <c r="C19" s="10" t="n">
        <f aca="false">COUNTIF('13 PRODUCTIVITY LIBRARY'!S5:S100,"Corrected*")</f>
        <v>27</v>
      </c>
      <c r="D19" s="9" t="s">
        <v>2749</v>
      </c>
    </row>
    <row r="20" customFormat="false" ht="27.75" hidden="false" customHeight="true" outlineLevel="0" collapsed="false">
      <c r="A20" s="9" t="n">
        <v>16</v>
      </c>
      <c r="B20" s="9" t="s">
        <v>2765</v>
      </c>
      <c r="C20" s="10" t="n">
        <f aca="false">COUNTIF('18 DASHBOARD RECONCILIATION'!N5:N400,"OK")</f>
        <v>160</v>
      </c>
      <c r="D20" s="9" t="s">
        <v>2749</v>
      </c>
    </row>
    <row r="21" customFormat="false" ht="27.75" hidden="false" customHeight="true" outlineLevel="0" collapsed="false">
      <c r="A21" s="9" t="n">
        <v>17</v>
      </c>
      <c r="B21" s="9" t="s">
        <v>2766</v>
      </c>
      <c r="C21" s="10" t="n">
        <f aca="false">COUNTIF('18 DASHBOARD RECONCILIATION'!N5:N400,"CHECK*")</f>
        <v>0</v>
      </c>
      <c r="D21" s="9" t="str">
        <f aca="false">IF(C21=0,"OK","CHECK 18")</f>
        <v>OK</v>
      </c>
    </row>
    <row r="22" customFormat="false" ht="27.75" hidden="false" customHeight="true" outlineLevel="0" collapsed="false"/>
    <row r="23" customFormat="false" ht="27.75" hidden="false" customHeight="true" outlineLevel="0" collapsed="false">
      <c r="B23" s="41" t="s">
        <v>2767</v>
      </c>
    </row>
    <row r="24" customFormat="false" ht="27.75" hidden="false" customHeight="true" outlineLevel="0" collapsed="false">
      <c r="B24" s="42" t="s">
        <v>2768</v>
      </c>
      <c r="C24" s="42"/>
      <c r="D24" s="42"/>
    </row>
    <row r="25" customFormat="false" ht="27.75" hidden="false" customHeight="true" outlineLevel="0" collapsed="false">
      <c r="B25" s="42" t="s">
        <v>2769</v>
      </c>
      <c r="C25" s="42"/>
      <c r="D25" s="42"/>
    </row>
    <row r="26" customFormat="false" ht="27.75" hidden="false" customHeight="true" outlineLevel="0" collapsed="false">
      <c r="B26" s="42" t="s">
        <v>2770</v>
      </c>
      <c r="C26" s="42"/>
      <c r="D26" s="42"/>
    </row>
    <row r="27" customFormat="false" ht="27.75" hidden="false" customHeight="true" outlineLevel="0" collapsed="false">
      <c r="B27" s="42" t="s">
        <v>2771</v>
      </c>
      <c r="C27" s="42"/>
      <c r="D27" s="42"/>
    </row>
    <row r="28" customFormat="false" ht="15" hidden="false" customHeight="true" outlineLevel="0" collapsed="false">
      <c r="B28" s="42" t="s">
        <v>2772</v>
      </c>
      <c r="C28" s="42"/>
      <c r="D28" s="42"/>
    </row>
    <row r="29" customFormat="false" ht="15" hidden="false" customHeight="true" outlineLevel="0" collapsed="false">
      <c r="B29" s="42" t="s">
        <v>2773</v>
      </c>
      <c r="C29" s="42"/>
      <c r="D29" s="42"/>
    </row>
    <row r="30" customFormat="false" ht="15" hidden="false" customHeight="true" outlineLevel="0" collapsed="false">
      <c r="B30" s="42" t="s">
        <v>2774</v>
      </c>
      <c r="C30" s="42"/>
      <c r="D30" s="42"/>
    </row>
    <row r="31" customFormat="false" ht="15" hidden="false" customHeight="true" outlineLevel="0" collapsed="false">
      <c r="B31" s="42" t="s">
        <v>2775</v>
      </c>
      <c r="C31" s="42"/>
      <c r="D31" s="42"/>
    </row>
  </sheetData>
  <mergeCells count="8">
    <mergeCell ref="B24:D24"/>
    <mergeCell ref="B25:D25"/>
    <mergeCell ref="B26:D26"/>
    <mergeCell ref="B27:D27"/>
    <mergeCell ref="B28:D28"/>
    <mergeCell ref="B29:D29"/>
    <mergeCell ref="B30:D30"/>
    <mergeCell ref="B31:D31"/>
  </mergeCells>
  <conditionalFormatting sqref="D5:D17">
    <cfRule type="expression" priority="2" aboveAverage="0" equalAverage="0" bottom="0" percent="0" rank="0" text="" dxfId="7">
      <formula>AND(D5&lt;&gt;"OK",D5&lt;&gt;"info")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34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60"/>
  </cols>
  <sheetData>
    <row r="1" customFormat="false" ht="15.75" hidden="false" customHeight="true" outlineLevel="0" collapsed="false">
      <c r="A1" s="2" t="s">
        <v>2776</v>
      </c>
    </row>
    <row r="2" customFormat="false" ht="15" hidden="false" customHeight="true" outlineLevel="0" collapsed="false">
      <c r="A2" s="3" t="s">
        <v>2777</v>
      </c>
    </row>
    <row r="4" customFormat="false" ht="21.75" hidden="false" customHeight="true" outlineLevel="0" collapsed="false">
      <c r="A4" s="12" t="s">
        <v>2778</v>
      </c>
      <c r="B4" s="12" t="s">
        <v>2779</v>
      </c>
      <c r="C4" s="12" t="s">
        <v>2780</v>
      </c>
      <c r="D4" s="12" t="s">
        <v>2781</v>
      </c>
      <c r="E4" s="12" t="s">
        <v>82</v>
      </c>
      <c r="F4" s="12" t="s">
        <v>2782</v>
      </c>
      <c r="G4" s="12" t="s">
        <v>2783</v>
      </c>
      <c r="H4" s="12" t="s">
        <v>2784</v>
      </c>
      <c r="I4" s="12" t="s">
        <v>2474</v>
      </c>
      <c r="J4" s="12" t="s">
        <v>2785</v>
      </c>
      <c r="K4" s="12" t="s">
        <v>2786</v>
      </c>
      <c r="L4" s="12" t="s">
        <v>2787</v>
      </c>
    </row>
    <row r="5" customFormat="false" ht="15" hidden="false" customHeight="true" outlineLevel="0" collapsed="false">
      <c r="A5" s="9" t="s">
        <v>2788</v>
      </c>
      <c r="B5" s="9" t="s">
        <v>106</v>
      </c>
      <c r="C5" s="5" t="s">
        <v>2789</v>
      </c>
      <c r="D5" s="9" t="s">
        <v>2790</v>
      </c>
      <c r="E5" s="9" t="s">
        <v>2791</v>
      </c>
      <c r="F5" s="9" t="s">
        <v>800</v>
      </c>
      <c r="G5" s="44" t="s">
        <v>799</v>
      </c>
      <c r="H5" s="35" t="n">
        <v>550</v>
      </c>
      <c r="I5" s="48" t="n">
        <f aca="false">H5/Batch_cft</f>
        <v>15.5741186464675</v>
      </c>
      <c r="J5" s="18" t="n">
        <f aca="false">I5/Bag_kg</f>
        <v>0.31148237292935</v>
      </c>
      <c r="K5" s="9" t="s">
        <v>801</v>
      </c>
      <c r="L5" s="9"/>
    </row>
    <row r="6" customFormat="false" ht="15" hidden="false" customHeight="true" outlineLevel="0" collapsed="false">
      <c r="A6" s="9" t="s">
        <v>2788</v>
      </c>
      <c r="B6" s="9" t="s">
        <v>106</v>
      </c>
      <c r="C6" s="5" t="s">
        <v>2789</v>
      </c>
      <c r="D6" s="9" t="s">
        <v>2790</v>
      </c>
      <c r="E6" s="9" t="s">
        <v>2791</v>
      </c>
      <c r="F6" s="9" t="s">
        <v>803</v>
      </c>
      <c r="G6" s="44" t="s">
        <v>802</v>
      </c>
      <c r="H6" s="35" t="n">
        <v>418.6</v>
      </c>
      <c r="I6" s="48" t="n">
        <f aca="false">H6/Batch_cft</f>
        <v>11.8533201189296</v>
      </c>
      <c r="J6" s="18" t="n">
        <f aca="false">I6/Dens_Crush</f>
        <v>0.278901649857168</v>
      </c>
      <c r="K6" s="9" t="s">
        <v>109</v>
      </c>
      <c r="L6" s="9"/>
    </row>
    <row r="7" customFormat="false" ht="15" hidden="false" customHeight="true" outlineLevel="0" collapsed="false">
      <c r="A7" s="9" t="s">
        <v>2788</v>
      </c>
      <c r="B7" s="9" t="s">
        <v>106</v>
      </c>
      <c r="C7" s="5" t="s">
        <v>2789</v>
      </c>
      <c r="D7" s="9" t="s">
        <v>2790</v>
      </c>
      <c r="E7" s="9" t="s">
        <v>2791</v>
      </c>
      <c r="F7" s="9" t="s">
        <v>804</v>
      </c>
      <c r="G7" s="44" t="s">
        <v>802</v>
      </c>
      <c r="H7" s="35" t="n">
        <v>627.9</v>
      </c>
      <c r="I7" s="48" t="n">
        <f aca="false">H7/Batch_cft</f>
        <v>17.7799801783945</v>
      </c>
      <c r="J7" s="18" t="n">
        <f aca="false">I7/Dens_Crush</f>
        <v>0.418352474785752</v>
      </c>
      <c r="K7" s="9" t="s">
        <v>109</v>
      </c>
      <c r="L7" s="9"/>
    </row>
    <row r="8" customFormat="false" ht="15" hidden="false" customHeight="true" outlineLevel="0" collapsed="false">
      <c r="A8" s="9" t="s">
        <v>2788</v>
      </c>
      <c r="B8" s="9" t="s">
        <v>106</v>
      </c>
      <c r="C8" s="5" t="s">
        <v>2789</v>
      </c>
      <c r="D8" s="9" t="s">
        <v>2790</v>
      </c>
      <c r="E8" s="9" t="s">
        <v>2791</v>
      </c>
      <c r="F8" s="9" t="s">
        <v>806</v>
      </c>
      <c r="G8" s="44" t="s">
        <v>805</v>
      </c>
      <c r="H8" s="35" t="n">
        <v>647.7</v>
      </c>
      <c r="I8" s="48" t="n">
        <f aca="false">H8/Batch_cft</f>
        <v>18.3406484496673</v>
      </c>
      <c r="J8" s="18" t="n">
        <f aca="false">I8/Dens_Sand</f>
        <v>0.407569965548162</v>
      </c>
      <c r="K8" s="9" t="s">
        <v>109</v>
      </c>
      <c r="L8" s="9"/>
    </row>
    <row r="9" customFormat="false" ht="15" hidden="false" customHeight="true" outlineLevel="0" collapsed="false">
      <c r="A9" s="9" t="s">
        <v>2788</v>
      </c>
      <c r="B9" s="9" t="s">
        <v>106</v>
      </c>
      <c r="C9" s="5" t="s">
        <v>2789</v>
      </c>
      <c r="D9" s="9" t="s">
        <v>2790</v>
      </c>
      <c r="E9" s="9" t="s">
        <v>2791</v>
      </c>
      <c r="F9" s="9" t="s">
        <v>808</v>
      </c>
      <c r="G9" s="44" t="s">
        <v>807</v>
      </c>
      <c r="H9" s="35" t="n">
        <v>7.69</v>
      </c>
      <c r="I9" s="48" t="n">
        <f aca="false">H9/Batch_cft</f>
        <v>0.217754495256973</v>
      </c>
      <c r="J9" s="18" t="n">
        <f aca="false">I9</f>
        <v>0.217754495256973</v>
      </c>
      <c r="K9" s="9" t="s">
        <v>198</v>
      </c>
      <c r="L9" s="9"/>
    </row>
    <row r="10" customFormat="false" ht="15" hidden="false" customHeight="true" outlineLevel="0" collapsed="false">
      <c r="A10" s="9" t="s">
        <v>2788</v>
      </c>
      <c r="B10" s="9" t="s">
        <v>106</v>
      </c>
      <c r="C10" s="5" t="s">
        <v>2789</v>
      </c>
      <c r="D10" s="9" t="s">
        <v>2790</v>
      </c>
      <c r="E10" s="9" t="s">
        <v>2791</v>
      </c>
      <c r="F10" s="9" t="s">
        <v>810</v>
      </c>
      <c r="G10" s="44" t="s">
        <v>809</v>
      </c>
      <c r="H10" s="35" t="n">
        <v>187</v>
      </c>
      <c r="I10" s="48" t="n">
        <f aca="false">H10/Batch_cft</f>
        <v>5.29520033979895</v>
      </c>
      <c r="J10" s="18" t="n">
        <f aca="false">I10</f>
        <v>5.29520033979895</v>
      </c>
      <c r="K10" s="9" t="s">
        <v>811</v>
      </c>
      <c r="L10" s="9"/>
    </row>
    <row r="11" customFormat="false" ht="36" hidden="false" customHeight="true" outlineLevel="0" collapsed="false">
      <c r="F11" s="24" t="s">
        <v>2792</v>
      </c>
      <c r="H11" s="14" t="n">
        <f aca="false">SUM(H5:H10)</f>
        <v>2438.89</v>
      </c>
      <c r="I11" s="49" t="n">
        <f aca="false">H10/H5</f>
        <v>0.34</v>
      </c>
      <c r="J11" s="50" t="n">
        <v>2439</v>
      </c>
      <c r="K11" s="22" t="str">
        <f aca="false">IF(ISNUMBER(J11),IF(ABS(H11-J11)&lt;=2,"Σ = lab density ✓","Σ ≠ lab density"),"—")</f>
        <v>Σ = lab density ✓</v>
      </c>
      <c r="L11" s="42" t="s">
        <v>115</v>
      </c>
    </row>
    <row r="13" customFormat="false" ht="15" hidden="false" customHeight="true" outlineLevel="0" collapsed="false">
      <c r="A13" s="9" t="s">
        <v>2793</v>
      </c>
      <c r="B13" s="9" t="s">
        <v>118</v>
      </c>
      <c r="C13" s="5" t="s">
        <v>2794</v>
      </c>
      <c r="D13" s="9" t="s">
        <v>2795</v>
      </c>
      <c r="E13" s="9" t="s">
        <v>2795</v>
      </c>
      <c r="F13" s="9" t="s">
        <v>800</v>
      </c>
      <c r="G13" s="44" t="s">
        <v>799</v>
      </c>
      <c r="H13" s="35" t="n">
        <v>200</v>
      </c>
      <c r="I13" s="48" t="n">
        <f aca="false">H13/Batch_cft</f>
        <v>5.66331587144273</v>
      </c>
      <c r="J13" s="18" t="n">
        <f aca="false">I13/Bag_kg</f>
        <v>0.113266317428855</v>
      </c>
      <c r="K13" s="9" t="s">
        <v>801</v>
      </c>
      <c r="L13" s="9"/>
    </row>
    <row r="14" customFormat="false" ht="15" hidden="false" customHeight="true" outlineLevel="0" collapsed="false">
      <c r="A14" s="9" t="s">
        <v>2793</v>
      </c>
      <c r="B14" s="9" t="s">
        <v>118</v>
      </c>
      <c r="C14" s="5" t="s">
        <v>2794</v>
      </c>
      <c r="D14" s="9" t="s">
        <v>2795</v>
      </c>
      <c r="E14" s="9" t="s">
        <v>2795</v>
      </c>
      <c r="F14" s="9" t="s">
        <v>840</v>
      </c>
      <c r="G14" s="44" t="s">
        <v>839</v>
      </c>
      <c r="H14" s="35" t="n">
        <v>650</v>
      </c>
      <c r="I14" s="48" t="n">
        <f aca="false">H14/Batch_cft</f>
        <v>18.4057765821889</v>
      </c>
      <c r="J14" s="18" t="n">
        <f aca="false">I14/Dens_Crush</f>
        <v>0.433077096051503</v>
      </c>
      <c r="K14" s="9" t="s">
        <v>109</v>
      </c>
      <c r="L14" s="9"/>
    </row>
    <row r="15" customFormat="false" ht="15" hidden="false" customHeight="true" outlineLevel="0" collapsed="false">
      <c r="A15" s="9" t="s">
        <v>2793</v>
      </c>
      <c r="B15" s="9" t="s">
        <v>118</v>
      </c>
      <c r="C15" s="5" t="s">
        <v>2794</v>
      </c>
      <c r="D15" s="9" t="s">
        <v>2795</v>
      </c>
      <c r="E15" s="9" t="s">
        <v>2795</v>
      </c>
      <c r="F15" s="9" t="s">
        <v>841</v>
      </c>
      <c r="G15" s="44" t="s">
        <v>839</v>
      </c>
      <c r="H15" s="35" t="n">
        <v>420</v>
      </c>
      <c r="I15" s="48" t="n">
        <f aca="false">H15/Batch_cft</f>
        <v>11.8929633300297</v>
      </c>
      <c r="J15" s="18" t="n">
        <f aca="false">I15/Dens_Crush</f>
        <v>0.279834431294817</v>
      </c>
      <c r="K15" s="9" t="s">
        <v>109</v>
      </c>
      <c r="L15" s="9"/>
    </row>
    <row r="16" customFormat="false" ht="15" hidden="false" customHeight="true" outlineLevel="0" collapsed="false">
      <c r="A16" s="9" t="s">
        <v>2793</v>
      </c>
      <c r="B16" s="9" t="s">
        <v>118</v>
      </c>
      <c r="C16" s="5" t="s">
        <v>2794</v>
      </c>
      <c r="D16" s="9" t="s">
        <v>2795</v>
      </c>
      <c r="E16" s="9" t="s">
        <v>2795</v>
      </c>
      <c r="F16" s="9" t="s">
        <v>806</v>
      </c>
      <c r="G16" s="44" t="s">
        <v>805</v>
      </c>
      <c r="H16" s="35" t="n">
        <v>850</v>
      </c>
      <c r="I16" s="48" t="n">
        <f aca="false">H16/Batch_cft</f>
        <v>24.0690924536316</v>
      </c>
      <c r="J16" s="18" t="n">
        <f aca="false">I16/Dens_Sand</f>
        <v>0.534868721191813</v>
      </c>
      <c r="K16" s="9" t="s">
        <v>109</v>
      </c>
      <c r="L16" s="9"/>
    </row>
    <row r="17" customFormat="false" ht="15" hidden="false" customHeight="true" outlineLevel="0" collapsed="false">
      <c r="A17" s="9" t="s">
        <v>2793</v>
      </c>
      <c r="B17" s="9" t="s">
        <v>118</v>
      </c>
      <c r="C17" s="5" t="s">
        <v>2794</v>
      </c>
      <c r="D17" s="9" t="s">
        <v>2795</v>
      </c>
      <c r="E17" s="9" t="s">
        <v>2795</v>
      </c>
      <c r="F17" s="9" t="s">
        <v>842</v>
      </c>
      <c r="G17" s="44" t="s">
        <v>809</v>
      </c>
      <c r="H17" s="35" t="n">
        <v>210</v>
      </c>
      <c r="I17" s="48" t="n">
        <f aca="false">H17/Batch_cft</f>
        <v>5.94648166501487</v>
      </c>
      <c r="J17" s="18" t="n">
        <f aca="false">I17</f>
        <v>5.94648166501487</v>
      </c>
      <c r="K17" s="9" t="s">
        <v>811</v>
      </c>
      <c r="L17" s="9"/>
    </row>
    <row r="18" customFormat="false" ht="36" hidden="false" customHeight="true" outlineLevel="0" collapsed="false">
      <c r="F18" s="24" t="s">
        <v>2792</v>
      </c>
      <c r="H18" s="14" t="n">
        <f aca="false">SUM(H13:H17)</f>
        <v>2330</v>
      </c>
      <c r="I18" s="49" t="n">
        <f aca="false">H17/H13</f>
        <v>1.05</v>
      </c>
      <c r="J18" s="50" t="s">
        <v>2796</v>
      </c>
      <c r="K18" s="22" t="str">
        <f aca="false">IF(ISNUMBER(J18),IF(ABS(H18-J18)&lt;=2,"Σ = lab density ✓","Σ ≠ lab density"),"—")</f>
        <v>—</v>
      </c>
      <c r="L18" s="42" t="s">
        <v>121</v>
      </c>
    </row>
    <row r="20" customFormat="false" ht="15" hidden="false" customHeight="true" outlineLevel="0" collapsed="false">
      <c r="A20" s="9" t="s">
        <v>2797</v>
      </c>
      <c r="B20" s="9" t="s">
        <v>123</v>
      </c>
      <c r="C20" s="5" t="s">
        <v>2798</v>
      </c>
      <c r="D20" s="9" t="s">
        <v>2795</v>
      </c>
      <c r="E20" s="9" t="s">
        <v>2799</v>
      </c>
      <c r="F20" s="9" t="s">
        <v>800</v>
      </c>
      <c r="G20" s="44" t="s">
        <v>799</v>
      </c>
      <c r="H20" s="35" t="n">
        <v>550</v>
      </c>
      <c r="I20" s="48" t="n">
        <f aca="false">H20/Batch_cft</f>
        <v>15.5741186464675</v>
      </c>
      <c r="J20" s="18" t="n">
        <f aca="false">I20/Bag_kg</f>
        <v>0.31148237292935</v>
      </c>
      <c r="K20" s="9" t="s">
        <v>801</v>
      </c>
      <c r="L20" s="9"/>
    </row>
    <row r="21" customFormat="false" ht="15" hidden="false" customHeight="true" outlineLevel="0" collapsed="false">
      <c r="A21" s="9" t="s">
        <v>2797</v>
      </c>
      <c r="B21" s="9" t="s">
        <v>123</v>
      </c>
      <c r="C21" s="5" t="s">
        <v>2798</v>
      </c>
      <c r="D21" s="9" t="s">
        <v>2795</v>
      </c>
      <c r="E21" s="9" t="s">
        <v>2799</v>
      </c>
      <c r="F21" s="9" t="s">
        <v>840</v>
      </c>
      <c r="G21" s="44" t="s">
        <v>839</v>
      </c>
      <c r="H21" s="35" t="n">
        <v>628</v>
      </c>
      <c r="I21" s="48" t="n">
        <f aca="false">H21/Batch_cft</f>
        <v>17.7828118363302</v>
      </c>
      <c r="J21" s="18" t="n">
        <f aca="false">I21/Dens_Crush</f>
        <v>0.418419102031298</v>
      </c>
      <c r="K21" s="9" t="s">
        <v>109</v>
      </c>
      <c r="L21" s="9"/>
    </row>
    <row r="22" customFormat="false" ht="15" hidden="false" customHeight="true" outlineLevel="0" collapsed="false">
      <c r="A22" s="9" t="s">
        <v>2797</v>
      </c>
      <c r="B22" s="9" t="s">
        <v>123</v>
      </c>
      <c r="C22" s="5" t="s">
        <v>2798</v>
      </c>
      <c r="D22" s="9" t="s">
        <v>2795</v>
      </c>
      <c r="E22" s="9" t="s">
        <v>2799</v>
      </c>
      <c r="F22" s="9" t="s">
        <v>841</v>
      </c>
      <c r="G22" s="44" t="s">
        <v>839</v>
      </c>
      <c r="H22" s="35" t="n">
        <v>416</v>
      </c>
      <c r="I22" s="48" t="n">
        <f aca="false">H22/Batch_cft</f>
        <v>11.7796970126009</v>
      </c>
      <c r="J22" s="18" t="n">
        <f aca="false">I22/Dens_Crush</f>
        <v>0.277169341472962</v>
      </c>
      <c r="K22" s="9" t="s">
        <v>109</v>
      </c>
      <c r="L22" s="9"/>
    </row>
    <row r="23" customFormat="false" ht="15" hidden="false" customHeight="true" outlineLevel="0" collapsed="false">
      <c r="A23" s="9" t="s">
        <v>2797</v>
      </c>
      <c r="B23" s="9" t="s">
        <v>123</v>
      </c>
      <c r="C23" s="5" t="s">
        <v>2798</v>
      </c>
      <c r="D23" s="9" t="s">
        <v>2795</v>
      </c>
      <c r="E23" s="9" t="s">
        <v>2799</v>
      </c>
      <c r="F23" s="9" t="s">
        <v>806</v>
      </c>
      <c r="G23" s="44" t="s">
        <v>805</v>
      </c>
      <c r="H23" s="35" t="n">
        <v>590</v>
      </c>
      <c r="I23" s="48" t="n">
        <f aca="false">H23/Batch_cft</f>
        <v>16.7067818207561</v>
      </c>
      <c r="J23" s="18" t="n">
        <f aca="false">I23/Dens_Sand</f>
        <v>0.371261818239023</v>
      </c>
      <c r="K23" s="9" t="s">
        <v>109</v>
      </c>
      <c r="L23" s="9"/>
    </row>
    <row r="24" customFormat="false" ht="15" hidden="false" customHeight="true" outlineLevel="0" collapsed="false">
      <c r="A24" s="9" t="s">
        <v>2797</v>
      </c>
      <c r="B24" s="9" t="s">
        <v>123</v>
      </c>
      <c r="C24" s="5" t="s">
        <v>2798</v>
      </c>
      <c r="D24" s="9" t="s">
        <v>2795</v>
      </c>
      <c r="E24" s="9" t="s">
        <v>2799</v>
      </c>
      <c r="F24" s="9" t="s">
        <v>845</v>
      </c>
      <c r="G24" s="44" t="s">
        <v>807</v>
      </c>
      <c r="H24" s="35" t="n">
        <v>5</v>
      </c>
      <c r="I24" s="48" t="n">
        <f aca="false">H24/Batch_cft</f>
        <v>0.141582896786068</v>
      </c>
      <c r="J24" s="18" t="n">
        <f aca="false">I24</f>
        <v>0.141582896786068</v>
      </c>
      <c r="K24" s="9" t="s">
        <v>198</v>
      </c>
      <c r="L24" s="9"/>
    </row>
    <row r="25" customFormat="false" ht="15" hidden="false" customHeight="true" outlineLevel="0" collapsed="false">
      <c r="A25" s="9" t="s">
        <v>2797</v>
      </c>
      <c r="B25" s="9" t="s">
        <v>123</v>
      </c>
      <c r="C25" s="5" t="s">
        <v>2798</v>
      </c>
      <c r="D25" s="9" t="s">
        <v>2795</v>
      </c>
      <c r="E25" s="9" t="s">
        <v>2799</v>
      </c>
      <c r="F25" s="9" t="s">
        <v>842</v>
      </c>
      <c r="G25" s="44" t="s">
        <v>809</v>
      </c>
      <c r="H25" s="35" t="n">
        <v>212</v>
      </c>
      <c r="I25" s="48" t="n">
        <f aca="false">H25/Batch_cft</f>
        <v>6.00311482372929</v>
      </c>
      <c r="J25" s="18" t="n">
        <f aca="false">I25</f>
        <v>6.00311482372929</v>
      </c>
      <c r="K25" s="9" t="s">
        <v>811</v>
      </c>
      <c r="L25" s="9"/>
    </row>
    <row r="26" customFormat="false" ht="36" hidden="false" customHeight="true" outlineLevel="0" collapsed="false">
      <c r="F26" s="24" t="s">
        <v>2792</v>
      </c>
      <c r="H26" s="14" t="n">
        <f aca="false">SUM(H20:H25)</f>
        <v>2401</v>
      </c>
      <c r="I26" s="49" t="n">
        <f aca="false">H25/H20</f>
        <v>0.385454545454545</v>
      </c>
      <c r="J26" s="50" t="s">
        <v>2796</v>
      </c>
      <c r="K26" s="22" t="str">
        <f aca="false">IF(ISNUMBER(J26),IF(ABS(H26-J26)&lt;=2,"Σ = lab density ✓","Σ ≠ lab density"),"—")</f>
        <v>—</v>
      </c>
      <c r="L26" s="42" t="s">
        <v>126</v>
      </c>
    </row>
    <row r="28" customFormat="false" ht="15" hidden="false" customHeight="true" outlineLevel="0" collapsed="false">
      <c r="A28" s="9" t="s">
        <v>2800</v>
      </c>
      <c r="B28" s="9" t="s">
        <v>128</v>
      </c>
      <c r="C28" s="5" t="s">
        <v>2801</v>
      </c>
      <c r="D28" s="9" t="s">
        <v>2795</v>
      </c>
      <c r="E28" s="9" t="s">
        <v>2795</v>
      </c>
      <c r="F28" s="9" t="s">
        <v>800</v>
      </c>
      <c r="G28" s="44" t="s">
        <v>799</v>
      </c>
      <c r="H28" s="35" t="n">
        <v>250</v>
      </c>
      <c r="I28" s="48" t="n">
        <f aca="false">H28/Batch_cft</f>
        <v>7.07914483930341</v>
      </c>
      <c r="J28" s="18" t="n">
        <f aca="false">I28/Bag_kg</f>
        <v>0.141582896786068</v>
      </c>
      <c r="K28" s="9" t="s">
        <v>801</v>
      </c>
      <c r="L28" s="9"/>
    </row>
    <row r="29" customFormat="false" ht="15" hidden="false" customHeight="true" outlineLevel="0" collapsed="false">
      <c r="A29" s="9" t="s">
        <v>2800</v>
      </c>
      <c r="B29" s="9" t="s">
        <v>128</v>
      </c>
      <c r="C29" s="5" t="s">
        <v>2801</v>
      </c>
      <c r="D29" s="9" t="s">
        <v>2795</v>
      </c>
      <c r="E29" s="9" t="s">
        <v>2795</v>
      </c>
      <c r="F29" s="9" t="s">
        <v>840</v>
      </c>
      <c r="G29" s="44" t="s">
        <v>839</v>
      </c>
      <c r="H29" s="35" t="n">
        <v>642</v>
      </c>
      <c r="I29" s="48" t="n">
        <f aca="false">H29/Batch_cft</f>
        <v>18.1792439473312</v>
      </c>
      <c r="J29" s="18" t="n">
        <f aca="false">I29/Dens_Crush</f>
        <v>0.427746916407792</v>
      </c>
      <c r="K29" s="9" t="s">
        <v>109</v>
      </c>
      <c r="L29" s="9"/>
    </row>
    <row r="30" customFormat="false" ht="15" hidden="false" customHeight="true" outlineLevel="0" collapsed="false">
      <c r="A30" s="9" t="s">
        <v>2800</v>
      </c>
      <c r="B30" s="9" t="s">
        <v>128</v>
      </c>
      <c r="C30" s="5" t="s">
        <v>2801</v>
      </c>
      <c r="D30" s="9" t="s">
        <v>2795</v>
      </c>
      <c r="E30" s="9" t="s">
        <v>2795</v>
      </c>
      <c r="F30" s="9" t="s">
        <v>841</v>
      </c>
      <c r="G30" s="44" t="s">
        <v>839</v>
      </c>
      <c r="H30" s="35" t="n">
        <v>420</v>
      </c>
      <c r="I30" s="48" t="n">
        <f aca="false">H30/Batch_cft</f>
        <v>11.8929633300297</v>
      </c>
      <c r="J30" s="18" t="n">
        <f aca="false">I30/Dens_Crush</f>
        <v>0.279834431294817</v>
      </c>
      <c r="K30" s="9" t="s">
        <v>109</v>
      </c>
      <c r="L30" s="9"/>
    </row>
    <row r="31" customFormat="false" ht="15" hidden="false" customHeight="true" outlineLevel="0" collapsed="false">
      <c r="A31" s="9" t="s">
        <v>2800</v>
      </c>
      <c r="B31" s="9" t="s">
        <v>128</v>
      </c>
      <c r="C31" s="5" t="s">
        <v>2801</v>
      </c>
      <c r="D31" s="9" t="s">
        <v>2795</v>
      </c>
      <c r="E31" s="9" t="s">
        <v>2795</v>
      </c>
      <c r="F31" s="9" t="s">
        <v>847</v>
      </c>
      <c r="G31" s="44" t="s">
        <v>846</v>
      </c>
      <c r="H31" s="35" t="n">
        <v>810</v>
      </c>
      <c r="I31" s="48" t="n">
        <f aca="false">H31/Batch_cft</f>
        <v>22.9364292793431</v>
      </c>
      <c r="J31" s="18" t="n">
        <f aca="false">I31/Dens_Sand</f>
        <v>0.509698428429846</v>
      </c>
      <c r="K31" s="9" t="s">
        <v>109</v>
      </c>
      <c r="L31" s="9"/>
    </row>
    <row r="32" customFormat="false" ht="15" hidden="false" customHeight="true" outlineLevel="0" collapsed="false">
      <c r="A32" s="9" t="s">
        <v>2800</v>
      </c>
      <c r="B32" s="9" t="s">
        <v>128</v>
      </c>
      <c r="C32" s="5" t="s">
        <v>2801</v>
      </c>
      <c r="D32" s="9" t="s">
        <v>2795</v>
      </c>
      <c r="E32" s="9" t="s">
        <v>2795</v>
      </c>
      <c r="F32" s="9" t="s">
        <v>842</v>
      </c>
      <c r="G32" s="44" t="s">
        <v>809</v>
      </c>
      <c r="H32" s="35" t="n">
        <v>213</v>
      </c>
      <c r="I32" s="48" t="n">
        <f aca="false">H32/Batch_cft</f>
        <v>6.03143140308651</v>
      </c>
      <c r="J32" s="18" t="n">
        <f aca="false">I32</f>
        <v>6.03143140308651</v>
      </c>
      <c r="K32" s="9" t="s">
        <v>811</v>
      </c>
      <c r="L32" s="9"/>
    </row>
    <row r="33" customFormat="false" ht="36" hidden="false" customHeight="true" outlineLevel="0" collapsed="false">
      <c r="F33" s="24" t="s">
        <v>2792</v>
      </c>
      <c r="H33" s="14" t="n">
        <f aca="false">SUM(H28:H32)</f>
        <v>2335</v>
      </c>
      <c r="I33" s="49" t="n">
        <f aca="false">H32/H28</f>
        <v>0.852</v>
      </c>
      <c r="J33" s="50" t="s">
        <v>2796</v>
      </c>
      <c r="K33" s="22" t="str">
        <f aca="false">IF(ISNUMBER(J33),IF(ABS(H33-J33)&lt;=2,"Σ = lab density ✓","Σ ≠ lab density"),"—")</f>
        <v>—</v>
      </c>
      <c r="L33" s="42" t="s">
        <v>131</v>
      </c>
    </row>
    <row r="35" customFormat="false" ht="15" hidden="false" customHeight="true" outlineLevel="0" collapsed="false">
      <c r="A35" s="9" t="s">
        <v>2802</v>
      </c>
      <c r="B35" s="9" t="s">
        <v>133</v>
      </c>
      <c r="C35" s="5" t="s">
        <v>2803</v>
      </c>
      <c r="D35" s="9" t="s">
        <v>2795</v>
      </c>
      <c r="E35" s="9" t="s">
        <v>2795</v>
      </c>
      <c r="F35" s="9" t="s">
        <v>800</v>
      </c>
      <c r="G35" s="44" t="s">
        <v>799</v>
      </c>
      <c r="H35" s="35" t="n">
        <v>475</v>
      </c>
      <c r="I35" s="48" t="n">
        <f aca="false">H35/Batch_cft</f>
        <v>13.4503751946765</v>
      </c>
      <c r="J35" s="18" t="n">
        <f aca="false">I35/Bag_kg</f>
        <v>0.26900750389353</v>
      </c>
      <c r="K35" s="9" t="s">
        <v>801</v>
      </c>
      <c r="L35" s="9"/>
    </row>
    <row r="36" customFormat="false" ht="15" hidden="false" customHeight="true" outlineLevel="0" collapsed="false">
      <c r="A36" s="9" t="s">
        <v>2802</v>
      </c>
      <c r="B36" s="9" t="s">
        <v>133</v>
      </c>
      <c r="C36" s="5" t="s">
        <v>2803</v>
      </c>
      <c r="D36" s="9" t="s">
        <v>2795</v>
      </c>
      <c r="E36" s="9" t="s">
        <v>2795</v>
      </c>
      <c r="F36" s="9" t="s">
        <v>840</v>
      </c>
      <c r="G36" s="44" t="s">
        <v>839</v>
      </c>
      <c r="H36" s="35" t="n">
        <v>630</v>
      </c>
      <c r="I36" s="48" t="n">
        <f aca="false">H36/Batch_cft</f>
        <v>17.8394449950446</v>
      </c>
      <c r="J36" s="18" t="n">
        <f aca="false">I36/Dens_Crush</f>
        <v>0.419751646942226</v>
      </c>
      <c r="K36" s="9" t="s">
        <v>109</v>
      </c>
      <c r="L36" s="9"/>
    </row>
    <row r="37" customFormat="false" ht="15" hidden="false" customHeight="true" outlineLevel="0" collapsed="false">
      <c r="A37" s="9" t="s">
        <v>2802</v>
      </c>
      <c r="B37" s="9" t="s">
        <v>133</v>
      </c>
      <c r="C37" s="5" t="s">
        <v>2803</v>
      </c>
      <c r="D37" s="9" t="s">
        <v>2795</v>
      </c>
      <c r="E37" s="9" t="s">
        <v>2795</v>
      </c>
      <c r="F37" s="9" t="s">
        <v>841</v>
      </c>
      <c r="G37" s="44" t="s">
        <v>839</v>
      </c>
      <c r="H37" s="35" t="n">
        <v>420</v>
      </c>
      <c r="I37" s="48" t="n">
        <f aca="false">H37/Batch_cft</f>
        <v>11.8929633300297</v>
      </c>
      <c r="J37" s="18" t="n">
        <f aca="false">I37/Dens_Crush</f>
        <v>0.279834431294817</v>
      </c>
      <c r="K37" s="9" t="s">
        <v>109</v>
      </c>
      <c r="L37" s="9"/>
    </row>
    <row r="38" customFormat="false" ht="15" hidden="false" customHeight="true" outlineLevel="0" collapsed="false">
      <c r="A38" s="9" t="s">
        <v>2802</v>
      </c>
      <c r="B38" s="9" t="s">
        <v>133</v>
      </c>
      <c r="C38" s="5" t="s">
        <v>2803</v>
      </c>
      <c r="D38" s="9" t="s">
        <v>2795</v>
      </c>
      <c r="E38" s="9" t="s">
        <v>2795</v>
      </c>
      <c r="F38" s="9" t="s">
        <v>806</v>
      </c>
      <c r="G38" s="44" t="s">
        <v>805</v>
      </c>
      <c r="H38" s="35" t="n">
        <v>662</v>
      </c>
      <c r="I38" s="48" t="n">
        <f aca="false">H38/Batch_cft</f>
        <v>18.7455755344754</v>
      </c>
      <c r="J38" s="18" t="n">
        <f aca="false">I38/Dens_Sand</f>
        <v>0.416568345210565</v>
      </c>
      <c r="K38" s="9" t="s">
        <v>109</v>
      </c>
      <c r="L38" s="9"/>
    </row>
    <row r="39" customFormat="false" ht="15" hidden="false" customHeight="true" outlineLevel="0" collapsed="false">
      <c r="A39" s="9" t="s">
        <v>2802</v>
      </c>
      <c r="B39" s="9" t="s">
        <v>133</v>
      </c>
      <c r="C39" s="5" t="s">
        <v>2803</v>
      </c>
      <c r="D39" s="9" t="s">
        <v>2795</v>
      </c>
      <c r="E39" s="9" t="s">
        <v>2795</v>
      </c>
      <c r="F39" s="9" t="s">
        <v>848</v>
      </c>
      <c r="G39" s="44" t="s">
        <v>807</v>
      </c>
      <c r="H39" s="35" t="n">
        <v>4.7</v>
      </c>
      <c r="I39" s="48" t="n">
        <f aca="false">H39/Batch_cft</f>
        <v>0.133087922978904</v>
      </c>
      <c r="J39" s="18" t="n">
        <f aca="false">I39</f>
        <v>0.133087922978904</v>
      </c>
      <c r="K39" s="9" t="s">
        <v>198</v>
      </c>
      <c r="L39" s="9"/>
    </row>
    <row r="40" customFormat="false" ht="15" hidden="false" customHeight="true" outlineLevel="0" collapsed="false">
      <c r="A40" s="9" t="s">
        <v>2802</v>
      </c>
      <c r="B40" s="9" t="s">
        <v>133</v>
      </c>
      <c r="C40" s="5" t="s">
        <v>2803</v>
      </c>
      <c r="D40" s="9" t="s">
        <v>2795</v>
      </c>
      <c r="E40" s="9" t="s">
        <v>2795</v>
      </c>
      <c r="F40" s="9" t="s">
        <v>842</v>
      </c>
      <c r="G40" s="44" t="s">
        <v>809</v>
      </c>
      <c r="H40" s="35" t="n">
        <v>208</v>
      </c>
      <c r="I40" s="48" t="n">
        <f aca="false">H40/Batch_cft</f>
        <v>5.88984850630044</v>
      </c>
      <c r="J40" s="18" t="n">
        <f aca="false">I40</f>
        <v>5.88984850630044</v>
      </c>
      <c r="K40" s="9" t="s">
        <v>811</v>
      </c>
      <c r="L40" s="9"/>
    </row>
    <row r="41" customFormat="false" ht="36" hidden="false" customHeight="true" outlineLevel="0" collapsed="false">
      <c r="F41" s="24" t="s">
        <v>2792</v>
      </c>
      <c r="H41" s="14" t="n">
        <f aca="false">SUM(H35:H40)</f>
        <v>2399.7</v>
      </c>
      <c r="I41" s="49" t="n">
        <f aca="false">H40/H35</f>
        <v>0.437894736842105</v>
      </c>
      <c r="J41" s="50" t="s">
        <v>2796</v>
      </c>
      <c r="K41" s="22" t="str">
        <f aca="false">IF(ISNUMBER(J41),IF(ABS(H41-J41)&lt;=2,"Σ = lab density ✓","Σ ≠ lab density"),"—")</f>
        <v>—</v>
      </c>
      <c r="L41" s="42" t="s">
        <v>136</v>
      </c>
    </row>
    <row r="43" customFormat="false" ht="15" hidden="false" customHeight="true" outlineLevel="0" collapsed="false">
      <c r="A43" s="9" t="s">
        <v>2804</v>
      </c>
      <c r="B43" s="9" t="s">
        <v>138</v>
      </c>
      <c r="C43" s="5" t="s">
        <v>2805</v>
      </c>
      <c r="D43" s="9" t="s">
        <v>2795</v>
      </c>
      <c r="E43" s="9" t="s">
        <v>2795</v>
      </c>
      <c r="F43" s="9" t="s">
        <v>800</v>
      </c>
      <c r="G43" s="44" t="s">
        <v>799</v>
      </c>
      <c r="H43" s="35" t="n">
        <v>450</v>
      </c>
      <c r="I43" s="48" t="n">
        <f aca="false">H43/Batch_cft</f>
        <v>12.7424607107461</v>
      </c>
      <c r="J43" s="18" t="n">
        <f aca="false">I43/Bag_kg</f>
        <v>0.254849214214923</v>
      </c>
      <c r="K43" s="9" t="s">
        <v>801</v>
      </c>
      <c r="L43" s="9"/>
    </row>
    <row r="44" customFormat="false" ht="15" hidden="false" customHeight="true" outlineLevel="0" collapsed="false">
      <c r="A44" s="9" t="s">
        <v>2804</v>
      </c>
      <c r="B44" s="9" t="s">
        <v>138</v>
      </c>
      <c r="C44" s="5" t="s">
        <v>2805</v>
      </c>
      <c r="D44" s="9" t="s">
        <v>2795</v>
      </c>
      <c r="E44" s="9" t="s">
        <v>2795</v>
      </c>
      <c r="F44" s="9" t="s">
        <v>840</v>
      </c>
      <c r="G44" s="44" t="s">
        <v>839</v>
      </c>
      <c r="H44" s="35" t="n">
        <v>630</v>
      </c>
      <c r="I44" s="48" t="n">
        <f aca="false">H44/Batch_cft</f>
        <v>17.8394449950446</v>
      </c>
      <c r="J44" s="18" t="n">
        <f aca="false">I44/Dens_Crush</f>
        <v>0.419751646942226</v>
      </c>
      <c r="K44" s="9" t="s">
        <v>109</v>
      </c>
      <c r="L44" s="9"/>
    </row>
    <row r="45" customFormat="false" ht="15" hidden="false" customHeight="true" outlineLevel="0" collapsed="false">
      <c r="A45" s="9" t="s">
        <v>2804</v>
      </c>
      <c r="B45" s="9" t="s">
        <v>138</v>
      </c>
      <c r="C45" s="5" t="s">
        <v>2805</v>
      </c>
      <c r="D45" s="9" t="s">
        <v>2795</v>
      </c>
      <c r="E45" s="9" t="s">
        <v>2795</v>
      </c>
      <c r="F45" s="9" t="s">
        <v>841</v>
      </c>
      <c r="G45" s="44" t="s">
        <v>839</v>
      </c>
      <c r="H45" s="35" t="n">
        <v>420</v>
      </c>
      <c r="I45" s="48" t="n">
        <f aca="false">H45/Batch_cft</f>
        <v>11.8929633300297</v>
      </c>
      <c r="J45" s="18" t="n">
        <f aca="false">I45/Dens_Crush</f>
        <v>0.279834431294817</v>
      </c>
      <c r="K45" s="9" t="s">
        <v>109</v>
      </c>
      <c r="L45" s="9"/>
    </row>
    <row r="46" customFormat="false" ht="15" hidden="false" customHeight="true" outlineLevel="0" collapsed="false">
      <c r="A46" s="9" t="s">
        <v>2804</v>
      </c>
      <c r="B46" s="9" t="s">
        <v>138</v>
      </c>
      <c r="C46" s="5" t="s">
        <v>2805</v>
      </c>
      <c r="D46" s="9" t="s">
        <v>2795</v>
      </c>
      <c r="E46" s="9" t="s">
        <v>2795</v>
      </c>
      <c r="F46" s="9" t="s">
        <v>806</v>
      </c>
      <c r="G46" s="44" t="s">
        <v>805</v>
      </c>
      <c r="H46" s="35" t="n">
        <v>690</v>
      </c>
      <c r="I46" s="48" t="n">
        <f aca="false">H46/Batch_cft</f>
        <v>19.5384397564774</v>
      </c>
      <c r="J46" s="18" t="n">
        <f aca="false">I46/Dens_Sand</f>
        <v>0.434187550143943</v>
      </c>
      <c r="K46" s="9" t="s">
        <v>109</v>
      </c>
      <c r="L46" s="9"/>
    </row>
    <row r="47" customFormat="false" ht="15" hidden="false" customHeight="true" outlineLevel="0" collapsed="false">
      <c r="A47" s="9" t="s">
        <v>2804</v>
      </c>
      <c r="B47" s="9" t="s">
        <v>138</v>
      </c>
      <c r="C47" s="5" t="s">
        <v>2805</v>
      </c>
      <c r="D47" s="9" t="s">
        <v>2795</v>
      </c>
      <c r="E47" s="9" t="s">
        <v>2795</v>
      </c>
      <c r="F47" s="9" t="s">
        <v>849</v>
      </c>
      <c r="G47" s="44" t="s">
        <v>807</v>
      </c>
      <c r="H47" s="35" t="n">
        <v>4.3</v>
      </c>
      <c r="I47" s="48" t="n">
        <f aca="false">H47/Batch_cft</f>
        <v>0.121761291236019</v>
      </c>
      <c r="J47" s="18" t="n">
        <f aca="false">I47</f>
        <v>0.121761291236019</v>
      </c>
      <c r="K47" s="9" t="s">
        <v>198</v>
      </c>
      <c r="L47" s="9"/>
    </row>
    <row r="48" customFormat="false" ht="15" hidden="false" customHeight="true" outlineLevel="0" collapsed="false">
      <c r="A48" s="9" t="s">
        <v>2804</v>
      </c>
      <c r="B48" s="9" t="s">
        <v>138</v>
      </c>
      <c r="C48" s="5" t="s">
        <v>2805</v>
      </c>
      <c r="D48" s="9" t="s">
        <v>2795</v>
      </c>
      <c r="E48" s="9" t="s">
        <v>2795</v>
      </c>
      <c r="F48" s="9" t="s">
        <v>842</v>
      </c>
      <c r="G48" s="44" t="s">
        <v>809</v>
      </c>
      <c r="H48" s="35" t="n">
        <v>206</v>
      </c>
      <c r="I48" s="48" t="n">
        <f aca="false">H48/Batch_cft</f>
        <v>5.83321534758601</v>
      </c>
      <c r="J48" s="18" t="n">
        <f aca="false">I48</f>
        <v>5.83321534758601</v>
      </c>
      <c r="K48" s="9" t="s">
        <v>811</v>
      </c>
      <c r="L48" s="9"/>
    </row>
    <row r="49" customFormat="false" ht="36" hidden="false" customHeight="true" outlineLevel="0" collapsed="false">
      <c r="F49" s="24" t="s">
        <v>2792</v>
      </c>
      <c r="H49" s="14" t="n">
        <f aca="false">SUM(H43:H48)</f>
        <v>2400.3</v>
      </c>
      <c r="I49" s="49" t="n">
        <f aca="false">H48/H43</f>
        <v>0.457777777777778</v>
      </c>
      <c r="J49" s="50" t="s">
        <v>2796</v>
      </c>
      <c r="K49" s="22" t="str">
        <f aca="false">IF(ISNUMBER(J49),IF(ABS(H49-J49)&lt;=2,"Σ = lab density ✓","Σ ≠ lab density"),"—")</f>
        <v>—</v>
      </c>
      <c r="L49" s="42" t="s">
        <v>141</v>
      </c>
    </row>
    <row r="51" customFormat="false" ht="21.75" hidden="false" customHeight="true" outlineLevel="0" collapsed="false">
      <c r="A51" s="9" t="s">
        <v>2806</v>
      </c>
      <c r="B51" s="9" t="s">
        <v>143</v>
      </c>
      <c r="C51" s="5" t="s">
        <v>2807</v>
      </c>
      <c r="D51" s="9" t="s">
        <v>2808</v>
      </c>
      <c r="E51" s="9" t="s">
        <v>2809</v>
      </c>
      <c r="F51" s="9" t="s">
        <v>850</v>
      </c>
      <c r="G51" s="44" t="s">
        <v>799</v>
      </c>
      <c r="H51" s="35" t="n">
        <v>180</v>
      </c>
      <c r="I51" s="48" t="n">
        <f aca="false">H51/Batch_cft</f>
        <v>5.09698428429846</v>
      </c>
      <c r="J51" s="18" t="n">
        <f aca="false">I51/Bag_kg</f>
        <v>0.101939685685969</v>
      </c>
      <c r="K51" s="9" t="s">
        <v>801</v>
      </c>
      <c r="L51" s="9"/>
    </row>
    <row r="52" customFormat="false" ht="21.75" hidden="false" customHeight="true" outlineLevel="0" collapsed="false">
      <c r="A52" s="9" t="s">
        <v>2806</v>
      </c>
      <c r="B52" s="9" t="s">
        <v>143</v>
      </c>
      <c r="C52" s="5" t="s">
        <v>2807</v>
      </c>
      <c r="D52" s="9" t="s">
        <v>2808</v>
      </c>
      <c r="E52" s="9" t="s">
        <v>2809</v>
      </c>
      <c r="F52" s="9" t="s">
        <v>851</v>
      </c>
      <c r="G52" s="44" t="s">
        <v>805</v>
      </c>
      <c r="H52" s="35" t="n">
        <v>810</v>
      </c>
      <c r="I52" s="48" t="n">
        <f aca="false">H52/Batch_cft</f>
        <v>22.9364292793431</v>
      </c>
      <c r="J52" s="18" t="n">
        <f aca="false">I52/Dens_Sand</f>
        <v>0.509698428429846</v>
      </c>
      <c r="K52" s="9" t="s">
        <v>109</v>
      </c>
      <c r="L52" s="9"/>
    </row>
    <row r="53" customFormat="false" ht="21.75" hidden="false" customHeight="true" outlineLevel="0" collapsed="false">
      <c r="A53" s="9" t="s">
        <v>2806</v>
      </c>
      <c r="B53" s="9" t="s">
        <v>143</v>
      </c>
      <c r="C53" s="5" t="s">
        <v>2807</v>
      </c>
      <c r="D53" s="9" t="s">
        <v>2808</v>
      </c>
      <c r="E53" s="9" t="s">
        <v>2809</v>
      </c>
      <c r="F53" s="9" t="s">
        <v>852</v>
      </c>
      <c r="G53" s="44" t="s">
        <v>839</v>
      </c>
      <c r="H53" s="35" t="n">
        <v>1220</v>
      </c>
      <c r="I53" s="48" t="n">
        <f aca="false">H53/Batch_cft</f>
        <v>34.5462268158007</v>
      </c>
      <c r="J53" s="18" t="n">
        <f aca="false">I53/Dens_Crush</f>
        <v>0.812852395665898</v>
      </c>
      <c r="K53" s="9" t="s">
        <v>109</v>
      </c>
      <c r="L53" s="9"/>
    </row>
    <row r="54" customFormat="false" ht="21.75" hidden="false" customHeight="true" outlineLevel="0" collapsed="false">
      <c r="A54" s="9" t="s">
        <v>2806</v>
      </c>
      <c r="B54" s="9" t="s">
        <v>143</v>
      </c>
      <c r="C54" s="5" t="s">
        <v>2807</v>
      </c>
      <c r="D54" s="9" t="s">
        <v>2808</v>
      </c>
      <c r="E54" s="9" t="s">
        <v>2809</v>
      </c>
      <c r="F54" s="9" t="s">
        <v>810</v>
      </c>
      <c r="G54" s="44" t="s">
        <v>809</v>
      </c>
      <c r="H54" s="35" t="n">
        <v>180</v>
      </c>
      <c r="I54" s="48" t="n">
        <f aca="false">H54/Batch_cft</f>
        <v>5.09698428429846</v>
      </c>
      <c r="J54" s="18" t="n">
        <f aca="false">I54</f>
        <v>5.09698428429846</v>
      </c>
      <c r="K54" s="9" t="s">
        <v>811</v>
      </c>
      <c r="L54" s="9"/>
    </row>
    <row r="55" customFormat="false" ht="36" hidden="false" customHeight="true" outlineLevel="0" collapsed="false">
      <c r="F55" s="24" t="s">
        <v>2792</v>
      </c>
      <c r="H55" s="14" t="n">
        <f aca="false">SUM(H51:H54)</f>
        <v>2390</v>
      </c>
      <c r="I55" s="49" t="n">
        <f aca="false">H54/H51</f>
        <v>1</v>
      </c>
      <c r="J55" s="50" t="n">
        <v>2390</v>
      </c>
      <c r="K55" s="22" t="str">
        <f aca="false">IF(ISNUMBER(J55),IF(ABS(H55-J55)&lt;=2,"Σ = lab density ✓","Σ ≠ lab density"),"—")</f>
        <v>Σ = lab density ✓</v>
      </c>
      <c r="L55" s="42" t="s">
        <v>146</v>
      </c>
    </row>
    <row r="57" customFormat="false" ht="15" hidden="false" customHeight="true" outlineLevel="0" collapsed="false">
      <c r="A57" s="9" t="s">
        <v>2810</v>
      </c>
      <c r="B57" s="9" t="s">
        <v>138</v>
      </c>
      <c r="C57" s="5" t="s">
        <v>2811</v>
      </c>
      <c r="D57" s="9" t="s">
        <v>2808</v>
      </c>
      <c r="E57" s="9" t="s">
        <v>2809</v>
      </c>
      <c r="F57" s="9" t="s">
        <v>850</v>
      </c>
      <c r="G57" s="44" t="s">
        <v>799</v>
      </c>
      <c r="H57" s="35" t="n">
        <v>350</v>
      </c>
      <c r="I57" s="48" t="n">
        <f aca="false">H57/Batch_cft</f>
        <v>9.91080277502478</v>
      </c>
      <c r="J57" s="18" t="n">
        <f aca="false">I57/Bag_kg</f>
        <v>0.198216055500496</v>
      </c>
      <c r="K57" s="9" t="s">
        <v>801</v>
      </c>
      <c r="L57" s="9"/>
    </row>
    <row r="58" customFormat="false" ht="15" hidden="false" customHeight="true" outlineLevel="0" collapsed="false">
      <c r="A58" s="9" t="s">
        <v>2810</v>
      </c>
      <c r="B58" s="9" t="s">
        <v>138</v>
      </c>
      <c r="C58" s="5" t="s">
        <v>2811</v>
      </c>
      <c r="D58" s="9" t="s">
        <v>2808</v>
      </c>
      <c r="E58" s="9" t="s">
        <v>2809</v>
      </c>
      <c r="F58" s="9" t="s">
        <v>853</v>
      </c>
      <c r="G58" s="44" t="s">
        <v>805</v>
      </c>
      <c r="H58" s="35" t="n">
        <v>780</v>
      </c>
      <c r="I58" s="48" t="n">
        <f aca="false">H58/Batch_cft</f>
        <v>22.0869318986267</v>
      </c>
      <c r="J58" s="18" t="n">
        <f aca="false">I58/Dens_Sand</f>
        <v>0.49082070885837</v>
      </c>
      <c r="K58" s="9" t="s">
        <v>109</v>
      </c>
      <c r="L58" s="9"/>
    </row>
    <row r="59" customFormat="false" ht="15" hidden="false" customHeight="true" outlineLevel="0" collapsed="false">
      <c r="A59" s="9" t="s">
        <v>2810</v>
      </c>
      <c r="B59" s="9" t="s">
        <v>138</v>
      </c>
      <c r="C59" s="5" t="s">
        <v>2811</v>
      </c>
      <c r="D59" s="9" t="s">
        <v>2808</v>
      </c>
      <c r="E59" s="9" t="s">
        <v>2809</v>
      </c>
      <c r="F59" s="9" t="s">
        <v>854</v>
      </c>
      <c r="G59" s="44" t="s">
        <v>839</v>
      </c>
      <c r="H59" s="35" t="n">
        <v>392</v>
      </c>
      <c r="I59" s="48" t="n">
        <f aca="false">H59/Batch_cft</f>
        <v>11.1000991080278</v>
      </c>
      <c r="J59" s="18" t="n">
        <f aca="false">I59/Dens_Crush</f>
        <v>0.261178802541829</v>
      </c>
      <c r="K59" s="9" t="s">
        <v>109</v>
      </c>
      <c r="L59" s="9"/>
    </row>
    <row r="60" customFormat="false" ht="15" hidden="false" customHeight="true" outlineLevel="0" collapsed="false">
      <c r="A60" s="9" t="s">
        <v>2810</v>
      </c>
      <c r="B60" s="9" t="s">
        <v>138</v>
      </c>
      <c r="C60" s="5" t="s">
        <v>2811</v>
      </c>
      <c r="D60" s="9" t="s">
        <v>2808</v>
      </c>
      <c r="E60" s="9" t="s">
        <v>2809</v>
      </c>
      <c r="F60" s="9" t="s">
        <v>855</v>
      </c>
      <c r="G60" s="44" t="s">
        <v>839</v>
      </c>
      <c r="H60" s="35" t="n">
        <v>550</v>
      </c>
      <c r="I60" s="48" t="n">
        <f aca="false">H60/Batch_cft</f>
        <v>15.5741186464675</v>
      </c>
      <c r="J60" s="18" t="n">
        <f aca="false">I60/Dens_Crush</f>
        <v>0.366449850505118</v>
      </c>
      <c r="K60" s="9" t="s">
        <v>109</v>
      </c>
      <c r="L60" s="9"/>
    </row>
    <row r="61" customFormat="false" ht="15" hidden="false" customHeight="true" outlineLevel="0" collapsed="false">
      <c r="A61" s="9" t="s">
        <v>2810</v>
      </c>
      <c r="B61" s="9" t="s">
        <v>138</v>
      </c>
      <c r="C61" s="5" t="s">
        <v>2811</v>
      </c>
      <c r="D61" s="9" t="s">
        <v>2808</v>
      </c>
      <c r="E61" s="9" t="s">
        <v>2809</v>
      </c>
      <c r="F61" s="9" t="s">
        <v>856</v>
      </c>
      <c r="G61" s="44" t="s">
        <v>839</v>
      </c>
      <c r="H61" s="35" t="n">
        <v>165</v>
      </c>
      <c r="I61" s="48" t="n">
        <f aca="false">H61/Batch_cft</f>
        <v>4.67223559394025</v>
      </c>
      <c r="J61" s="18" t="n">
        <f aca="false">I61/Dens_Crush</f>
        <v>0.109934955151535</v>
      </c>
      <c r="K61" s="9" t="s">
        <v>109</v>
      </c>
      <c r="L61" s="9"/>
    </row>
    <row r="62" customFormat="false" ht="15" hidden="false" customHeight="true" outlineLevel="0" collapsed="false">
      <c r="A62" s="9" t="s">
        <v>2810</v>
      </c>
      <c r="B62" s="9" t="s">
        <v>138</v>
      </c>
      <c r="C62" s="5" t="s">
        <v>2811</v>
      </c>
      <c r="D62" s="9" t="s">
        <v>2808</v>
      </c>
      <c r="E62" s="9" t="s">
        <v>2809</v>
      </c>
      <c r="F62" s="9" t="s">
        <v>857</v>
      </c>
      <c r="G62" s="44" t="s">
        <v>807</v>
      </c>
      <c r="H62" s="35" t="n">
        <v>4.6</v>
      </c>
      <c r="I62" s="48" t="n">
        <f aca="false">H62/Batch_cft</f>
        <v>0.130256265043183</v>
      </c>
      <c r="J62" s="18" t="n">
        <f aca="false">I62</f>
        <v>0.130256265043183</v>
      </c>
      <c r="K62" s="9" t="s">
        <v>198</v>
      </c>
      <c r="L62" s="9"/>
    </row>
    <row r="63" customFormat="false" ht="15" hidden="false" customHeight="true" outlineLevel="0" collapsed="false">
      <c r="A63" s="9" t="s">
        <v>2810</v>
      </c>
      <c r="B63" s="9" t="s">
        <v>138</v>
      </c>
      <c r="C63" s="5" t="s">
        <v>2811</v>
      </c>
      <c r="D63" s="9" t="s">
        <v>2808</v>
      </c>
      <c r="E63" s="9" t="s">
        <v>2809</v>
      </c>
      <c r="F63" s="9" t="s">
        <v>810</v>
      </c>
      <c r="G63" s="44" t="s">
        <v>809</v>
      </c>
      <c r="H63" s="35" t="n">
        <v>160</v>
      </c>
      <c r="I63" s="48" t="n">
        <f aca="false">H63/Batch_cft</f>
        <v>4.53065269715418</v>
      </c>
      <c r="J63" s="18" t="n">
        <f aca="false">I63</f>
        <v>4.53065269715418</v>
      </c>
      <c r="K63" s="9" t="s">
        <v>811</v>
      </c>
      <c r="L63" s="9"/>
    </row>
    <row r="64" customFormat="false" ht="36" hidden="false" customHeight="true" outlineLevel="0" collapsed="false">
      <c r="F64" s="24" t="s">
        <v>2792</v>
      </c>
      <c r="H64" s="14" t="n">
        <f aca="false">SUM(H57:H63)</f>
        <v>2401.6</v>
      </c>
      <c r="I64" s="49" t="n">
        <f aca="false">H63/H57</f>
        <v>0.457142857142857</v>
      </c>
      <c r="J64" s="50" t="n">
        <v>2401</v>
      </c>
      <c r="K64" s="22" t="str">
        <f aca="false">IF(ISNUMBER(J64),IF(ABS(H64-J64)&lt;=2,"Σ = lab density ✓","Σ ≠ lab density"),"—")</f>
        <v>Σ = lab density ✓</v>
      </c>
      <c r="L64" s="42" t="s">
        <v>150</v>
      </c>
    </row>
    <row r="66" customFormat="false" ht="15" hidden="false" customHeight="true" outlineLevel="0" collapsed="false">
      <c r="A66" s="9" t="s">
        <v>2812</v>
      </c>
      <c r="B66" s="9" t="s">
        <v>133</v>
      </c>
      <c r="C66" s="5" t="s">
        <v>2811</v>
      </c>
      <c r="D66" s="9" t="s">
        <v>2808</v>
      </c>
      <c r="E66" s="9" t="s">
        <v>2809</v>
      </c>
      <c r="F66" s="9" t="s">
        <v>850</v>
      </c>
      <c r="G66" s="44" t="s">
        <v>799</v>
      </c>
      <c r="H66" s="35" t="n">
        <v>400</v>
      </c>
      <c r="I66" s="48" t="n">
        <f aca="false">H66/Batch_cft</f>
        <v>11.3266317428855</v>
      </c>
      <c r="J66" s="18" t="n">
        <f aca="false">I66/Bag_kg</f>
        <v>0.226532634857709</v>
      </c>
      <c r="K66" s="9" t="s">
        <v>801</v>
      </c>
      <c r="L66" s="9"/>
    </row>
    <row r="67" customFormat="false" ht="15" hidden="false" customHeight="true" outlineLevel="0" collapsed="false">
      <c r="A67" s="9" t="s">
        <v>2812</v>
      </c>
      <c r="B67" s="9" t="s">
        <v>133</v>
      </c>
      <c r="C67" s="5" t="s">
        <v>2811</v>
      </c>
      <c r="D67" s="9" t="s">
        <v>2808</v>
      </c>
      <c r="E67" s="9" t="s">
        <v>2809</v>
      </c>
      <c r="F67" s="9" t="s">
        <v>853</v>
      </c>
      <c r="G67" s="44" t="s">
        <v>805</v>
      </c>
      <c r="H67" s="35" t="n">
        <v>740</v>
      </c>
      <c r="I67" s="48" t="n">
        <f aca="false">H67/Batch_cft</f>
        <v>20.9542687243381</v>
      </c>
      <c r="J67" s="18" t="n">
        <f aca="false">I67/Dens_Sand</f>
        <v>0.465650416096402</v>
      </c>
      <c r="K67" s="9" t="s">
        <v>109</v>
      </c>
      <c r="L67" s="9"/>
    </row>
    <row r="68" customFormat="false" ht="15" hidden="false" customHeight="true" outlineLevel="0" collapsed="false">
      <c r="A68" s="9" t="s">
        <v>2812</v>
      </c>
      <c r="B68" s="9" t="s">
        <v>133</v>
      </c>
      <c r="C68" s="5" t="s">
        <v>2811</v>
      </c>
      <c r="D68" s="9" t="s">
        <v>2808</v>
      </c>
      <c r="E68" s="9" t="s">
        <v>2809</v>
      </c>
      <c r="F68" s="9" t="s">
        <v>854</v>
      </c>
      <c r="G68" s="44" t="s">
        <v>839</v>
      </c>
      <c r="H68" s="35" t="n">
        <v>340</v>
      </c>
      <c r="I68" s="48" t="n">
        <f aca="false">H68/Batch_cft</f>
        <v>9.62763698145264</v>
      </c>
      <c r="J68" s="18" t="n">
        <f aca="false">I68/Dens_Crush</f>
        <v>0.226532634857709</v>
      </c>
      <c r="K68" s="9" t="s">
        <v>109</v>
      </c>
      <c r="L68" s="9"/>
    </row>
    <row r="69" customFormat="false" ht="15" hidden="false" customHeight="true" outlineLevel="0" collapsed="false">
      <c r="A69" s="9" t="s">
        <v>2812</v>
      </c>
      <c r="B69" s="9" t="s">
        <v>133</v>
      </c>
      <c r="C69" s="5" t="s">
        <v>2811</v>
      </c>
      <c r="D69" s="9" t="s">
        <v>2808</v>
      </c>
      <c r="E69" s="9" t="s">
        <v>2809</v>
      </c>
      <c r="F69" s="9" t="s">
        <v>855</v>
      </c>
      <c r="G69" s="44" t="s">
        <v>839</v>
      </c>
      <c r="H69" s="35" t="n">
        <v>540</v>
      </c>
      <c r="I69" s="48" t="n">
        <f aca="false">H69/Batch_cft</f>
        <v>15.2909528528954</v>
      </c>
      <c r="J69" s="18" t="n">
        <f aca="false">I69/Dens_Crush</f>
        <v>0.359787125950479</v>
      </c>
      <c r="K69" s="9" t="s">
        <v>109</v>
      </c>
      <c r="L69" s="9"/>
    </row>
    <row r="70" customFormat="false" ht="15" hidden="false" customHeight="true" outlineLevel="0" collapsed="false">
      <c r="A70" s="9" t="s">
        <v>2812</v>
      </c>
      <c r="B70" s="9" t="s">
        <v>133</v>
      </c>
      <c r="C70" s="5" t="s">
        <v>2811</v>
      </c>
      <c r="D70" s="9" t="s">
        <v>2808</v>
      </c>
      <c r="E70" s="9" t="s">
        <v>2809</v>
      </c>
      <c r="F70" s="9" t="s">
        <v>856</v>
      </c>
      <c r="G70" s="44" t="s">
        <v>839</v>
      </c>
      <c r="H70" s="35" t="n">
        <v>220</v>
      </c>
      <c r="I70" s="48" t="n">
        <f aca="false">H70/Batch_cft</f>
        <v>6.229647458587</v>
      </c>
      <c r="J70" s="18" t="n">
        <f aca="false">I70/Dens_Crush</f>
        <v>0.146579940202047</v>
      </c>
      <c r="K70" s="9" t="s">
        <v>109</v>
      </c>
      <c r="L70" s="9"/>
    </row>
    <row r="71" customFormat="false" ht="15" hidden="false" customHeight="true" outlineLevel="0" collapsed="false">
      <c r="A71" s="9" t="s">
        <v>2812</v>
      </c>
      <c r="B71" s="9" t="s">
        <v>133</v>
      </c>
      <c r="C71" s="5" t="s">
        <v>2811</v>
      </c>
      <c r="D71" s="9" t="s">
        <v>2808</v>
      </c>
      <c r="E71" s="9" t="s">
        <v>2809</v>
      </c>
      <c r="F71" s="9" t="s">
        <v>857</v>
      </c>
      <c r="G71" s="44" t="s">
        <v>807</v>
      </c>
      <c r="H71" s="35" t="n">
        <v>4.8</v>
      </c>
      <c r="I71" s="48" t="n">
        <f aca="false">H71/Batch_cft</f>
        <v>0.135919580914626</v>
      </c>
      <c r="J71" s="18" t="n">
        <f aca="false">I71</f>
        <v>0.135919580914626</v>
      </c>
      <c r="K71" s="9" t="s">
        <v>198</v>
      </c>
      <c r="L71" s="9"/>
    </row>
    <row r="72" customFormat="false" ht="15" hidden="false" customHeight="true" outlineLevel="0" collapsed="false">
      <c r="A72" s="9" t="s">
        <v>2812</v>
      </c>
      <c r="B72" s="9" t="s">
        <v>133</v>
      </c>
      <c r="C72" s="5" t="s">
        <v>2811</v>
      </c>
      <c r="D72" s="9" t="s">
        <v>2808</v>
      </c>
      <c r="E72" s="9" t="s">
        <v>2809</v>
      </c>
      <c r="F72" s="9" t="s">
        <v>810</v>
      </c>
      <c r="G72" s="44" t="s">
        <v>809</v>
      </c>
      <c r="H72" s="35" t="n">
        <v>168</v>
      </c>
      <c r="I72" s="48" t="n">
        <f aca="false">H72/Batch_cft</f>
        <v>4.75718533201189</v>
      </c>
      <c r="J72" s="18" t="n">
        <f aca="false">I72</f>
        <v>4.75718533201189</v>
      </c>
      <c r="K72" s="9" t="s">
        <v>811</v>
      </c>
      <c r="L72" s="9"/>
    </row>
    <row r="73" customFormat="false" ht="36" hidden="false" customHeight="true" outlineLevel="0" collapsed="false">
      <c r="F73" s="24" t="s">
        <v>2792</v>
      </c>
      <c r="H73" s="14" t="n">
        <f aca="false">SUM(H66:H72)</f>
        <v>2412.8</v>
      </c>
      <c r="I73" s="49" t="n">
        <f aca="false">H72/H66</f>
        <v>0.42</v>
      </c>
      <c r="J73" s="50" t="n">
        <v>2412</v>
      </c>
      <c r="K73" s="22" t="str">
        <f aca="false">IF(ISNUMBER(J73),IF(ABS(H73-J73)&lt;=2,"Σ = lab density ✓","Σ ≠ lab density"),"—")</f>
        <v>Σ = lab density ✓</v>
      </c>
      <c r="L73" s="5"/>
    </row>
    <row r="75" customFormat="false" ht="15" hidden="false" customHeight="true" outlineLevel="0" collapsed="false">
      <c r="A75" s="9" t="s">
        <v>2813</v>
      </c>
      <c r="B75" s="9" t="s">
        <v>123</v>
      </c>
      <c r="C75" s="5" t="s">
        <v>2811</v>
      </c>
      <c r="D75" s="9" t="s">
        <v>2808</v>
      </c>
      <c r="E75" s="9" t="s">
        <v>2809</v>
      </c>
      <c r="F75" s="9" t="s">
        <v>850</v>
      </c>
      <c r="G75" s="44" t="s">
        <v>799</v>
      </c>
      <c r="H75" s="35" t="n">
        <v>520</v>
      </c>
      <c r="I75" s="48" t="n">
        <f aca="false">H75/Batch_cft</f>
        <v>14.7246212657511</v>
      </c>
      <c r="J75" s="18" t="n">
        <f aca="false">I75/Bag_kg</f>
        <v>0.294492425315022</v>
      </c>
      <c r="K75" s="9" t="s">
        <v>801</v>
      </c>
      <c r="L75" s="9"/>
    </row>
    <row r="76" customFormat="false" ht="15" hidden="false" customHeight="true" outlineLevel="0" collapsed="false">
      <c r="A76" s="9" t="s">
        <v>2813</v>
      </c>
      <c r="B76" s="9" t="s">
        <v>123</v>
      </c>
      <c r="C76" s="5" t="s">
        <v>2811</v>
      </c>
      <c r="D76" s="9" t="s">
        <v>2808</v>
      </c>
      <c r="E76" s="9" t="s">
        <v>2809</v>
      </c>
      <c r="F76" s="9" t="s">
        <v>853</v>
      </c>
      <c r="G76" s="44" t="s">
        <v>805</v>
      </c>
      <c r="H76" s="35" t="n">
        <v>660</v>
      </c>
      <c r="I76" s="48" t="n">
        <f aca="false">H76/Batch_cft</f>
        <v>18.688942375761</v>
      </c>
      <c r="J76" s="18" t="n">
        <f aca="false">I76/Dens_Sand</f>
        <v>0.415309830572467</v>
      </c>
      <c r="K76" s="9" t="s">
        <v>109</v>
      </c>
      <c r="L76" s="9"/>
    </row>
    <row r="77" customFormat="false" ht="15" hidden="false" customHeight="true" outlineLevel="0" collapsed="false">
      <c r="A77" s="9" t="s">
        <v>2813</v>
      </c>
      <c r="B77" s="9" t="s">
        <v>123</v>
      </c>
      <c r="C77" s="5" t="s">
        <v>2811</v>
      </c>
      <c r="D77" s="9" t="s">
        <v>2808</v>
      </c>
      <c r="E77" s="9" t="s">
        <v>2809</v>
      </c>
      <c r="F77" s="9" t="s">
        <v>854</v>
      </c>
      <c r="G77" s="44" t="s">
        <v>839</v>
      </c>
      <c r="H77" s="35" t="n">
        <v>321</v>
      </c>
      <c r="I77" s="48" t="n">
        <f aca="false">H77/Batch_cft</f>
        <v>9.08962197366558</v>
      </c>
      <c r="J77" s="18" t="n">
        <f aca="false">I77/Dens_Crush</f>
        <v>0.213873458203896</v>
      </c>
      <c r="K77" s="9" t="s">
        <v>109</v>
      </c>
      <c r="L77" s="9"/>
    </row>
    <row r="78" customFormat="false" ht="15" hidden="false" customHeight="true" outlineLevel="0" collapsed="false">
      <c r="A78" s="9" t="s">
        <v>2813</v>
      </c>
      <c r="B78" s="9" t="s">
        <v>123</v>
      </c>
      <c r="C78" s="5" t="s">
        <v>2811</v>
      </c>
      <c r="D78" s="9" t="s">
        <v>2808</v>
      </c>
      <c r="E78" s="9" t="s">
        <v>2809</v>
      </c>
      <c r="F78" s="9" t="s">
        <v>855</v>
      </c>
      <c r="G78" s="44" t="s">
        <v>839</v>
      </c>
      <c r="H78" s="35" t="n">
        <v>588</v>
      </c>
      <c r="I78" s="48" t="n">
        <f aca="false">H78/Batch_cft</f>
        <v>16.6501486620416</v>
      </c>
      <c r="J78" s="18" t="n">
        <f aca="false">I78/Dens_Crush</f>
        <v>0.391768203812744</v>
      </c>
      <c r="K78" s="9" t="s">
        <v>109</v>
      </c>
      <c r="L78" s="9"/>
    </row>
    <row r="79" customFormat="false" ht="15" hidden="false" customHeight="true" outlineLevel="0" collapsed="false">
      <c r="A79" s="9" t="s">
        <v>2813</v>
      </c>
      <c r="B79" s="9" t="s">
        <v>123</v>
      </c>
      <c r="C79" s="5" t="s">
        <v>2811</v>
      </c>
      <c r="D79" s="9" t="s">
        <v>2808</v>
      </c>
      <c r="E79" s="9" t="s">
        <v>2809</v>
      </c>
      <c r="F79" s="9" t="s">
        <v>856</v>
      </c>
      <c r="G79" s="44" t="s">
        <v>839</v>
      </c>
      <c r="H79" s="35" t="n">
        <v>160</v>
      </c>
      <c r="I79" s="48" t="n">
        <f aca="false">H79/Batch_cft</f>
        <v>4.53065269715418</v>
      </c>
      <c r="J79" s="18" t="n">
        <f aca="false">I79/Dens_Crush</f>
        <v>0.106603592874216</v>
      </c>
      <c r="K79" s="9" t="s">
        <v>109</v>
      </c>
      <c r="L79" s="9"/>
    </row>
    <row r="80" customFormat="false" ht="15" hidden="false" customHeight="true" outlineLevel="0" collapsed="false">
      <c r="A80" s="9" t="s">
        <v>2813</v>
      </c>
      <c r="B80" s="9" t="s">
        <v>123</v>
      </c>
      <c r="C80" s="5" t="s">
        <v>2811</v>
      </c>
      <c r="D80" s="9" t="s">
        <v>2808</v>
      </c>
      <c r="E80" s="9" t="s">
        <v>2809</v>
      </c>
      <c r="F80" s="9" t="s">
        <v>857</v>
      </c>
      <c r="G80" s="44" t="s">
        <v>807</v>
      </c>
      <c r="H80" s="35" t="n">
        <v>6.2</v>
      </c>
      <c r="I80" s="48" t="n">
        <f aca="false">H80/Batch_cft</f>
        <v>0.175562792014725</v>
      </c>
      <c r="J80" s="18" t="n">
        <f aca="false">I80</f>
        <v>0.175562792014725</v>
      </c>
      <c r="K80" s="9" t="s">
        <v>198</v>
      </c>
      <c r="L80" s="9"/>
    </row>
    <row r="81" customFormat="false" ht="15" hidden="false" customHeight="true" outlineLevel="0" collapsed="false">
      <c r="A81" s="9" t="s">
        <v>2813</v>
      </c>
      <c r="B81" s="9" t="s">
        <v>123</v>
      </c>
      <c r="C81" s="5" t="s">
        <v>2811</v>
      </c>
      <c r="D81" s="9" t="s">
        <v>2808</v>
      </c>
      <c r="E81" s="9" t="s">
        <v>2809</v>
      </c>
      <c r="F81" s="9" t="s">
        <v>810</v>
      </c>
      <c r="G81" s="44" t="s">
        <v>809</v>
      </c>
      <c r="H81" s="35" t="n">
        <v>178</v>
      </c>
      <c r="I81" s="48" t="n">
        <f aca="false">H81/Batch_cft</f>
        <v>5.04035112558403</v>
      </c>
      <c r="J81" s="18" t="n">
        <f aca="false">I81</f>
        <v>5.04035112558403</v>
      </c>
      <c r="K81" s="9" t="s">
        <v>811</v>
      </c>
      <c r="L81" s="9"/>
    </row>
    <row r="82" customFormat="false" ht="36" hidden="false" customHeight="true" outlineLevel="0" collapsed="false">
      <c r="F82" s="24" t="s">
        <v>2792</v>
      </c>
      <c r="H82" s="14" t="n">
        <f aca="false">SUM(H75:H81)</f>
        <v>2433.2</v>
      </c>
      <c r="I82" s="49" t="n">
        <f aca="false">H81/H75</f>
        <v>0.342307692307692</v>
      </c>
      <c r="J82" s="50" t="n">
        <v>2433</v>
      </c>
      <c r="K82" s="22" t="str">
        <f aca="false">IF(ISNUMBER(J82),IF(ABS(H82-J82)&lt;=2,"Σ = lab density ✓","Σ ≠ lab density"),"—")</f>
        <v>Σ = lab density ✓</v>
      </c>
      <c r="L82" s="5"/>
    </row>
    <row r="84" customFormat="false" ht="21.75" hidden="false" customHeight="true" outlineLevel="0" collapsed="false">
      <c r="A84" s="9" t="s">
        <v>2814</v>
      </c>
      <c r="B84" s="9" t="s">
        <v>158</v>
      </c>
      <c r="C84" s="5" t="s">
        <v>2815</v>
      </c>
      <c r="D84" s="9" t="s">
        <v>2816</v>
      </c>
      <c r="E84" s="9" t="s">
        <v>2817</v>
      </c>
      <c r="F84" s="9" t="s">
        <v>850</v>
      </c>
      <c r="G84" s="44" t="s">
        <v>799</v>
      </c>
      <c r="H84" s="35" t="n">
        <v>325</v>
      </c>
      <c r="I84" s="48" t="n">
        <f aca="false">H84/Batch_cft</f>
        <v>9.20288829109444</v>
      </c>
      <c r="J84" s="18" t="n">
        <f aca="false">I84/Bag_kg</f>
        <v>0.184057765821889</v>
      </c>
      <c r="K84" s="9" t="s">
        <v>801</v>
      </c>
      <c r="L84" s="9"/>
    </row>
    <row r="85" customFormat="false" ht="21.75" hidden="false" customHeight="true" outlineLevel="0" collapsed="false">
      <c r="A85" s="9" t="s">
        <v>2814</v>
      </c>
      <c r="B85" s="9" t="s">
        <v>158</v>
      </c>
      <c r="C85" s="5" t="s">
        <v>2815</v>
      </c>
      <c r="D85" s="9" t="s">
        <v>2816</v>
      </c>
      <c r="E85" s="9" t="s">
        <v>2817</v>
      </c>
      <c r="F85" s="9" t="s">
        <v>810</v>
      </c>
      <c r="G85" s="44" t="s">
        <v>809</v>
      </c>
      <c r="H85" s="35" t="n">
        <v>192</v>
      </c>
      <c r="I85" s="48" t="n">
        <f aca="false">H85/Batch_cft</f>
        <v>5.43678323658502</v>
      </c>
      <c r="J85" s="18" t="n">
        <f aca="false">I85</f>
        <v>5.43678323658502</v>
      </c>
      <c r="K85" s="9" t="s">
        <v>811</v>
      </c>
      <c r="L85" s="9"/>
    </row>
    <row r="86" customFormat="false" ht="21.75" hidden="false" customHeight="true" outlineLevel="0" collapsed="false">
      <c r="A86" s="9" t="s">
        <v>2814</v>
      </c>
      <c r="B86" s="9" t="s">
        <v>158</v>
      </c>
      <c r="C86" s="5" t="s">
        <v>2815</v>
      </c>
      <c r="D86" s="9" t="s">
        <v>2816</v>
      </c>
      <c r="E86" s="9" t="s">
        <v>2817</v>
      </c>
      <c r="F86" s="9" t="s">
        <v>858</v>
      </c>
      <c r="G86" s="44" t="s">
        <v>807</v>
      </c>
      <c r="H86" s="35" t="n">
        <v>3.25</v>
      </c>
      <c r="I86" s="48" t="n">
        <f aca="false">H86/Batch_cft</f>
        <v>0.0920288829109444</v>
      </c>
      <c r="J86" s="18" t="n">
        <f aca="false">I86</f>
        <v>0.0920288829109444</v>
      </c>
      <c r="K86" s="9" t="s">
        <v>198</v>
      </c>
      <c r="L86" s="9"/>
    </row>
    <row r="87" customFormat="false" ht="21.75" hidden="false" customHeight="true" outlineLevel="0" collapsed="false">
      <c r="A87" s="9" t="s">
        <v>2814</v>
      </c>
      <c r="B87" s="9" t="s">
        <v>158</v>
      </c>
      <c r="C87" s="5" t="s">
        <v>2815</v>
      </c>
      <c r="D87" s="9" t="s">
        <v>2816</v>
      </c>
      <c r="E87" s="9" t="s">
        <v>2817</v>
      </c>
      <c r="F87" s="9" t="s">
        <v>854</v>
      </c>
      <c r="G87" s="44" t="s">
        <v>839</v>
      </c>
      <c r="H87" s="35" t="n">
        <v>105</v>
      </c>
      <c r="I87" s="48" t="n">
        <f aca="false">H87/Batch_cft</f>
        <v>2.97324083250743</v>
      </c>
      <c r="J87" s="18" t="n">
        <f aca="false">I87/Dens_Crush</f>
        <v>0.0699586078237043</v>
      </c>
      <c r="K87" s="9" t="s">
        <v>109</v>
      </c>
      <c r="L87" s="9"/>
    </row>
    <row r="88" customFormat="false" ht="21.75" hidden="false" customHeight="true" outlineLevel="0" collapsed="false">
      <c r="A88" s="9" t="s">
        <v>2814</v>
      </c>
      <c r="B88" s="9" t="s">
        <v>158</v>
      </c>
      <c r="C88" s="5" t="s">
        <v>2815</v>
      </c>
      <c r="D88" s="9" t="s">
        <v>2816</v>
      </c>
      <c r="E88" s="9" t="s">
        <v>2817</v>
      </c>
      <c r="F88" s="9" t="s">
        <v>855</v>
      </c>
      <c r="G88" s="44" t="s">
        <v>839</v>
      </c>
      <c r="H88" s="35" t="n">
        <v>738</v>
      </c>
      <c r="I88" s="48" t="n">
        <f aca="false">H88/Batch_cft</f>
        <v>20.8976355656237</v>
      </c>
      <c r="J88" s="18" t="n">
        <f aca="false">I88/Dens_Crush</f>
        <v>0.491709072132322</v>
      </c>
      <c r="K88" s="9" t="s">
        <v>109</v>
      </c>
      <c r="L88" s="9"/>
    </row>
    <row r="89" customFormat="false" ht="21.75" hidden="false" customHeight="true" outlineLevel="0" collapsed="false">
      <c r="A89" s="9" t="s">
        <v>2814</v>
      </c>
      <c r="B89" s="9" t="s">
        <v>158</v>
      </c>
      <c r="C89" s="5" t="s">
        <v>2815</v>
      </c>
      <c r="D89" s="9" t="s">
        <v>2816</v>
      </c>
      <c r="E89" s="9" t="s">
        <v>2817</v>
      </c>
      <c r="F89" s="9" t="s">
        <v>859</v>
      </c>
      <c r="G89" s="44" t="s">
        <v>839</v>
      </c>
      <c r="H89" s="35" t="n">
        <v>211</v>
      </c>
      <c r="I89" s="48" t="n">
        <f aca="false">H89/Batch_cft</f>
        <v>5.97479824437208</v>
      </c>
      <c r="J89" s="18" t="n">
        <f aca="false">I89/Dens_Crush</f>
        <v>0.140583488102873</v>
      </c>
      <c r="K89" s="9" t="s">
        <v>109</v>
      </c>
      <c r="L89" s="9"/>
    </row>
    <row r="90" customFormat="false" ht="21.75" hidden="false" customHeight="true" outlineLevel="0" collapsed="false">
      <c r="A90" s="9" t="s">
        <v>2814</v>
      </c>
      <c r="B90" s="9" t="s">
        <v>158</v>
      </c>
      <c r="C90" s="5" t="s">
        <v>2815</v>
      </c>
      <c r="D90" s="9" t="s">
        <v>2816</v>
      </c>
      <c r="E90" s="9" t="s">
        <v>2817</v>
      </c>
      <c r="F90" s="9" t="s">
        <v>851</v>
      </c>
      <c r="G90" s="44" t="s">
        <v>805</v>
      </c>
      <c r="H90" s="35" t="n">
        <v>760</v>
      </c>
      <c r="I90" s="48" t="n">
        <f aca="false">H90/Batch_cft</f>
        <v>21.5206003114824</v>
      </c>
      <c r="J90" s="18" t="n">
        <f aca="false">I90/Dens_Sand</f>
        <v>0.478235562477386</v>
      </c>
      <c r="K90" s="9" t="s">
        <v>109</v>
      </c>
      <c r="L90" s="9"/>
    </row>
    <row r="91" customFormat="false" ht="36" hidden="false" customHeight="true" outlineLevel="0" collapsed="false">
      <c r="F91" s="24" t="s">
        <v>2792</v>
      </c>
      <c r="H91" s="14" t="n">
        <f aca="false">SUM(H84:H90)</f>
        <v>2334.25</v>
      </c>
      <c r="I91" s="49" t="n">
        <f aca="false">H85/H84</f>
        <v>0.590769230769231</v>
      </c>
      <c r="J91" s="50" t="s">
        <v>2796</v>
      </c>
      <c r="K91" s="22" t="str">
        <f aca="false">IF(ISNUMBER(J91),IF(ABS(H91-J91)&lt;=2,"Σ = lab density ✓","Σ ≠ lab density"),"—")</f>
        <v>—</v>
      </c>
      <c r="L91" s="42" t="s">
        <v>161</v>
      </c>
    </row>
    <row r="93" customFormat="false" ht="21.75" hidden="false" customHeight="true" outlineLevel="0" collapsed="false">
      <c r="A93" s="9" t="s">
        <v>2818</v>
      </c>
      <c r="B93" s="9" t="s">
        <v>138</v>
      </c>
      <c r="C93" s="5" t="s">
        <v>2815</v>
      </c>
      <c r="D93" s="9" t="s">
        <v>2816</v>
      </c>
      <c r="E93" s="9" t="s">
        <v>2817</v>
      </c>
      <c r="F93" s="9" t="s">
        <v>850</v>
      </c>
      <c r="G93" s="44" t="s">
        <v>799</v>
      </c>
      <c r="H93" s="35" t="n">
        <v>425</v>
      </c>
      <c r="I93" s="48" t="n">
        <f aca="false">H93/Batch_cft</f>
        <v>12.0345462268158</v>
      </c>
      <c r="J93" s="18" t="n">
        <f aca="false">I93/Bag_kg</f>
        <v>0.240690924536316</v>
      </c>
      <c r="K93" s="9" t="s">
        <v>801</v>
      </c>
      <c r="L93" s="9"/>
    </row>
    <row r="94" customFormat="false" ht="21.75" hidden="false" customHeight="true" outlineLevel="0" collapsed="false">
      <c r="A94" s="9" t="s">
        <v>2818</v>
      </c>
      <c r="B94" s="9" t="s">
        <v>138</v>
      </c>
      <c r="C94" s="5" t="s">
        <v>2815</v>
      </c>
      <c r="D94" s="9" t="s">
        <v>2816</v>
      </c>
      <c r="E94" s="9" t="s">
        <v>2817</v>
      </c>
      <c r="F94" s="9" t="s">
        <v>810</v>
      </c>
      <c r="G94" s="44" t="s">
        <v>809</v>
      </c>
      <c r="H94" s="35" t="n">
        <v>192</v>
      </c>
      <c r="I94" s="48" t="n">
        <f aca="false">H94/Batch_cft</f>
        <v>5.43678323658502</v>
      </c>
      <c r="J94" s="18" t="n">
        <f aca="false">I94</f>
        <v>5.43678323658502</v>
      </c>
      <c r="K94" s="9" t="s">
        <v>811</v>
      </c>
      <c r="L94" s="9"/>
    </row>
    <row r="95" customFormat="false" ht="21.75" hidden="false" customHeight="true" outlineLevel="0" collapsed="false">
      <c r="A95" s="9" t="s">
        <v>2818</v>
      </c>
      <c r="B95" s="9" t="s">
        <v>138</v>
      </c>
      <c r="C95" s="5" t="s">
        <v>2815</v>
      </c>
      <c r="D95" s="9" t="s">
        <v>2816</v>
      </c>
      <c r="E95" s="9" t="s">
        <v>2817</v>
      </c>
      <c r="F95" s="9" t="s">
        <v>860</v>
      </c>
      <c r="G95" s="44" t="s">
        <v>807</v>
      </c>
      <c r="H95" s="35" t="n">
        <v>5.61</v>
      </c>
      <c r="I95" s="48" t="n">
        <f aca="false">H95/Batch_cft</f>
        <v>0.158856010193969</v>
      </c>
      <c r="J95" s="18" t="n">
        <f aca="false">I95</f>
        <v>0.158856010193969</v>
      </c>
      <c r="K95" s="9" t="s">
        <v>198</v>
      </c>
      <c r="L95" s="9"/>
    </row>
    <row r="96" customFormat="false" ht="21.75" hidden="false" customHeight="true" outlineLevel="0" collapsed="false">
      <c r="A96" s="9" t="s">
        <v>2818</v>
      </c>
      <c r="B96" s="9" t="s">
        <v>138</v>
      </c>
      <c r="C96" s="5" t="s">
        <v>2815</v>
      </c>
      <c r="D96" s="9" t="s">
        <v>2816</v>
      </c>
      <c r="E96" s="9" t="s">
        <v>2817</v>
      </c>
      <c r="F96" s="9" t="s">
        <v>854</v>
      </c>
      <c r="G96" s="44" t="s">
        <v>839</v>
      </c>
      <c r="H96" s="35" t="n">
        <v>105</v>
      </c>
      <c r="I96" s="48" t="n">
        <f aca="false">H96/Batch_cft</f>
        <v>2.97324083250743</v>
      </c>
      <c r="J96" s="18" t="n">
        <f aca="false">I96/Dens_Crush</f>
        <v>0.0699586078237043</v>
      </c>
      <c r="K96" s="9" t="s">
        <v>109</v>
      </c>
      <c r="L96" s="9"/>
    </row>
    <row r="97" customFormat="false" ht="21.75" hidden="false" customHeight="true" outlineLevel="0" collapsed="false">
      <c r="A97" s="9" t="s">
        <v>2818</v>
      </c>
      <c r="B97" s="9" t="s">
        <v>138</v>
      </c>
      <c r="C97" s="5" t="s">
        <v>2815</v>
      </c>
      <c r="D97" s="9" t="s">
        <v>2816</v>
      </c>
      <c r="E97" s="9" t="s">
        <v>2817</v>
      </c>
      <c r="F97" s="9" t="s">
        <v>855</v>
      </c>
      <c r="G97" s="44" t="s">
        <v>839</v>
      </c>
      <c r="H97" s="35" t="n">
        <v>738</v>
      </c>
      <c r="I97" s="48" t="n">
        <f aca="false">H97/Batch_cft</f>
        <v>20.8976355656237</v>
      </c>
      <c r="J97" s="18" t="n">
        <f aca="false">I97/Dens_Crush</f>
        <v>0.491709072132322</v>
      </c>
      <c r="K97" s="9" t="s">
        <v>109</v>
      </c>
      <c r="L97" s="9"/>
    </row>
    <row r="98" customFormat="false" ht="21.75" hidden="false" customHeight="true" outlineLevel="0" collapsed="false">
      <c r="A98" s="9" t="s">
        <v>2818</v>
      </c>
      <c r="B98" s="9" t="s">
        <v>138</v>
      </c>
      <c r="C98" s="5" t="s">
        <v>2815</v>
      </c>
      <c r="D98" s="9" t="s">
        <v>2816</v>
      </c>
      <c r="E98" s="9" t="s">
        <v>2817</v>
      </c>
      <c r="F98" s="9" t="s">
        <v>859</v>
      </c>
      <c r="G98" s="44" t="s">
        <v>839</v>
      </c>
      <c r="H98" s="35" t="n">
        <v>211</v>
      </c>
      <c r="I98" s="48" t="n">
        <f aca="false">H98/Batch_cft</f>
        <v>5.97479824437208</v>
      </c>
      <c r="J98" s="18" t="n">
        <f aca="false">I98/Dens_Crush</f>
        <v>0.140583488102873</v>
      </c>
      <c r="K98" s="9" t="s">
        <v>109</v>
      </c>
      <c r="L98" s="9"/>
    </row>
    <row r="99" customFormat="false" ht="21.75" hidden="false" customHeight="true" outlineLevel="0" collapsed="false">
      <c r="A99" s="9" t="s">
        <v>2818</v>
      </c>
      <c r="B99" s="9" t="s">
        <v>138</v>
      </c>
      <c r="C99" s="5" t="s">
        <v>2815</v>
      </c>
      <c r="D99" s="9" t="s">
        <v>2816</v>
      </c>
      <c r="E99" s="9" t="s">
        <v>2817</v>
      </c>
      <c r="F99" s="9" t="s">
        <v>851</v>
      </c>
      <c r="G99" s="44" t="s">
        <v>805</v>
      </c>
      <c r="H99" s="35" t="n">
        <v>671</v>
      </c>
      <c r="I99" s="48" t="n">
        <f aca="false">H99/Batch_cft</f>
        <v>19.0004247486904</v>
      </c>
      <c r="J99" s="18" t="n">
        <f aca="false">I99/Dens_Sand</f>
        <v>0.422231661082008</v>
      </c>
      <c r="K99" s="9" t="s">
        <v>109</v>
      </c>
      <c r="L99" s="9"/>
    </row>
    <row r="100" customFormat="false" ht="36" hidden="false" customHeight="true" outlineLevel="0" collapsed="false">
      <c r="F100" s="24" t="s">
        <v>2792</v>
      </c>
      <c r="H100" s="14" t="n">
        <f aca="false">SUM(H93:H99)</f>
        <v>2347.61</v>
      </c>
      <c r="I100" s="49" t="n">
        <f aca="false">H94/H93</f>
        <v>0.451764705882353</v>
      </c>
      <c r="J100" s="50" t="s">
        <v>2796</v>
      </c>
      <c r="K100" s="22" t="str">
        <f aca="false">IF(ISNUMBER(J100),IF(ABS(H100-J100)&lt;=2,"Σ = lab density ✓","Σ ≠ lab density"),"—")</f>
        <v>—</v>
      </c>
      <c r="L100" s="42" t="s">
        <v>165</v>
      </c>
    </row>
    <row r="102" customFormat="false" ht="21.75" hidden="false" customHeight="true" outlineLevel="0" collapsed="false">
      <c r="A102" s="9" t="s">
        <v>2819</v>
      </c>
      <c r="B102" s="9" t="s">
        <v>133</v>
      </c>
      <c r="C102" s="5" t="s">
        <v>2815</v>
      </c>
      <c r="D102" s="9" t="s">
        <v>2816</v>
      </c>
      <c r="E102" s="9" t="s">
        <v>2817</v>
      </c>
      <c r="F102" s="9" t="s">
        <v>850</v>
      </c>
      <c r="G102" s="44" t="s">
        <v>799</v>
      </c>
      <c r="H102" s="35" t="n">
        <v>465</v>
      </c>
      <c r="I102" s="48" t="n">
        <f aca="false">H102/Batch_cft</f>
        <v>13.1672094011043</v>
      </c>
      <c r="J102" s="18" t="n">
        <f aca="false">I102/Bag_kg</f>
        <v>0.263344188022087</v>
      </c>
      <c r="K102" s="9" t="s">
        <v>801</v>
      </c>
      <c r="L102" s="9"/>
    </row>
    <row r="103" customFormat="false" ht="21.75" hidden="false" customHeight="true" outlineLevel="0" collapsed="false">
      <c r="A103" s="9" t="s">
        <v>2819</v>
      </c>
      <c r="B103" s="9" t="s">
        <v>133</v>
      </c>
      <c r="C103" s="5" t="s">
        <v>2815</v>
      </c>
      <c r="D103" s="9" t="s">
        <v>2816</v>
      </c>
      <c r="E103" s="9" t="s">
        <v>2817</v>
      </c>
      <c r="F103" s="9" t="s">
        <v>810</v>
      </c>
      <c r="G103" s="44" t="s">
        <v>809</v>
      </c>
      <c r="H103" s="35" t="n">
        <v>186</v>
      </c>
      <c r="I103" s="48" t="n">
        <f aca="false">H103/Batch_cft</f>
        <v>5.26688376044174</v>
      </c>
      <c r="J103" s="18" t="n">
        <f aca="false">I103</f>
        <v>5.26688376044174</v>
      </c>
      <c r="K103" s="9" t="s">
        <v>811</v>
      </c>
      <c r="L103" s="9"/>
    </row>
    <row r="104" customFormat="false" ht="21.75" hidden="false" customHeight="true" outlineLevel="0" collapsed="false">
      <c r="A104" s="9" t="s">
        <v>2819</v>
      </c>
      <c r="B104" s="9" t="s">
        <v>133</v>
      </c>
      <c r="C104" s="5" t="s">
        <v>2815</v>
      </c>
      <c r="D104" s="9" t="s">
        <v>2816</v>
      </c>
      <c r="E104" s="9" t="s">
        <v>2817</v>
      </c>
      <c r="F104" s="9" t="s">
        <v>861</v>
      </c>
      <c r="G104" s="44" t="s">
        <v>807</v>
      </c>
      <c r="H104" s="35" t="n">
        <v>6.51</v>
      </c>
      <c r="I104" s="48" t="n">
        <f aca="false">H104/Batch_cft</f>
        <v>0.184340931615461</v>
      </c>
      <c r="J104" s="18" t="n">
        <f aca="false">I104</f>
        <v>0.184340931615461</v>
      </c>
      <c r="K104" s="9" t="s">
        <v>198</v>
      </c>
      <c r="L104" s="9"/>
    </row>
    <row r="105" customFormat="false" ht="21.75" hidden="false" customHeight="true" outlineLevel="0" collapsed="false">
      <c r="A105" s="9" t="s">
        <v>2819</v>
      </c>
      <c r="B105" s="9" t="s">
        <v>133</v>
      </c>
      <c r="C105" s="5" t="s">
        <v>2815</v>
      </c>
      <c r="D105" s="9" t="s">
        <v>2816</v>
      </c>
      <c r="E105" s="9" t="s">
        <v>2817</v>
      </c>
      <c r="F105" s="9" t="s">
        <v>854</v>
      </c>
      <c r="G105" s="44" t="s">
        <v>839</v>
      </c>
      <c r="H105" s="35" t="n">
        <v>105</v>
      </c>
      <c r="I105" s="48" t="n">
        <f aca="false">H105/Batch_cft</f>
        <v>2.97324083250743</v>
      </c>
      <c r="J105" s="18" t="n">
        <f aca="false">I105/Dens_Crush</f>
        <v>0.0699586078237043</v>
      </c>
      <c r="K105" s="9" t="s">
        <v>109</v>
      </c>
      <c r="L105" s="9"/>
    </row>
    <row r="106" customFormat="false" ht="21.75" hidden="false" customHeight="true" outlineLevel="0" collapsed="false">
      <c r="A106" s="9" t="s">
        <v>2819</v>
      </c>
      <c r="B106" s="9" t="s">
        <v>133</v>
      </c>
      <c r="C106" s="5" t="s">
        <v>2815</v>
      </c>
      <c r="D106" s="9" t="s">
        <v>2816</v>
      </c>
      <c r="E106" s="9" t="s">
        <v>2817</v>
      </c>
      <c r="F106" s="9" t="s">
        <v>855</v>
      </c>
      <c r="G106" s="44" t="s">
        <v>839</v>
      </c>
      <c r="H106" s="35" t="n">
        <v>738</v>
      </c>
      <c r="I106" s="48" t="n">
        <f aca="false">H106/Batch_cft</f>
        <v>20.8976355656237</v>
      </c>
      <c r="J106" s="18" t="n">
        <f aca="false">I106/Dens_Crush</f>
        <v>0.491709072132322</v>
      </c>
      <c r="K106" s="9" t="s">
        <v>109</v>
      </c>
      <c r="L106" s="9"/>
    </row>
    <row r="107" customFormat="false" ht="21.75" hidden="false" customHeight="true" outlineLevel="0" collapsed="false">
      <c r="A107" s="9" t="s">
        <v>2819</v>
      </c>
      <c r="B107" s="9" t="s">
        <v>133</v>
      </c>
      <c r="C107" s="5" t="s">
        <v>2815</v>
      </c>
      <c r="D107" s="9" t="s">
        <v>2816</v>
      </c>
      <c r="E107" s="9" t="s">
        <v>2817</v>
      </c>
      <c r="F107" s="9" t="s">
        <v>859</v>
      </c>
      <c r="G107" s="44" t="s">
        <v>839</v>
      </c>
      <c r="H107" s="35" t="n">
        <v>211</v>
      </c>
      <c r="I107" s="48" t="n">
        <f aca="false">H107/Batch_cft</f>
        <v>5.97479824437208</v>
      </c>
      <c r="J107" s="18" t="n">
        <f aca="false">I107/Dens_Crush</f>
        <v>0.140583488102873</v>
      </c>
      <c r="K107" s="9" t="s">
        <v>109</v>
      </c>
      <c r="L107" s="9"/>
    </row>
    <row r="108" customFormat="false" ht="21.75" hidden="false" customHeight="true" outlineLevel="0" collapsed="false">
      <c r="A108" s="9" t="s">
        <v>2819</v>
      </c>
      <c r="B108" s="9" t="s">
        <v>133</v>
      </c>
      <c r="C108" s="5" t="s">
        <v>2815</v>
      </c>
      <c r="D108" s="9" t="s">
        <v>2816</v>
      </c>
      <c r="E108" s="9" t="s">
        <v>2817</v>
      </c>
      <c r="F108" s="9" t="s">
        <v>851</v>
      </c>
      <c r="G108" s="44" t="s">
        <v>805</v>
      </c>
      <c r="H108" s="35" t="n">
        <v>649</v>
      </c>
      <c r="I108" s="48" t="n">
        <f aca="false">H108/Batch_cft</f>
        <v>18.3774600028317</v>
      </c>
      <c r="J108" s="18" t="n">
        <f aca="false">I108/Dens_Sand</f>
        <v>0.408388000062926</v>
      </c>
      <c r="K108" s="9" t="s">
        <v>109</v>
      </c>
      <c r="L108" s="9"/>
    </row>
    <row r="109" customFormat="false" ht="36" hidden="false" customHeight="true" outlineLevel="0" collapsed="false">
      <c r="F109" s="24" t="s">
        <v>2792</v>
      </c>
      <c r="H109" s="14" t="n">
        <f aca="false">SUM(H102:H108)</f>
        <v>2360.51</v>
      </c>
      <c r="I109" s="49" t="n">
        <f aca="false">H103/H102</f>
        <v>0.4</v>
      </c>
      <c r="J109" s="50" t="s">
        <v>2796</v>
      </c>
      <c r="K109" s="22" t="str">
        <f aca="false">IF(ISNUMBER(J109),IF(ABS(H109-J109)&lt;=2,"Σ = lab density ✓","Σ ≠ lab density"),"—")</f>
        <v>—</v>
      </c>
      <c r="L109" s="42" t="s">
        <v>169</v>
      </c>
    </row>
    <row r="111" customFormat="false" ht="21.75" hidden="false" customHeight="true" outlineLevel="0" collapsed="false">
      <c r="A111" s="9" t="s">
        <v>2820</v>
      </c>
      <c r="B111" s="9" t="s">
        <v>106</v>
      </c>
      <c r="C111" s="5" t="s">
        <v>2815</v>
      </c>
      <c r="D111" s="9" t="s">
        <v>2816</v>
      </c>
      <c r="E111" s="9" t="s">
        <v>2817</v>
      </c>
      <c r="F111" s="9" t="s">
        <v>850</v>
      </c>
      <c r="G111" s="44" t="s">
        <v>799</v>
      </c>
      <c r="H111" s="35" t="n">
        <v>515</v>
      </c>
      <c r="I111" s="48" t="n">
        <f aca="false">H111/Batch_cft</f>
        <v>14.583038368965</v>
      </c>
      <c r="J111" s="18" t="n">
        <f aca="false">I111/Bag_kg</f>
        <v>0.291660767379301</v>
      </c>
      <c r="K111" s="9" t="s">
        <v>801</v>
      </c>
      <c r="L111" s="9"/>
    </row>
    <row r="112" customFormat="false" ht="21.75" hidden="false" customHeight="true" outlineLevel="0" collapsed="false">
      <c r="A112" s="9" t="s">
        <v>2820</v>
      </c>
      <c r="B112" s="9" t="s">
        <v>106</v>
      </c>
      <c r="C112" s="5" t="s">
        <v>2815</v>
      </c>
      <c r="D112" s="9" t="s">
        <v>2816</v>
      </c>
      <c r="E112" s="9" t="s">
        <v>2817</v>
      </c>
      <c r="F112" s="9" t="s">
        <v>810</v>
      </c>
      <c r="G112" s="44" t="s">
        <v>809</v>
      </c>
      <c r="H112" s="35" t="n">
        <v>191</v>
      </c>
      <c r="I112" s="48" t="n">
        <f aca="false">H112/Batch_cft</f>
        <v>5.40846665722781</v>
      </c>
      <c r="J112" s="18" t="n">
        <f aca="false">I112</f>
        <v>5.40846665722781</v>
      </c>
      <c r="K112" s="9" t="s">
        <v>811</v>
      </c>
      <c r="L112" s="9"/>
    </row>
    <row r="113" customFormat="false" ht="21.75" hidden="false" customHeight="true" outlineLevel="0" collapsed="false">
      <c r="A113" s="9" t="s">
        <v>2820</v>
      </c>
      <c r="B113" s="9" t="s">
        <v>106</v>
      </c>
      <c r="C113" s="5" t="s">
        <v>2815</v>
      </c>
      <c r="D113" s="9" t="s">
        <v>2816</v>
      </c>
      <c r="E113" s="9" t="s">
        <v>2817</v>
      </c>
      <c r="F113" s="9" t="s">
        <v>862</v>
      </c>
      <c r="G113" s="44" t="s">
        <v>807</v>
      </c>
      <c r="H113" s="35" t="n">
        <v>7.29</v>
      </c>
      <c r="I113" s="48" t="n">
        <f aca="false">H113/Batch_cft</f>
        <v>0.206427863514088</v>
      </c>
      <c r="J113" s="18" t="n">
        <f aca="false">I113</f>
        <v>0.206427863514088</v>
      </c>
      <c r="K113" s="9" t="s">
        <v>198</v>
      </c>
      <c r="L113" s="9"/>
    </row>
    <row r="114" customFormat="false" ht="21.75" hidden="false" customHeight="true" outlineLevel="0" collapsed="false">
      <c r="A114" s="9" t="s">
        <v>2820</v>
      </c>
      <c r="B114" s="9" t="s">
        <v>106</v>
      </c>
      <c r="C114" s="5" t="s">
        <v>2815</v>
      </c>
      <c r="D114" s="9" t="s">
        <v>2816</v>
      </c>
      <c r="E114" s="9" t="s">
        <v>2817</v>
      </c>
      <c r="F114" s="9" t="s">
        <v>854</v>
      </c>
      <c r="G114" s="44" t="s">
        <v>839</v>
      </c>
      <c r="H114" s="35" t="n">
        <v>105</v>
      </c>
      <c r="I114" s="48" t="n">
        <f aca="false">H114/Batch_cft</f>
        <v>2.97324083250743</v>
      </c>
      <c r="J114" s="18" t="n">
        <f aca="false">I114/Dens_Crush</f>
        <v>0.0699586078237043</v>
      </c>
      <c r="K114" s="9" t="s">
        <v>109</v>
      </c>
      <c r="L114" s="9"/>
    </row>
    <row r="115" customFormat="false" ht="21.75" hidden="false" customHeight="true" outlineLevel="0" collapsed="false">
      <c r="A115" s="9" t="s">
        <v>2820</v>
      </c>
      <c r="B115" s="9" t="s">
        <v>106</v>
      </c>
      <c r="C115" s="5" t="s">
        <v>2815</v>
      </c>
      <c r="D115" s="9" t="s">
        <v>2816</v>
      </c>
      <c r="E115" s="9" t="s">
        <v>2817</v>
      </c>
      <c r="F115" s="9" t="s">
        <v>855</v>
      </c>
      <c r="G115" s="44" t="s">
        <v>839</v>
      </c>
      <c r="H115" s="35" t="n">
        <v>738</v>
      </c>
      <c r="I115" s="48" t="n">
        <f aca="false">H115/Batch_cft</f>
        <v>20.8976355656237</v>
      </c>
      <c r="J115" s="18" t="n">
        <f aca="false">I115/Dens_Crush</f>
        <v>0.491709072132322</v>
      </c>
      <c r="K115" s="9" t="s">
        <v>109</v>
      </c>
      <c r="L115" s="9"/>
    </row>
    <row r="116" customFormat="false" ht="21.75" hidden="false" customHeight="true" outlineLevel="0" collapsed="false">
      <c r="A116" s="9" t="s">
        <v>2820</v>
      </c>
      <c r="B116" s="9" t="s">
        <v>106</v>
      </c>
      <c r="C116" s="5" t="s">
        <v>2815</v>
      </c>
      <c r="D116" s="9" t="s">
        <v>2816</v>
      </c>
      <c r="E116" s="9" t="s">
        <v>2817</v>
      </c>
      <c r="F116" s="9" t="s">
        <v>859</v>
      </c>
      <c r="G116" s="44" t="s">
        <v>839</v>
      </c>
      <c r="H116" s="35" t="n">
        <v>211</v>
      </c>
      <c r="I116" s="48" t="n">
        <f aca="false">H116/Batch_cft</f>
        <v>5.97479824437208</v>
      </c>
      <c r="J116" s="18" t="n">
        <f aca="false">I116/Dens_Crush</f>
        <v>0.140583488102873</v>
      </c>
      <c r="K116" s="9" t="s">
        <v>109</v>
      </c>
      <c r="L116" s="9"/>
    </row>
    <row r="117" customFormat="false" ht="21.75" hidden="false" customHeight="true" outlineLevel="0" collapsed="false">
      <c r="A117" s="9" t="s">
        <v>2820</v>
      </c>
      <c r="B117" s="9" t="s">
        <v>106</v>
      </c>
      <c r="C117" s="5" t="s">
        <v>2815</v>
      </c>
      <c r="D117" s="9" t="s">
        <v>2816</v>
      </c>
      <c r="E117" s="9" t="s">
        <v>2817</v>
      </c>
      <c r="F117" s="9" t="s">
        <v>851</v>
      </c>
      <c r="G117" s="44" t="s">
        <v>805</v>
      </c>
      <c r="H117" s="35" t="n">
        <v>593</v>
      </c>
      <c r="I117" s="48" t="n">
        <f aca="false">H117/Batch_cft</f>
        <v>16.7917315588277</v>
      </c>
      <c r="J117" s="18" t="n">
        <f aca="false">I117/Dens_Sand</f>
        <v>0.373149590196171</v>
      </c>
      <c r="K117" s="9" t="s">
        <v>109</v>
      </c>
      <c r="L117" s="9"/>
    </row>
    <row r="118" customFormat="false" ht="36" hidden="false" customHeight="true" outlineLevel="0" collapsed="false">
      <c r="F118" s="24" t="s">
        <v>2792</v>
      </c>
      <c r="H118" s="14" t="n">
        <f aca="false">SUM(H111:H117)</f>
        <v>2360.29</v>
      </c>
      <c r="I118" s="49" t="n">
        <f aca="false">H112/H111</f>
        <v>0.370873786407767</v>
      </c>
      <c r="J118" s="50" t="s">
        <v>2796</v>
      </c>
      <c r="K118" s="22" t="str">
        <f aca="false">IF(ISNUMBER(J118),IF(ABS(H118-J118)&lt;=2,"Σ = lab density ✓","Σ ≠ lab density"),"—")</f>
        <v>—</v>
      </c>
      <c r="L118" s="42" t="s">
        <v>173</v>
      </c>
    </row>
    <row r="120" customFormat="false" ht="21.75" hidden="false" customHeight="true" outlineLevel="0" collapsed="false">
      <c r="A120" s="9" t="s">
        <v>2821</v>
      </c>
      <c r="B120" s="9" t="s">
        <v>175</v>
      </c>
      <c r="C120" s="5" t="s">
        <v>2815</v>
      </c>
      <c r="D120" s="9" t="s">
        <v>2816</v>
      </c>
      <c r="E120" s="9" t="s">
        <v>2817</v>
      </c>
      <c r="F120" s="9" t="s">
        <v>850</v>
      </c>
      <c r="G120" s="44" t="s">
        <v>799</v>
      </c>
      <c r="H120" s="35" t="n">
        <v>530</v>
      </c>
      <c r="I120" s="48" t="n">
        <f aca="false">H120/Batch_cft</f>
        <v>15.0077870593232</v>
      </c>
      <c r="J120" s="18" t="n">
        <f aca="false">I120/Bag_kg</f>
        <v>0.300155741186465</v>
      </c>
      <c r="K120" s="9" t="s">
        <v>801</v>
      </c>
      <c r="L120" s="9"/>
    </row>
    <row r="121" customFormat="false" ht="21.75" hidden="false" customHeight="true" outlineLevel="0" collapsed="false">
      <c r="A121" s="9" t="s">
        <v>2821</v>
      </c>
      <c r="B121" s="9" t="s">
        <v>175</v>
      </c>
      <c r="C121" s="5" t="s">
        <v>2815</v>
      </c>
      <c r="D121" s="9" t="s">
        <v>2816</v>
      </c>
      <c r="E121" s="9" t="s">
        <v>2817</v>
      </c>
      <c r="F121" s="9" t="s">
        <v>810</v>
      </c>
      <c r="G121" s="44" t="s">
        <v>809</v>
      </c>
      <c r="H121" s="35" t="n">
        <v>191</v>
      </c>
      <c r="I121" s="48" t="n">
        <f aca="false">H121/Batch_cft</f>
        <v>5.40846665722781</v>
      </c>
      <c r="J121" s="18" t="n">
        <f aca="false">I121</f>
        <v>5.40846665722781</v>
      </c>
      <c r="K121" s="9" t="s">
        <v>811</v>
      </c>
      <c r="L121" s="9"/>
    </row>
    <row r="122" customFormat="false" ht="21.75" hidden="false" customHeight="true" outlineLevel="0" collapsed="false">
      <c r="A122" s="9" t="s">
        <v>2821</v>
      </c>
      <c r="B122" s="9" t="s">
        <v>175</v>
      </c>
      <c r="C122" s="5" t="s">
        <v>2815</v>
      </c>
      <c r="D122" s="9" t="s">
        <v>2816</v>
      </c>
      <c r="E122" s="9" t="s">
        <v>2817</v>
      </c>
      <c r="F122" s="9" t="s">
        <v>862</v>
      </c>
      <c r="G122" s="44" t="s">
        <v>807</v>
      </c>
      <c r="H122" s="35" t="n">
        <v>7.5</v>
      </c>
      <c r="I122" s="48" t="n">
        <f aca="false">H122/Batch_cft</f>
        <v>0.212374345179102</v>
      </c>
      <c r="J122" s="18" t="n">
        <f aca="false">I122</f>
        <v>0.212374345179102</v>
      </c>
      <c r="K122" s="9" t="s">
        <v>198</v>
      </c>
      <c r="L122" s="9"/>
    </row>
    <row r="123" customFormat="false" ht="21.75" hidden="false" customHeight="true" outlineLevel="0" collapsed="false">
      <c r="A123" s="9" t="s">
        <v>2821</v>
      </c>
      <c r="B123" s="9" t="s">
        <v>175</v>
      </c>
      <c r="C123" s="5" t="s">
        <v>2815</v>
      </c>
      <c r="D123" s="9" t="s">
        <v>2816</v>
      </c>
      <c r="E123" s="9" t="s">
        <v>2817</v>
      </c>
      <c r="F123" s="9" t="s">
        <v>854</v>
      </c>
      <c r="G123" s="44" t="s">
        <v>839</v>
      </c>
      <c r="H123" s="35" t="n">
        <v>105</v>
      </c>
      <c r="I123" s="48" t="n">
        <f aca="false">H123/Batch_cft</f>
        <v>2.97324083250743</v>
      </c>
      <c r="J123" s="18" t="n">
        <f aca="false">I123/Dens_Crush</f>
        <v>0.0699586078237043</v>
      </c>
      <c r="K123" s="9" t="s">
        <v>109</v>
      </c>
      <c r="L123" s="9"/>
    </row>
    <row r="124" customFormat="false" ht="21.75" hidden="false" customHeight="true" outlineLevel="0" collapsed="false">
      <c r="A124" s="9" t="s">
        <v>2821</v>
      </c>
      <c r="B124" s="9" t="s">
        <v>175</v>
      </c>
      <c r="C124" s="5" t="s">
        <v>2815</v>
      </c>
      <c r="D124" s="9" t="s">
        <v>2816</v>
      </c>
      <c r="E124" s="9" t="s">
        <v>2817</v>
      </c>
      <c r="F124" s="9" t="s">
        <v>855</v>
      </c>
      <c r="G124" s="44" t="s">
        <v>839</v>
      </c>
      <c r="H124" s="35" t="n">
        <v>738</v>
      </c>
      <c r="I124" s="48" t="n">
        <f aca="false">H124/Batch_cft</f>
        <v>20.8976355656237</v>
      </c>
      <c r="J124" s="18" t="n">
        <f aca="false">I124/Dens_Crush</f>
        <v>0.491709072132322</v>
      </c>
      <c r="K124" s="9" t="s">
        <v>109</v>
      </c>
      <c r="L124" s="9"/>
    </row>
    <row r="125" customFormat="false" ht="21.75" hidden="false" customHeight="true" outlineLevel="0" collapsed="false">
      <c r="A125" s="9" t="s">
        <v>2821</v>
      </c>
      <c r="B125" s="9" t="s">
        <v>175</v>
      </c>
      <c r="C125" s="5" t="s">
        <v>2815</v>
      </c>
      <c r="D125" s="9" t="s">
        <v>2816</v>
      </c>
      <c r="E125" s="9" t="s">
        <v>2817</v>
      </c>
      <c r="F125" s="9" t="s">
        <v>859</v>
      </c>
      <c r="G125" s="44" t="s">
        <v>839</v>
      </c>
      <c r="H125" s="35" t="n">
        <v>211</v>
      </c>
      <c r="I125" s="48" t="n">
        <f aca="false">H125/Batch_cft</f>
        <v>5.97479824437208</v>
      </c>
      <c r="J125" s="18" t="n">
        <f aca="false">I125/Dens_Crush</f>
        <v>0.140583488102873</v>
      </c>
      <c r="K125" s="9" t="s">
        <v>109</v>
      </c>
      <c r="L125" s="9"/>
    </row>
    <row r="126" customFormat="false" ht="21.75" hidden="false" customHeight="true" outlineLevel="0" collapsed="false">
      <c r="A126" s="9" t="s">
        <v>2821</v>
      </c>
      <c r="B126" s="9" t="s">
        <v>175</v>
      </c>
      <c r="C126" s="5" t="s">
        <v>2815</v>
      </c>
      <c r="D126" s="9" t="s">
        <v>2816</v>
      </c>
      <c r="E126" s="9" t="s">
        <v>2817</v>
      </c>
      <c r="F126" s="9" t="s">
        <v>851</v>
      </c>
      <c r="G126" s="44" t="s">
        <v>805</v>
      </c>
      <c r="H126" s="35" t="n">
        <v>579</v>
      </c>
      <c r="I126" s="48" t="n">
        <f aca="false">H126/Batch_cft</f>
        <v>16.3952994478267</v>
      </c>
      <c r="J126" s="18" t="n">
        <f aca="false">I126/Dens_Sand</f>
        <v>0.364339987729482</v>
      </c>
      <c r="K126" s="9" t="s">
        <v>109</v>
      </c>
      <c r="L126" s="9"/>
    </row>
    <row r="127" customFormat="false" ht="36" hidden="false" customHeight="true" outlineLevel="0" collapsed="false">
      <c r="F127" s="24" t="s">
        <v>2792</v>
      </c>
      <c r="H127" s="14" t="n">
        <f aca="false">SUM(H120:H126)</f>
        <v>2361.5</v>
      </c>
      <c r="I127" s="49" t="n">
        <f aca="false">H121/H120</f>
        <v>0.360377358490566</v>
      </c>
      <c r="J127" s="50" t="s">
        <v>2796</v>
      </c>
      <c r="K127" s="22" t="str">
        <f aca="false">IF(ISNUMBER(J127),IF(ABS(H127-J127)&lt;=2,"Σ = lab density ✓","Σ ≠ lab density"),"—")</f>
        <v>—</v>
      </c>
      <c r="L127" s="4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30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30"/>
  </cols>
  <sheetData>
    <row r="1" customFormat="false" ht="15.75" hidden="false" customHeight="true" outlineLevel="0" collapsed="false">
      <c r="A1" s="2" t="s">
        <v>2822</v>
      </c>
    </row>
    <row r="2" customFormat="false" ht="15" hidden="false" customHeight="true" outlineLevel="0" collapsed="false">
      <c r="A2" s="3" t="s">
        <v>2823</v>
      </c>
    </row>
    <row r="4" customFormat="false" ht="42.75" hidden="false" customHeight="true" outlineLevel="0" collapsed="false">
      <c r="A4" s="12" t="s">
        <v>2824</v>
      </c>
      <c r="B4" s="12" t="s">
        <v>790</v>
      </c>
      <c r="C4" s="12" t="s">
        <v>791</v>
      </c>
      <c r="D4" s="12" t="s">
        <v>1464</v>
      </c>
      <c r="E4" s="12" t="s">
        <v>81</v>
      </c>
      <c r="F4" s="12" t="s">
        <v>2825</v>
      </c>
      <c r="G4" s="12" t="s">
        <v>2826</v>
      </c>
      <c r="H4" s="12" t="s">
        <v>2827</v>
      </c>
      <c r="I4" s="12" t="s">
        <v>2828</v>
      </c>
      <c r="J4" s="12" t="s">
        <v>2829</v>
      </c>
      <c r="K4" s="12" t="s">
        <v>2830</v>
      </c>
      <c r="L4" s="12" t="s">
        <v>2831</v>
      </c>
    </row>
    <row r="5" customFormat="false" ht="15" hidden="false" customHeight="true" outlineLevel="0" collapsed="false">
      <c r="A5" s="9" t="s">
        <v>2832</v>
      </c>
      <c r="B5" s="9" t="s">
        <v>1608</v>
      </c>
      <c r="C5" s="5" t="s">
        <v>1609</v>
      </c>
      <c r="D5" s="5" t="s">
        <v>1610</v>
      </c>
      <c r="E5" s="9" t="s">
        <v>386</v>
      </c>
      <c r="F5" s="29" t="n">
        <v>45</v>
      </c>
      <c r="G5" s="9" t="s">
        <v>2833</v>
      </c>
      <c r="H5" s="35"/>
      <c r="I5" s="44"/>
      <c r="J5" s="44"/>
      <c r="K5" s="44"/>
      <c r="L5" s="44" t="s">
        <v>2834</v>
      </c>
    </row>
    <row r="6" customFormat="false" ht="15" hidden="false" customHeight="true" outlineLevel="0" collapsed="false">
      <c r="A6" s="9" t="s">
        <v>2832</v>
      </c>
      <c r="B6" s="9" t="s">
        <v>1604</v>
      </c>
      <c r="C6" s="5" t="s">
        <v>1605</v>
      </c>
      <c r="D6" s="5" t="s">
        <v>1606</v>
      </c>
      <c r="E6" s="9" t="s">
        <v>386</v>
      </c>
      <c r="F6" s="29" t="n">
        <v>60</v>
      </c>
      <c r="G6" s="9" t="s">
        <v>2833</v>
      </c>
      <c r="H6" s="35"/>
      <c r="I6" s="44"/>
      <c r="J6" s="44"/>
      <c r="K6" s="44"/>
      <c r="L6" s="44" t="s">
        <v>2834</v>
      </c>
    </row>
    <row r="7" customFormat="false" ht="15" hidden="false" customHeight="true" outlineLevel="0" collapsed="false">
      <c r="A7" s="9" t="s">
        <v>2832</v>
      </c>
      <c r="B7" s="9" t="s">
        <v>1611</v>
      </c>
      <c r="C7" s="5" t="s">
        <v>1612</v>
      </c>
      <c r="D7" s="5" t="s">
        <v>1613</v>
      </c>
      <c r="E7" s="9" t="s">
        <v>386</v>
      </c>
      <c r="F7" s="29" t="n">
        <v>35</v>
      </c>
      <c r="G7" s="9" t="s">
        <v>2833</v>
      </c>
      <c r="H7" s="35"/>
      <c r="I7" s="44"/>
      <c r="J7" s="44"/>
      <c r="K7" s="44"/>
      <c r="L7" s="44" t="s">
        <v>2834</v>
      </c>
    </row>
    <row r="8" customFormat="false" ht="15" hidden="false" customHeight="true" outlineLevel="0" collapsed="false">
      <c r="A8" s="9" t="s">
        <v>2832</v>
      </c>
      <c r="B8" s="9" t="s">
        <v>1596</v>
      </c>
      <c r="C8" s="5" t="s">
        <v>1597</v>
      </c>
      <c r="D8" s="5" t="s">
        <v>1598</v>
      </c>
      <c r="E8" s="9" t="s">
        <v>900</v>
      </c>
      <c r="F8" s="29" t="n">
        <v>3550</v>
      </c>
      <c r="G8" s="9" t="s">
        <v>2833</v>
      </c>
      <c r="H8" s="35"/>
      <c r="I8" s="44"/>
      <c r="J8" s="44"/>
      <c r="K8" s="44"/>
      <c r="L8" s="44" t="s">
        <v>2835</v>
      </c>
    </row>
    <row r="9" customFormat="false" ht="15" hidden="false" customHeight="true" outlineLevel="0" collapsed="false">
      <c r="A9" s="9" t="s">
        <v>2832</v>
      </c>
      <c r="B9" s="9" t="s">
        <v>1600</v>
      </c>
      <c r="C9" s="5" t="s">
        <v>1601</v>
      </c>
      <c r="D9" s="5" t="s">
        <v>1602</v>
      </c>
      <c r="E9" s="9" t="s">
        <v>900</v>
      </c>
      <c r="F9" s="29" t="n">
        <v>4600</v>
      </c>
      <c r="G9" s="9" t="s">
        <v>2833</v>
      </c>
      <c r="H9" s="35"/>
      <c r="I9" s="44"/>
      <c r="J9" s="44"/>
      <c r="K9" s="44"/>
      <c r="L9" s="44" t="s">
        <v>2836</v>
      </c>
    </row>
    <row r="10" customFormat="false" ht="21.75" hidden="false" customHeight="true" outlineLevel="0" collapsed="false">
      <c r="A10" s="9" t="s">
        <v>2832</v>
      </c>
      <c r="B10" s="9" t="s">
        <v>992</v>
      </c>
      <c r="C10" s="5" t="s">
        <v>1958</v>
      </c>
      <c r="D10" s="5" t="s">
        <v>1959</v>
      </c>
      <c r="E10" s="9" t="s">
        <v>212</v>
      </c>
      <c r="F10" s="29" t="n">
        <v>212.19</v>
      </c>
      <c r="G10" s="9" t="s">
        <v>2833</v>
      </c>
      <c r="H10" s="35"/>
      <c r="I10" s="44"/>
      <c r="J10" s="44"/>
      <c r="K10" s="44"/>
      <c r="L10" s="44" t="s">
        <v>2837</v>
      </c>
    </row>
    <row r="11" customFormat="false" ht="15" hidden="false" customHeight="true" outlineLevel="0" collapsed="false">
      <c r="A11" s="9" t="s">
        <v>2832</v>
      </c>
      <c r="B11" s="9" t="s">
        <v>1624</v>
      </c>
      <c r="C11" s="5" t="s">
        <v>1625</v>
      </c>
      <c r="D11" s="5" t="s">
        <v>1626</v>
      </c>
      <c r="E11" s="9" t="s">
        <v>386</v>
      </c>
      <c r="F11" s="29" t="n">
        <v>3</v>
      </c>
      <c r="G11" s="9" t="s">
        <v>2833</v>
      </c>
      <c r="H11" s="35"/>
      <c r="I11" s="44"/>
      <c r="J11" s="44"/>
      <c r="K11" s="44"/>
      <c r="L11" s="44" t="s">
        <v>2834</v>
      </c>
    </row>
    <row r="12" customFormat="false" ht="32.25" hidden="false" customHeight="true" outlineLevel="0" collapsed="false">
      <c r="A12" s="9" t="s">
        <v>2838</v>
      </c>
      <c r="B12" s="9" t="s">
        <v>807</v>
      </c>
      <c r="C12" s="5" t="s">
        <v>1504</v>
      </c>
      <c r="D12" s="5" t="s">
        <v>1505</v>
      </c>
      <c r="E12" s="9" t="s">
        <v>198</v>
      </c>
      <c r="F12" s="29" t="n">
        <v>185</v>
      </c>
      <c r="G12" s="9" t="s">
        <v>1962</v>
      </c>
      <c r="H12" s="35"/>
      <c r="I12" s="44"/>
      <c r="J12" s="44"/>
      <c r="K12" s="44"/>
      <c r="L12" s="44"/>
    </row>
    <row r="13" customFormat="false" ht="15" hidden="false" customHeight="true" outlineLevel="0" collapsed="false">
      <c r="A13" s="9" t="s">
        <v>2838</v>
      </c>
      <c r="B13" s="9" t="s">
        <v>945</v>
      </c>
      <c r="C13" s="5" t="s">
        <v>1556</v>
      </c>
      <c r="D13" s="5" t="s">
        <v>1557</v>
      </c>
      <c r="E13" s="9" t="s">
        <v>811</v>
      </c>
      <c r="F13" s="29" t="n">
        <v>87.5</v>
      </c>
      <c r="G13" s="9" t="s">
        <v>1962</v>
      </c>
      <c r="H13" s="35"/>
      <c r="I13" s="44"/>
      <c r="J13" s="44"/>
      <c r="K13" s="44"/>
      <c r="L13" s="44"/>
    </row>
    <row r="14" customFormat="false" ht="15" hidden="false" customHeight="true" outlineLevel="0" collapsed="false">
      <c r="A14" s="9" t="s">
        <v>2838</v>
      </c>
      <c r="B14" s="9" t="s">
        <v>956</v>
      </c>
      <c r="C14" s="5" t="s">
        <v>1570</v>
      </c>
      <c r="D14" s="5" t="s">
        <v>1571</v>
      </c>
      <c r="E14" s="9" t="s">
        <v>212</v>
      </c>
      <c r="F14" s="29" t="n">
        <v>47</v>
      </c>
      <c r="G14" s="9" t="s">
        <v>1962</v>
      </c>
      <c r="H14" s="35"/>
      <c r="I14" s="44"/>
      <c r="J14" s="44"/>
      <c r="K14" s="44"/>
      <c r="L14" s="44"/>
    </row>
    <row r="15" customFormat="false" ht="15" hidden="false" customHeight="true" outlineLevel="0" collapsed="false">
      <c r="A15" s="9" t="s">
        <v>2838</v>
      </c>
      <c r="B15" s="9" t="s">
        <v>1627</v>
      </c>
      <c r="C15" s="5" t="s">
        <v>1628</v>
      </c>
      <c r="D15" s="5" t="s">
        <v>1629</v>
      </c>
      <c r="E15" s="9" t="s">
        <v>198</v>
      </c>
      <c r="F15" s="29" t="n">
        <v>120</v>
      </c>
      <c r="G15" s="9" t="s">
        <v>2833</v>
      </c>
      <c r="H15" s="35"/>
      <c r="I15" s="44"/>
      <c r="J15" s="44"/>
      <c r="K15" s="44"/>
      <c r="L15" s="44" t="s">
        <v>2834</v>
      </c>
    </row>
    <row r="16" customFormat="false" ht="15" hidden="false" customHeight="true" outlineLevel="0" collapsed="false">
      <c r="A16" s="9" t="s">
        <v>2838</v>
      </c>
      <c r="B16" s="9" t="s">
        <v>905</v>
      </c>
      <c r="C16" s="5" t="s">
        <v>1549</v>
      </c>
      <c r="D16" s="5" t="s">
        <v>1550</v>
      </c>
      <c r="E16" s="9" t="s">
        <v>811</v>
      </c>
      <c r="F16" s="29" t="n">
        <v>400</v>
      </c>
      <c r="G16" s="9" t="s">
        <v>2833</v>
      </c>
      <c r="H16" s="35"/>
      <c r="I16" s="44"/>
      <c r="J16" s="44"/>
      <c r="K16" s="44"/>
      <c r="L16" s="44" t="s">
        <v>2839</v>
      </c>
    </row>
    <row r="17" customFormat="false" ht="15" hidden="false" customHeight="true" outlineLevel="0" collapsed="false">
      <c r="A17" s="9" t="s">
        <v>2838</v>
      </c>
      <c r="B17" s="9" t="s">
        <v>1350</v>
      </c>
      <c r="C17" s="5" t="s">
        <v>1935</v>
      </c>
      <c r="D17" s="5"/>
      <c r="E17" s="9" t="s">
        <v>198</v>
      </c>
      <c r="F17" s="29" t="n">
        <v>700</v>
      </c>
      <c r="G17" s="9" t="s">
        <v>2833</v>
      </c>
      <c r="H17" s="35"/>
      <c r="I17" s="44"/>
      <c r="J17" s="44"/>
      <c r="K17" s="44"/>
      <c r="L17" s="44" t="s">
        <v>2840</v>
      </c>
    </row>
    <row r="18" customFormat="false" ht="15" hidden="false" customHeight="true" outlineLevel="0" collapsed="false">
      <c r="A18" s="9" t="s">
        <v>2841</v>
      </c>
      <c r="B18" s="9" t="s">
        <v>846</v>
      </c>
      <c r="C18" s="5" t="s">
        <v>1492</v>
      </c>
      <c r="D18" s="5" t="s">
        <v>1493</v>
      </c>
      <c r="E18" s="9" t="s">
        <v>109</v>
      </c>
      <c r="F18" s="29" t="n">
        <v>70</v>
      </c>
      <c r="G18" s="9" t="s">
        <v>2833</v>
      </c>
      <c r="H18" s="35"/>
      <c r="I18" s="44"/>
      <c r="J18" s="44"/>
      <c r="K18" s="44"/>
      <c r="L18" s="44" t="s">
        <v>2842</v>
      </c>
    </row>
    <row r="19" customFormat="false" ht="15" hidden="false" customHeight="true" outlineLevel="0" collapsed="false">
      <c r="A19" s="9" t="s">
        <v>2841</v>
      </c>
      <c r="B19" s="9" t="s">
        <v>809</v>
      </c>
      <c r="C19" s="5" t="s">
        <v>1508</v>
      </c>
      <c r="D19" s="5" t="s">
        <v>1509</v>
      </c>
      <c r="E19" s="9" t="s">
        <v>811</v>
      </c>
      <c r="F19" s="29" t="n">
        <v>0.686</v>
      </c>
      <c r="G19" s="9" t="s">
        <v>2833</v>
      </c>
      <c r="H19" s="35"/>
      <c r="I19" s="44"/>
      <c r="J19" s="44"/>
      <c r="K19" s="44"/>
      <c r="L19" s="44"/>
    </row>
    <row r="20" customFormat="false" ht="15" hidden="false" customHeight="true" outlineLevel="0" collapsed="false">
      <c r="A20" s="9" t="s">
        <v>2843</v>
      </c>
      <c r="B20" s="9" t="s">
        <v>1064</v>
      </c>
      <c r="C20" s="5" t="s">
        <v>1815</v>
      </c>
      <c r="D20" s="5" t="s">
        <v>1816</v>
      </c>
      <c r="E20" s="9" t="s">
        <v>1066</v>
      </c>
      <c r="F20" s="29" t="n">
        <v>546</v>
      </c>
      <c r="G20" s="9" t="s">
        <v>2833</v>
      </c>
      <c r="H20" s="35"/>
      <c r="I20" s="44"/>
      <c r="J20" s="44"/>
      <c r="K20" s="44"/>
      <c r="L20" s="44"/>
    </row>
    <row r="21" customFormat="false" ht="15" hidden="false" customHeight="true" outlineLevel="0" collapsed="false">
      <c r="A21" s="9" t="s">
        <v>2843</v>
      </c>
      <c r="B21" s="9" t="s">
        <v>1049</v>
      </c>
      <c r="C21" s="5" t="s">
        <v>1799</v>
      </c>
      <c r="D21" s="5" t="s">
        <v>1800</v>
      </c>
      <c r="E21" s="9" t="s">
        <v>368</v>
      </c>
      <c r="F21" s="29" t="n">
        <v>59000</v>
      </c>
      <c r="G21" s="9" t="s">
        <v>2833</v>
      </c>
      <c r="H21" s="35"/>
      <c r="I21" s="44"/>
      <c r="J21" s="44"/>
      <c r="K21" s="44"/>
      <c r="L21" s="44"/>
    </row>
    <row r="22" customFormat="false" ht="15" hidden="false" customHeight="true" outlineLevel="0" collapsed="false">
      <c r="A22" s="9" t="s">
        <v>2843</v>
      </c>
      <c r="B22" s="9" t="s">
        <v>1062</v>
      </c>
      <c r="C22" s="5" t="s">
        <v>1812</v>
      </c>
      <c r="D22" s="5" t="s">
        <v>1813</v>
      </c>
      <c r="E22" s="9" t="s">
        <v>900</v>
      </c>
      <c r="F22" s="29" t="n">
        <v>11000</v>
      </c>
      <c r="G22" s="9" t="s">
        <v>2833</v>
      </c>
      <c r="H22" s="35"/>
      <c r="I22" s="44"/>
      <c r="J22" s="44"/>
      <c r="K22" s="44"/>
      <c r="L22" s="44" t="s">
        <v>2844</v>
      </c>
    </row>
    <row r="23" customFormat="false" ht="15" hidden="false" customHeight="true" outlineLevel="0" collapsed="false">
      <c r="A23" s="9" t="s">
        <v>2843</v>
      </c>
      <c r="B23" s="9" t="s">
        <v>1043</v>
      </c>
      <c r="C23" s="5" t="s">
        <v>1796</v>
      </c>
      <c r="D23" s="5" t="s">
        <v>1797</v>
      </c>
      <c r="E23" s="9" t="s">
        <v>212</v>
      </c>
      <c r="F23" s="29" t="n">
        <v>120</v>
      </c>
      <c r="G23" s="9" t="s">
        <v>2833</v>
      </c>
      <c r="H23" s="35"/>
      <c r="I23" s="44"/>
      <c r="J23" s="44"/>
      <c r="K23" s="44"/>
      <c r="L23" s="44"/>
    </row>
    <row r="24" customFormat="false" ht="15" hidden="false" customHeight="true" outlineLevel="0" collapsed="false">
      <c r="A24" s="9" t="s">
        <v>2845</v>
      </c>
      <c r="B24" s="9" t="s">
        <v>1284</v>
      </c>
      <c r="C24" s="5" t="s">
        <v>1866</v>
      </c>
      <c r="D24" s="5"/>
      <c r="E24" s="9" t="s">
        <v>368</v>
      </c>
      <c r="F24" s="29" t="n">
        <v>59777.62</v>
      </c>
      <c r="G24" s="9" t="s">
        <v>1962</v>
      </c>
      <c r="H24" s="35"/>
      <c r="I24" s="44"/>
      <c r="J24" s="44"/>
      <c r="K24" s="44"/>
      <c r="L24" s="44"/>
    </row>
    <row r="25" customFormat="false" ht="15" hidden="false" customHeight="true" outlineLevel="0" collapsed="false">
      <c r="A25" s="9" t="s">
        <v>2846</v>
      </c>
      <c r="B25" s="9" t="s">
        <v>1076</v>
      </c>
      <c r="C25" s="5" t="s">
        <v>1821</v>
      </c>
      <c r="D25" s="5" t="s">
        <v>1822</v>
      </c>
      <c r="E25" s="9" t="s">
        <v>212</v>
      </c>
      <c r="F25" s="29" t="n">
        <v>500</v>
      </c>
      <c r="G25" s="9" t="s">
        <v>2833</v>
      </c>
      <c r="H25" s="35"/>
      <c r="I25" s="44"/>
      <c r="J25" s="44"/>
      <c r="K25" s="44"/>
      <c r="L25" s="44" t="s">
        <v>2847</v>
      </c>
    </row>
    <row r="26" customFormat="false" ht="15" hidden="false" customHeight="true" outlineLevel="0" collapsed="false">
      <c r="A26" s="9" t="s">
        <v>2846</v>
      </c>
      <c r="B26" s="9" t="s">
        <v>1078</v>
      </c>
      <c r="C26" s="5" t="s">
        <v>1824</v>
      </c>
      <c r="D26" s="5"/>
      <c r="E26" s="9" t="s">
        <v>198</v>
      </c>
      <c r="F26" s="29" t="n">
        <v>1300</v>
      </c>
      <c r="G26" s="9" t="s">
        <v>2833</v>
      </c>
      <c r="H26" s="35"/>
      <c r="I26" s="44"/>
      <c r="J26" s="44"/>
      <c r="K26" s="44"/>
      <c r="L26" s="44" t="s">
        <v>2848</v>
      </c>
    </row>
    <row r="27" customFormat="false" ht="21.75" hidden="false" customHeight="true" outlineLevel="0" collapsed="false">
      <c r="A27" s="9" t="s">
        <v>2846</v>
      </c>
      <c r="B27" s="9" t="s">
        <v>1053</v>
      </c>
      <c r="C27" s="5" t="s">
        <v>1802</v>
      </c>
      <c r="D27" s="5" t="s">
        <v>1803</v>
      </c>
      <c r="E27" s="9" t="s">
        <v>212</v>
      </c>
      <c r="F27" s="29" t="n">
        <v>1400</v>
      </c>
      <c r="G27" s="9" t="s">
        <v>2833</v>
      </c>
      <c r="H27" s="35"/>
      <c r="I27" s="44"/>
      <c r="J27" s="44"/>
      <c r="K27" s="44"/>
      <c r="L27" s="44"/>
    </row>
    <row r="28" customFormat="false" ht="15" hidden="false" customHeight="true" outlineLevel="0" collapsed="false">
      <c r="A28" s="9" t="s">
        <v>2846</v>
      </c>
      <c r="B28" s="9" t="s">
        <v>1080</v>
      </c>
      <c r="C28" s="5" t="s">
        <v>1826</v>
      </c>
      <c r="D28" s="5" t="s">
        <v>1827</v>
      </c>
      <c r="E28" s="9" t="s">
        <v>368</v>
      </c>
      <c r="F28" s="29" t="n">
        <v>350</v>
      </c>
      <c r="G28" s="9" t="s">
        <v>2833</v>
      </c>
      <c r="H28" s="35"/>
      <c r="I28" s="44"/>
      <c r="J28" s="44"/>
      <c r="K28" s="44"/>
      <c r="L28" s="44" t="s">
        <v>2849</v>
      </c>
    </row>
    <row r="29" customFormat="false" ht="21.75" hidden="false" customHeight="true" outlineLevel="0" collapsed="false">
      <c r="A29" s="9" t="s">
        <v>2846</v>
      </c>
      <c r="B29" s="9" t="s">
        <v>1070</v>
      </c>
      <c r="C29" s="5" t="s">
        <v>1818</v>
      </c>
      <c r="D29" s="5" t="s">
        <v>1819</v>
      </c>
      <c r="E29" s="9" t="s">
        <v>212</v>
      </c>
      <c r="F29" s="29" t="n">
        <v>4500</v>
      </c>
      <c r="G29" s="9" t="s">
        <v>2833</v>
      </c>
      <c r="H29" s="35"/>
      <c r="I29" s="44"/>
      <c r="J29" s="44"/>
      <c r="K29" s="44"/>
      <c r="L29" s="44"/>
    </row>
    <row r="30" customFormat="false" ht="15" hidden="false" customHeight="true" outlineLevel="0" collapsed="false">
      <c r="A30" s="9" t="s">
        <v>2846</v>
      </c>
      <c r="B30" s="9" t="s">
        <v>1072</v>
      </c>
      <c r="C30" s="5" t="s">
        <v>1834</v>
      </c>
      <c r="D30" s="5"/>
      <c r="E30" s="9" t="s">
        <v>386</v>
      </c>
      <c r="F30" s="29" t="n">
        <v>350</v>
      </c>
      <c r="G30" s="9" t="s">
        <v>2833</v>
      </c>
      <c r="H30" s="35"/>
      <c r="I30" s="44"/>
      <c r="J30" s="44"/>
      <c r="K30" s="44"/>
      <c r="L30" s="44" t="s">
        <v>2850</v>
      </c>
    </row>
    <row r="31" customFormat="false" ht="15" hidden="false" customHeight="true" outlineLevel="0" collapsed="false">
      <c r="A31" s="9" t="s">
        <v>2846</v>
      </c>
      <c r="B31" s="9" t="s">
        <v>1086</v>
      </c>
      <c r="C31" s="5" t="s">
        <v>1829</v>
      </c>
      <c r="D31" s="5" t="s">
        <v>1830</v>
      </c>
      <c r="E31" s="9" t="s">
        <v>212</v>
      </c>
      <c r="F31" s="29" t="n">
        <v>1055.2</v>
      </c>
      <c r="G31" s="9" t="s">
        <v>2833</v>
      </c>
      <c r="H31" s="35"/>
      <c r="I31" s="44"/>
      <c r="J31" s="44"/>
      <c r="K31" s="44"/>
      <c r="L31" s="44"/>
    </row>
    <row r="32" customFormat="false" ht="15" hidden="false" customHeight="true" outlineLevel="0" collapsed="false">
      <c r="A32" s="9" t="s">
        <v>2846</v>
      </c>
      <c r="B32" s="9" t="s">
        <v>1088</v>
      </c>
      <c r="C32" s="5" t="s">
        <v>1832</v>
      </c>
      <c r="D32" s="5"/>
      <c r="E32" s="9" t="s">
        <v>368</v>
      </c>
      <c r="F32" s="29" t="n">
        <v>450</v>
      </c>
      <c r="G32" s="9" t="s">
        <v>2833</v>
      </c>
      <c r="H32" s="35"/>
      <c r="I32" s="44"/>
      <c r="J32" s="44"/>
      <c r="K32" s="44"/>
      <c r="L32" s="44" t="s">
        <v>2851</v>
      </c>
    </row>
    <row r="33" customFormat="false" ht="15" hidden="false" customHeight="true" outlineLevel="0" collapsed="false">
      <c r="A33" s="9" t="s">
        <v>2852</v>
      </c>
      <c r="B33" s="9" t="s">
        <v>1215</v>
      </c>
      <c r="C33" s="5" t="s">
        <v>1842</v>
      </c>
      <c r="D33" s="5" t="s">
        <v>1843</v>
      </c>
      <c r="E33" s="9" t="s">
        <v>386</v>
      </c>
      <c r="F33" s="29" t="n">
        <v>309.6</v>
      </c>
      <c r="G33" s="9" t="s">
        <v>1962</v>
      </c>
      <c r="H33" s="35"/>
      <c r="I33" s="44"/>
      <c r="J33" s="44"/>
      <c r="K33" s="44"/>
      <c r="L33" s="44"/>
    </row>
    <row r="34" customFormat="false" ht="15" hidden="false" customHeight="true" outlineLevel="0" collapsed="false">
      <c r="A34" s="9" t="s">
        <v>2852</v>
      </c>
      <c r="B34" s="9" t="s">
        <v>1225</v>
      </c>
      <c r="C34" s="5" t="s">
        <v>1846</v>
      </c>
      <c r="D34" s="5" t="s">
        <v>1843</v>
      </c>
      <c r="E34" s="9" t="s">
        <v>386</v>
      </c>
      <c r="F34" s="29" t="n">
        <v>651.92</v>
      </c>
      <c r="G34" s="9" t="s">
        <v>1962</v>
      </c>
      <c r="H34" s="35"/>
      <c r="I34" s="44"/>
      <c r="J34" s="44"/>
      <c r="K34" s="44"/>
      <c r="L34" s="44"/>
    </row>
    <row r="35" customFormat="false" ht="15" hidden="false" customHeight="true" outlineLevel="0" collapsed="false">
      <c r="A35" s="9" t="s">
        <v>2852</v>
      </c>
      <c r="B35" s="9" t="s">
        <v>1230</v>
      </c>
      <c r="C35" s="5" t="s">
        <v>1848</v>
      </c>
      <c r="D35" s="5" t="s">
        <v>1843</v>
      </c>
      <c r="E35" s="9" t="s">
        <v>386</v>
      </c>
      <c r="F35" s="29" t="n">
        <v>1878.66</v>
      </c>
      <c r="G35" s="9" t="s">
        <v>1962</v>
      </c>
      <c r="H35" s="35"/>
      <c r="I35" s="44"/>
      <c r="J35" s="44"/>
      <c r="K35" s="44"/>
      <c r="L35" s="44"/>
    </row>
    <row r="36" customFormat="false" ht="15" hidden="false" customHeight="true" outlineLevel="0" collapsed="false">
      <c r="A36" s="9" t="s">
        <v>2852</v>
      </c>
      <c r="B36" s="9" t="s">
        <v>1850</v>
      </c>
      <c r="C36" s="5" t="s">
        <v>1851</v>
      </c>
      <c r="D36" s="5" t="s">
        <v>1852</v>
      </c>
      <c r="E36" s="9" t="s">
        <v>386</v>
      </c>
      <c r="F36" s="29" t="n">
        <v>0</v>
      </c>
      <c r="G36" s="9" t="s">
        <v>2853</v>
      </c>
      <c r="H36" s="35"/>
      <c r="I36" s="44"/>
      <c r="J36" s="44"/>
      <c r="K36" s="44"/>
      <c r="L36" s="44" t="s">
        <v>2854</v>
      </c>
    </row>
    <row r="37" customFormat="false" ht="15" hidden="false" customHeight="true" outlineLevel="0" collapsed="false">
      <c r="A37" s="9" t="s">
        <v>2855</v>
      </c>
      <c r="B37" s="9" t="s">
        <v>1083</v>
      </c>
      <c r="C37" s="5" t="s">
        <v>2069</v>
      </c>
      <c r="D37" s="5"/>
      <c r="E37" s="9" t="s">
        <v>815</v>
      </c>
      <c r="F37" s="29" t="n">
        <v>2200</v>
      </c>
      <c r="G37" s="9" t="s">
        <v>2833</v>
      </c>
      <c r="H37" s="35"/>
      <c r="I37" s="44"/>
      <c r="J37" s="44"/>
      <c r="K37" s="44"/>
      <c r="L37" s="44"/>
    </row>
    <row r="38" customFormat="false" ht="15" hidden="false" customHeight="true" outlineLevel="0" collapsed="false">
      <c r="A38" s="9" t="s">
        <v>2855</v>
      </c>
      <c r="B38" s="9" t="s">
        <v>989</v>
      </c>
      <c r="C38" s="5" t="s">
        <v>2060</v>
      </c>
      <c r="D38" s="5"/>
      <c r="E38" s="9" t="s">
        <v>815</v>
      </c>
      <c r="F38" s="29" t="n">
        <v>2200</v>
      </c>
      <c r="G38" s="9" t="s">
        <v>2833</v>
      </c>
      <c r="H38" s="35"/>
      <c r="I38" s="44"/>
      <c r="J38" s="44"/>
      <c r="K38" s="44"/>
      <c r="L38" s="44"/>
    </row>
    <row r="39" customFormat="false" ht="15" hidden="false" customHeight="true" outlineLevel="0" collapsed="false">
      <c r="A39" s="9" t="s">
        <v>2855</v>
      </c>
      <c r="B39" s="9" t="s">
        <v>1321</v>
      </c>
      <c r="C39" s="5" t="s">
        <v>2074</v>
      </c>
      <c r="D39" s="5"/>
      <c r="E39" s="9" t="s">
        <v>815</v>
      </c>
      <c r="F39" s="29" t="n">
        <v>2200</v>
      </c>
      <c r="G39" s="9" t="s">
        <v>2833</v>
      </c>
      <c r="H39" s="35"/>
      <c r="I39" s="44"/>
      <c r="J39" s="44"/>
      <c r="K39" s="44"/>
      <c r="L39" s="44"/>
    </row>
    <row r="40" customFormat="false" ht="15" hidden="false" customHeight="true" outlineLevel="0" collapsed="false">
      <c r="A40" s="9" t="s">
        <v>2855</v>
      </c>
      <c r="B40" s="9" t="s">
        <v>1057</v>
      </c>
      <c r="C40" s="5" t="s">
        <v>2068</v>
      </c>
      <c r="D40" s="5"/>
      <c r="E40" s="9" t="s">
        <v>815</v>
      </c>
      <c r="F40" s="29" t="n">
        <v>2200</v>
      </c>
      <c r="G40" s="9" t="s">
        <v>2833</v>
      </c>
      <c r="H40" s="35"/>
      <c r="I40" s="44"/>
      <c r="J40" s="44"/>
      <c r="K40" s="44"/>
      <c r="L40" s="44"/>
    </row>
    <row r="41" customFormat="false" ht="15" hidden="false" customHeight="true" outlineLevel="0" collapsed="false">
      <c r="A41" s="9" t="s">
        <v>2855</v>
      </c>
      <c r="B41" s="9" t="s">
        <v>1302</v>
      </c>
      <c r="C41" s="5" t="s">
        <v>2072</v>
      </c>
      <c r="D41" s="5"/>
      <c r="E41" s="9" t="s">
        <v>815</v>
      </c>
      <c r="F41" s="29" t="n">
        <v>2800</v>
      </c>
      <c r="G41" s="9" t="s">
        <v>2833</v>
      </c>
      <c r="H41" s="35"/>
      <c r="I41" s="44"/>
      <c r="J41" s="44"/>
      <c r="K41" s="44"/>
      <c r="L41" s="44"/>
    </row>
    <row r="42" customFormat="false" ht="15" hidden="false" customHeight="true" outlineLevel="0" collapsed="false">
      <c r="A42" s="9" t="s">
        <v>2855</v>
      </c>
      <c r="B42" s="9" t="s">
        <v>1222</v>
      </c>
      <c r="C42" s="5" t="s">
        <v>2070</v>
      </c>
      <c r="D42" s="5"/>
      <c r="E42" s="9" t="s">
        <v>815</v>
      </c>
      <c r="F42" s="29" t="n">
        <v>2600</v>
      </c>
      <c r="G42" s="9" t="s">
        <v>2833</v>
      </c>
      <c r="H42" s="35"/>
      <c r="I42" s="44"/>
      <c r="J42" s="44"/>
      <c r="K42" s="44"/>
      <c r="L42" s="44"/>
    </row>
    <row r="43" customFormat="false" ht="15" hidden="false" customHeight="true" outlineLevel="0" collapsed="false">
      <c r="A43" s="9" t="s">
        <v>2855</v>
      </c>
      <c r="B43" s="9" t="s">
        <v>1009</v>
      </c>
      <c r="C43" s="5" t="s">
        <v>2062</v>
      </c>
      <c r="D43" s="5"/>
      <c r="E43" s="9" t="s">
        <v>815</v>
      </c>
      <c r="F43" s="29" t="n">
        <v>2200</v>
      </c>
      <c r="G43" s="9" t="s">
        <v>2833</v>
      </c>
      <c r="H43" s="35"/>
      <c r="I43" s="44"/>
      <c r="J43" s="44"/>
      <c r="K43" s="44"/>
      <c r="L43" s="44"/>
    </row>
    <row r="44" customFormat="false" ht="15" hidden="false" customHeight="true" outlineLevel="0" collapsed="false">
      <c r="A44" s="9" t="s">
        <v>2855</v>
      </c>
      <c r="B44" s="9" t="s">
        <v>953</v>
      </c>
      <c r="C44" s="5" t="s">
        <v>2051</v>
      </c>
      <c r="D44" s="5"/>
      <c r="E44" s="9" t="s">
        <v>815</v>
      </c>
      <c r="F44" s="29" t="n">
        <v>2200</v>
      </c>
      <c r="G44" s="9" t="s">
        <v>2833</v>
      </c>
      <c r="H44" s="35"/>
      <c r="I44" s="44"/>
      <c r="J44" s="44"/>
      <c r="K44" s="44"/>
      <c r="L44" s="44"/>
    </row>
    <row r="45" customFormat="false" ht="21.75" hidden="false" customHeight="true" outlineLevel="0" collapsed="false">
      <c r="A45" s="9" t="s">
        <v>567</v>
      </c>
      <c r="B45" s="9" t="s">
        <v>1315</v>
      </c>
      <c r="C45" s="5" t="s">
        <v>1888</v>
      </c>
      <c r="D45" s="5"/>
      <c r="E45" s="9" t="s">
        <v>368</v>
      </c>
      <c r="F45" s="29" t="n">
        <v>8500000</v>
      </c>
      <c r="G45" s="9" t="s">
        <v>2833</v>
      </c>
      <c r="H45" s="35"/>
      <c r="I45" s="44"/>
      <c r="J45" s="44"/>
      <c r="K45" s="44"/>
      <c r="L45" s="44" t="s">
        <v>2856</v>
      </c>
    </row>
    <row r="46" customFormat="false" ht="15" hidden="false" customHeight="true" outlineLevel="0" collapsed="false">
      <c r="A46" s="9" t="s">
        <v>2857</v>
      </c>
      <c r="B46" s="9" t="s">
        <v>2101</v>
      </c>
      <c r="C46" s="5" t="s">
        <v>2102</v>
      </c>
      <c r="D46" s="5"/>
      <c r="E46" s="9" t="s">
        <v>109</v>
      </c>
      <c r="F46" s="29" t="n">
        <v>45</v>
      </c>
      <c r="G46" s="9" t="s">
        <v>2833</v>
      </c>
      <c r="H46" s="35"/>
      <c r="I46" s="44"/>
      <c r="J46" s="44"/>
      <c r="K46" s="44"/>
      <c r="L46" s="44" t="s">
        <v>2858</v>
      </c>
    </row>
    <row r="47" customFormat="false" ht="15" hidden="false" customHeight="true" outlineLevel="0" collapsed="false">
      <c r="A47" s="9" t="s">
        <v>2857</v>
      </c>
      <c r="B47" s="9" t="s">
        <v>1074</v>
      </c>
      <c r="C47" s="5" t="s">
        <v>2118</v>
      </c>
      <c r="D47" s="5"/>
      <c r="E47" s="9" t="s">
        <v>212</v>
      </c>
      <c r="F47" s="29" t="n">
        <v>3.75</v>
      </c>
      <c r="G47" s="9" t="s">
        <v>2833</v>
      </c>
      <c r="H47" s="35"/>
      <c r="I47" s="44"/>
      <c r="J47" s="44"/>
      <c r="K47" s="44"/>
      <c r="L47" s="44" t="s">
        <v>2859</v>
      </c>
    </row>
    <row r="48" customFormat="false" ht="15" hidden="false" customHeight="true" outlineLevel="0" collapsed="false">
      <c r="A48" s="9" t="s">
        <v>2857</v>
      </c>
      <c r="B48" s="9" t="s">
        <v>821</v>
      </c>
      <c r="C48" s="5" t="s">
        <v>2095</v>
      </c>
      <c r="D48" s="5"/>
      <c r="E48" s="9" t="s">
        <v>815</v>
      </c>
      <c r="F48" s="29" t="n">
        <v>3500</v>
      </c>
      <c r="G48" s="9" t="s">
        <v>2833</v>
      </c>
      <c r="H48" s="35"/>
      <c r="I48" s="44"/>
      <c r="J48" s="44"/>
      <c r="K48" s="44"/>
      <c r="L48" s="44" t="s">
        <v>2860</v>
      </c>
    </row>
    <row r="49" customFormat="false" ht="21.75" hidden="false" customHeight="true" outlineLevel="0" collapsed="false">
      <c r="A49" s="9" t="s">
        <v>2857</v>
      </c>
      <c r="B49" s="9" t="s">
        <v>910</v>
      </c>
      <c r="C49" s="5" t="s">
        <v>2104</v>
      </c>
      <c r="D49" s="5"/>
      <c r="E49" s="9" t="s">
        <v>212</v>
      </c>
      <c r="F49" s="29" t="n">
        <v>10</v>
      </c>
      <c r="G49" s="9" t="s">
        <v>2833</v>
      </c>
      <c r="H49" s="35"/>
      <c r="I49" s="44"/>
      <c r="J49" s="44"/>
      <c r="K49" s="44"/>
      <c r="L49" s="44" t="s">
        <v>2861</v>
      </c>
    </row>
    <row r="50" customFormat="false" ht="15" hidden="false" customHeight="true" outlineLevel="0" collapsed="false">
      <c r="A50" s="9" t="s">
        <v>2857</v>
      </c>
      <c r="B50" s="9" t="s">
        <v>1007</v>
      </c>
      <c r="C50" s="5" t="s">
        <v>2116</v>
      </c>
      <c r="D50" s="5"/>
      <c r="E50" s="9" t="s">
        <v>212</v>
      </c>
      <c r="F50" s="29" t="n">
        <v>75</v>
      </c>
      <c r="G50" s="9" t="s">
        <v>2833</v>
      </c>
      <c r="H50" s="35"/>
      <c r="I50" s="44"/>
      <c r="J50" s="44"/>
      <c r="K50" s="44"/>
      <c r="L50" s="44"/>
    </row>
    <row r="51" customFormat="false" ht="15" hidden="false" customHeight="true" outlineLevel="0" collapsed="false">
      <c r="A51" s="9" t="s">
        <v>2857</v>
      </c>
      <c r="B51" s="9" t="s">
        <v>951</v>
      </c>
      <c r="C51" s="5" t="s">
        <v>2106</v>
      </c>
      <c r="D51" s="5"/>
      <c r="E51" s="9" t="s">
        <v>815</v>
      </c>
      <c r="F51" s="29" t="n">
        <v>800</v>
      </c>
      <c r="G51" s="9" t="s">
        <v>2833</v>
      </c>
      <c r="H51" s="35"/>
      <c r="I51" s="44"/>
      <c r="J51" s="44"/>
      <c r="K51" s="44"/>
      <c r="L51" s="44" t="s">
        <v>2862</v>
      </c>
    </row>
    <row r="52" customFormat="false" ht="21.75" hidden="false" customHeight="true" outlineLevel="0" collapsed="false">
      <c r="A52" s="9" t="s">
        <v>2857</v>
      </c>
      <c r="B52" s="9" t="s">
        <v>1013</v>
      </c>
      <c r="C52" s="5" t="s">
        <v>2112</v>
      </c>
      <c r="D52" s="5"/>
      <c r="E52" s="9" t="s">
        <v>109</v>
      </c>
      <c r="F52" s="29" t="n">
        <v>45</v>
      </c>
      <c r="G52" s="9" t="s">
        <v>2833</v>
      </c>
      <c r="H52" s="35"/>
      <c r="I52" s="44"/>
      <c r="J52" s="44"/>
      <c r="K52" s="44"/>
      <c r="L52" s="44"/>
    </row>
    <row r="53" customFormat="false" ht="15" hidden="false" customHeight="true" outlineLevel="0" collapsed="false">
      <c r="A53" s="9" t="s">
        <v>2857</v>
      </c>
      <c r="B53" s="9" t="s">
        <v>819</v>
      </c>
      <c r="C53" s="5" t="s">
        <v>2097</v>
      </c>
      <c r="D53" s="5"/>
      <c r="E53" s="9" t="s">
        <v>815</v>
      </c>
      <c r="F53" s="29" t="n">
        <v>227</v>
      </c>
      <c r="G53" s="9" t="s">
        <v>2833</v>
      </c>
      <c r="H53" s="35"/>
      <c r="I53" s="44"/>
      <c r="J53" s="44"/>
      <c r="K53" s="44"/>
      <c r="L53" s="44"/>
    </row>
    <row r="54" customFormat="false" ht="15" hidden="false" customHeight="true" outlineLevel="0" collapsed="false">
      <c r="A54" s="9" t="s">
        <v>2863</v>
      </c>
      <c r="B54" s="9" t="s">
        <v>1132</v>
      </c>
      <c r="C54" s="5" t="s">
        <v>1712</v>
      </c>
      <c r="D54" s="5" t="s">
        <v>1713</v>
      </c>
      <c r="E54" s="9" t="s">
        <v>368</v>
      </c>
      <c r="F54" s="29" t="n">
        <v>123.1</v>
      </c>
      <c r="G54" s="9" t="s">
        <v>1962</v>
      </c>
      <c r="H54" s="35"/>
      <c r="I54" s="44"/>
      <c r="J54" s="44"/>
      <c r="K54" s="44"/>
      <c r="L54" s="44"/>
    </row>
    <row r="55" customFormat="false" ht="15" hidden="false" customHeight="true" outlineLevel="0" collapsed="false">
      <c r="A55" s="9" t="s">
        <v>2863</v>
      </c>
      <c r="B55" s="9" t="s">
        <v>1126</v>
      </c>
      <c r="C55" s="5" t="s">
        <v>1651</v>
      </c>
      <c r="D55" s="5" t="s">
        <v>1652</v>
      </c>
      <c r="E55" s="9" t="s">
        <v>368</v>
      </c>
      <c r="F55" s="29" t="n">
        <v>38</v>
      </c>
      <c r="G55" s="9" t="s">
        <v>2833</v>
      </c>
      <c r="H55" s="35"/>
      <c r="I55" s="44"/>
      <c r="J55" s="44"/>
      <c r="K55" s="44"/>
      <c r="L55" s="44" t="s">
        <v>2864</v>
      </c>
    </row>
    <row r="56" customFormat="false" ht="15" hidden="false" customHeight="true" outlineLevel="0" collapsed="false">
      <c r="A56" s="9" t="s">
        <v>2863</v>
      </c>
      <c r="B56" s="9" t="s">
        <v>1128</v>
      </c>
      <c r="C56" s="5" t="s">
        <v>1654</v>
      </c>
      <c r="D56" s="5" t="s">
        <v>1655</v>
      </c>
      <c r="E56" s="9" t="s">
        <v>368</v>
      </c>
      <c r="F56" s="29" t="n">
        <v>27</v>
      </c>
      <c r="G56" s="9" t="s">
        <v>2833</v>
      </c>
      <c r="H56" s="35"/>
      <c r="I56" s="44"/>
      <c r="J56" s="44"/>
      <c r="K56" s="44"/>
      <c r="L56" s="44" t="s">
        <v>2865</v>
      </c>
    </row>
    <row r="57" customFormat="false" ht="15" hidden="false" customHeight="true" outlineLevel="0" collapsed="false">
      <c r="A57" s="9" t="s">
        <v>2863</v>
      </c>
      <c r="B57" s="9" t="s">
        <v>1130</v>
      </c>
      <c r="C57" s="5" t="s">
        <v>1657</v>
      </c>
      <c r="D57" s="5" t="s">
        <v>1658</v>
      </c>
      <c r="E57" s="9" t="s">
        <v>368</v>
      </c>
      <c r="F57" s="29" t="n">
        <v>50</v>
      </c>
      <c r="G57" s="9" t="s">
        <v>2833</v>
      </c>
      <c r="H57" s="35"/>
      <c r="I57" s="44"/>
      <c r="J57" s="44"/>
      <c r="K57" s="44"/>
      <c r="L57" s="44" t="s">
        <v>2866</v>
      </c>
    </row>
    <row r="58" customFormat="false" ht="15" hidden="false" customHeight="true" outlineLevel="0" collapsed="false">
      <c r="A58" s="9" t="s">
        <v>2867</v>
      </c>
      <c r="B58" s="9" t="s">
        <v>1427</v>
      </c>
      <c r="C58" s="5" t="s">
        <v>1980</v>
      </c>
      <c r="D58" s="5" t="s">
        <v>2868</v>
      </c>
      <c r="E58" s="9" t="s">
        <v>709</v>
      </c>
      <c r="F58" s="29" t="n">
        <v>500000</v>
      </c>
      <c r="G58" s="9" t="s">
        <v>2833</v>
      </c>
      <c r="H58" s="35"/>
      <c r="I58" s="44"/>
      <c r="J58" s="44"/>
      <c r="K58" s="44"/>
      <c r="L58" s="44" t="s">
        <v>2869</v>
      </c>
    </row>
    <row r="59" customFormat="false" ht="15" hidden="false" customHeight="true" outlineLevel="0" collapsed="false">
      <c r="A59" s="9" t="s">
        <v>2867</v>
      </c>
      <c r="B59" s="9" t="s">
        <v>1430</v>
      </c>
      <c r="C59" s="5" t="s">
        <v>1983</v>
      </c>
      <c r="D59" s="5" t="s">
        <v>2868</v>
      </c>
      <c r="E59" s="9" t="s">
        <v>709</v>
      </c>
      <c r="F59" s="29" t="n">
        <v>1500000</v>
      </c>
      <c r="G59" s="9" t="s">
        <v>2833</v>
      </c>
      <c r="H59" s="35"/>
      <c r="I59" s="44"/>
      <c r="J59" s="44"/>
      <c r="K59" s="44"/>
      <c r="L59" s="44" t="s">
        <v>2870</v>
      </c>
    </row>
    <row r="60" customFormat="false" ht="21.75" hidden="false" customHeight="true" outlineLevel="0" collapsed="false">
      <c r="A60" s="9" t="s">
        <v>2867</v>
      </c>
      <c r="B60" s="9" t="s">
        <v>1432</v>
      </c>
      <c r="C60" s="5" t="s">
        <v>1985</v>
      </c>
      <c r="D60" s="5" t="s">
        <v>2868</v>
      </c>
      <c r="E60" s="9" t="s">
        <v>717</v>
      </c>
      <c r="F60" s="29" t="n">
        <v>150000</v>
      </c>
      <c r="G60" s="9" t="s">
        <v>2833</v>
      </c>
      <c r="H60" s="35"/>
      <c r="I60" s="44"/>
      <c r="J60" s="44"/>
      <c r="K60" s="44"/>
      <c r="L60" s="44" t="s">
        <v>2871</v>
      </c>
    </row>
    <row r="61" customFormat="false" ht="15" hidden="false" customHeight="true" outlineLevel="0" collapsed="false">
      <c r="A61" s="9" t="s">
        <v>2867</v>
      </c>
      <c r="B61" s="9" t="s">
        <v>1434</v>
      </c>
      <c r="C61" s="5" t="s">
        <v>1987</v>
      </c>
      <c r="D61" s="5" t="s">
        <v>2868</v>
      </c>
      <c r="E61" s="9" t="s">
        <v>368</v>
      </c>
      <c r="F61" s="29" t="n">
        <v>4500</v>
      </c>
      <c r="G61" s="9" t="s">
        <v>2833</v>
      </c>
      <c r="H61" s="35"/>
      <c r="I61" s="44"/>
      <c r="J61" s="44"/>
      <c r="K61" s="44"/>
      <c r="L61" s="44" t="s">
        <v>2872</v>
      </c>
    </row>
    <row r="62" customFormat="false" ht="15" hidden="false" customHeight="true" outlineLevel="0" collapsed="false">
      <c r="A62" s="9" t="s">
        <v>2867</v>
      </c>
      <c r="B62" s="9" t="s">
        <v>1435</v>
      </c>
      <c r="C62" s="5" t="s">
        <v>1989</v>
      </c>
      <c r="D62" s="5" t="s">
        <v>2868</v>
      </c>
      <c r="E62" s="9" t="s">
        <v>212</v>
      </c>
      <c r="F62" s="29" t="n">
        <v>6</v>
      </c>
      <c r="G62" s="9" t="s">
        <v>2833</v>
      </c>
      <c r="H62" s="35"/>
      <c r="I62" s="44"/>
      <c r="J62" s="44"/>
      <c r="K62" s="44"/>
      <c r="L62" s="44" t="s">
        <v>2873</v>
      </c>
    </row>
    <row r="63" customFormat="false" ht="21.75" hidden="false" customHeight="true" outlineLevel="0" collapsed="false">
      <c r="A63" s="9" t="s">
        <v>2867</v>
      </c>
      <c r="B63" s="9" t="s">
        <v>1436</v>
      </c>
      <c r="C63" s="5" t="s">
        <v>1991</v>
      </c>
      <c r="D63" s="5" t="s">
        <v>2868</v>
      </c>
      <c r="E63" s="9" t="s">
        <v>212</v>
      </c>
      <c r="F63" s="29" t="n">
        <v>224.91</v>
      </c>
      <c r="G63" s="9" t="s">
        <v>2833</v>
      </c>
      <c r="H63" s="35"/>
      <c r="I63" s="44"/>
      <c r="J63" s="44"/>
      <c r="K63" s="44"/>
      <c r="L63" s="44" t="s">
        <v>2874</v>
      </c>
    </row>
    <row r="64" customFormat="false" ht="15" hidden="false" customHeight="true" outlineLevel="0" collapsed="false">
      <c r="A64" s="9" t="s">
        <v>2867</v>
      </c>
      <c r="B64" s="9" t="s">
        <v>1438</v>
      </c>
      <c r="C64" s="5" t="s">
        <v>1993</v>
      </c>
      <c r="D64" s="5" t="s">
        <v>2868</v>
      </c>
      <c r="E64" s="9" t="s">
        <v>212</v>
      </c>
      <c r="F64" s="29" t="n">
        <v>450</v>
      </c>
      <c r="G64" s="9" t="s">
        <v>2833</v>
      </c>
      <c r="H64" s="35"/>
      <c r="I64" s="44"/>
      <c r="J64" s="44"/>
      <c r="K64" s="44"/>
      <c r="L64" s="44" t="s">
        <v>2875</v>
      </c>
    </row>
    <row r="65" customFormat="false" ht="15" hidden="false" customHeight="true" outlineLevel="0" collapsed="false">
      <c r="A65" s="9" t="s">
        <v>2867</v>
      </c>
      <c r="B65" s="9" t="s">
        <v>1439</v>
      </c>
      <c r="C65" s="5" t="s">
        <v>1995</v>
      </c>
      <c r="D65" s="5" t="s">
        <v>2868</v>
      </c>
      <c r="E65" s="9" t="s">
        <v>368</v>
      </c>
      <c r="F65" s="29" t="n">
        <v>6500</v>
      </c>
      <c r="G65" s="9" t="s">
        <v>2833</v>
      </c>
      <c r="H65" s="35"/>
      <c r="I65" s="44"/>
      <c r="J65" s="44"/>
      <c r="K65" s="44"/>
      <c r="L65" s="44" t="s">
        <v>2876</v>
      </c>
    </row>
    <row r="66" customFormat="false" ht="15" hidden="false" customHeight="true" outlineLevel="0" collapsed="false">
      <c r="A66" s="9" t="s">
        <v>2867</v>
      </c>
      <c r="B66" s="9" t="s">
        <v>1440</v>
      </c>
      <c r="C66" s="5" t="s">
        <v>1997</v>
      </c>
      <c r="D66" s="5" t="s">
        <v>2868</v>
      </c>
      <c r="E66" s="9" t="s">
        <v>212</v>
      </c>
      <c r="F66" s="29" t="n">
        <v>350</v>
      </c>
      <c r="G66" s="9" t="s">
        <v>2833</v>
      </c>
      <c r="H66" s="35"/>
      <c r="I66" s="44"/>
      <c r="J66" s="44"/>
      <c r="K66" s="44"/>
      <c r="L66" s="44" t="s">
        <v>2877</v>
      </c>
    </row>
    <row r="67" customFormat="false" ht="15" hidden="false" customHeight="true" outlineLevel="0" collapsed="false">
      <c r="A67" s="9" t="s">
        <v>2867</v>
      </c>
      <c r="B67" s="9" t="s">
        <v>1441</v>
      </c>
      <c r="C67" s="5" t="s">
        <v>1999</v>
      </c>
      <c r="D67" s="5" t="s">
        <v>2868</v>
      </c>
      <c r="E67" s="9" t="s">
        <v>212</v>
      </c>
      <c r="F67" s="29" t="n">
        <v>180</v>
      </c>
      <c r="G67" s="9" t="s">
        <v>2833</v>
      </c>
      <c r="H67" s="35"/>
      <c r="I67" s="44"/>
      <c r="J67" s="44"/>
      <c r="K67" s="44"/>
      <c r="L67" s="44" t="s">
        <v>2878</v>
      </c>
    </row>
    <row r="68" customFormat="false" ht="15" hidden="false" customHeight="true" outlineLevel="0" collapsed="false">
      <c r="A68" s="9" t="s">
        <v>2867</v>
      </c>
      <c r="B68" s="9" t="s">
        <v>1442</v>
      </c>
      <c r="C68" s="5" t="s">
        <v>2001</v>
      </c>
      <c r="D68" s="5" t="s">
        <v>2868</v>
      </c>
      <c r="E68" s="9" t="s">
        <v>212</v>
      </c>
      <c r="F68" s="29" t="n">
        <v>900</v>
      </c>
      <c r="G68" s="9" t="s">
        <v>2833</v>
      </c>
      <c r="H68" s="35"/>
      <c r="I68" s="44"/>
      <c r="J68" s="44"/>
      <c r="K68" s="44"/>
      <c r="L68" s="44" t="s">
        <v>2879</v>
      </c>
    </row>
    <row r="69" customFormat="false" ht="21.75" hidden="false" customHeight="true" outlineLevel="0" collapsed="false">
      <c r="A69" s="9" t="s">
        <v>2867</v>
      </c>
      <c r="B69" s="9" t="s">
        <v>1443</v>
      </c>
      <c r="C69" s="5" t="s">
        <v>2003</v>
      </c>
      <c r="D69" s="5" t="s">
        <v>2868</v>
      </c>
      <c r="E69" s="9" t="s">
        <v>368</v>
      </c>
      <c r="F69" s="29" t="n">
        <v>120000</v>
      </c>
      <c r="G69" s="9" t="s">
        <v>2833</v>
      </c>
      <c r="H69" s="35"/>
      <c r="I69" s="44"/>
      <c r="J69" s="44"/>
      <c r="K69" s="44"/>
      <c r="L69" s="44" t="s">
        <v>2880</v>
      </c>
    </row>
    <row r="70" customFormat="false" ht="15" hidden="false" customHeight="true" outlineLevel="0" collapsed="false">
      <c r="A70" s="9" t="s">
        <v>2867</v>
      </c>
      <c r="B70" s="9" t="s">
        <v>1444</v>
      </c>
      <c r="C70" s="5" t="s">
        <v>2005</v>
      </c>
      <c r="D70" s="5" t="s">
        <v>2868</v>
      </c>
      <c r="E70" s="9" t="s">
        <v>212</v>
      </c>
      <c r="F70" s="29" t="n">
        <v>1200</v>
      </c>
      <c r="G70" s="9" t="s">
        <v>2833</v>
      </c>
      <c r="H70" s="35"/>
      <c r="I70" s="44"/>
      <c r="J70" s="44"/>
      <c r="K70" s="44"/>
      <c r="L70" s="44" t="s">
        <v>2881</v>
      </c>
    </row>
    <row r="71" customFormat="false" ht="15" hidden="false" customHeight="true" outlineLevel="0" collapsed="false">
      <c r="A71" s="9" t="s">
        <v>2867</v>
      </c>
      <c r="B71" s="9" t="s">
        <v>1445</v>
      </c>
      <c r="C71" s="5" t="s">
        <v>2007</v>
      </c>
      <c r="D71" s="5" t="s">
        <v>2868</v>
      </c>
      <c r="E71" s="9" t="s">
        <v>212</v>
      </c>
      <c r="F71" s="29" t="n">
        <v>650</v>
      </c>
      <c r="G71" s="9" t="s">
        <v>2833</v>
      </c>
      <c r="H71" s="35"/>
      <c r="I71" s="44"/>
      <c r="J71" s="44"/>
      <c r="K71" s="44"/>
      <c r="L71" s="44" t="s">
        <v>2882</v>
      </c>
    </row>
    <row r="72" customFormat="false" ht="15" hidden="false" customHeight="true" outlineLevel="0" collapsed="false">
      <c r="A72" s="9" t="s">
        <v>2867</v>
      </c>
      <c r="B72" s="9" t="s">
        <v>1446</v>
      </c>
      <c r="C72" s="5" t="s">
        <v>2009</v>
      </c>
      <c r="D72" s="5" t="s">
        <v>2868</v>
      </c>
      <c r="E72" s="9" t="s">
        <v>212</v>
      </c>
      <c r="F72" s="29" t="n">
        <v>3500</v>
      </c>
      <c r="G72" s="9" t="s">
        <v>2833</v>
      </c>
      <c r="H72" s="35"/>
      <c r="I72" s="44"/>
      <c r="J72" s="44"/>
      <c r="K72" s="44"/>
      <c r="L72" s="44" t="s">
        <v>2883</v>
      </c>
    </row>
    <row r="73" customFormat="false" ht="15" hidden="false" customHeight="true" outlineLevel="0" collapsed="false">
      <c r="A73" s="9" t="s">
        <v>2867</v>
      </c>
      <c r="B73" s="9" t="s">
        <v>1447</v>
      </c>
      <c r="C73" s="5" t="s">
        <v>2011</v>
      </c>
      <c r="D73" s="5" t="s">
        <v>2868</v>
      </c>
      <c r="E73" s="9" t="s">
        <v>212</v>
      </c>
      <c r="F73" s="29" t="n">
        <v>2500</v>
      </c>
      <c r="G73" s="9" t="s">
        <v>2833</v>
      </c>
      <c r="H73" s="35"/>
      <c r="I73" s="44"/>
      <c r="J73" s="44"/>
      <c r="K73" s="44"/>
      <c r="L73" s="44" t="s">
        <v>2884</v>
      </c>
    </row>
    <row r="74" customFormat="false" ht="15" hidden="false" customHeight="true" outlineLevel="0" collapsed="false">
      <c r="A74" s="9" t="s">
        <v>2867</v>
      </c>
      <c r="B74" s="9" t="s">
        <v>1448</v>
      </c>
      <c r="C74" s="5" t="s">
        <v>2013</v>
      </c>
      <c r="D74" s="5" t="s">
        <v>2868</v>
      </c>
      <c r="E74" s="9" t="s">
        <v>368</v>
      </c>
      <c r="F74" s="29" t="n">
        <v>25000</v>
      </c>
      <c r="G74" s="9" t="s">
        <v>2833</v>
      </c>
      <c r="H74" s="35"/>
      <c r="I74" s="44"/>
      <c r="J74" s="44"/>
      <c r="K74" s="44"/>
      <c r="L74" s="44" t="s">
        <v>2885</v>
      </c>
    </row>
    <row r="75" customFormat="false" ht="15" hidden="false" customHeight="true" outlineLevel="0" collapsed="false">
      <c r="A75" s="9" t="s">
        <v>2867</v>
      </c>
      <c r="B75" s="9" t="s">
        <v>1451</v>
      </c>
      <c r="C75" s="5" t="s">
        <v>2015</v>
      </c>
      <c r="D75" s="5" t="s">
        <v>2868</v>
      </c>
      <c r="E75" s="9" t="s">
        <v>386</v>
      </c>
      <c r="F75" s="29" t="n">
        <v>180</v>
      </c>
      <c r="G75" s="9" t="s">
        <v>2833</v>
      </c>
      <c r="H75" s="35"/>
      <c r="I75" s="44"/>
      <c r="J75" s="44"/>
      <c r="K75" s="44"/>
      <c r="L75" s="44" t="s">
        <v>2886</v>
      </c>
    </row>
    <row r="76" customFormat="false" ht="21.75" hidden="false" customHeight="true" outlineLevel="0" collapsed="false">
      <c r="A76" s="9" t="s">
        <v>2867</v>
      </c>
      <c r="B76" s="9" t="s">
        <v>1454</v>
      </c>
      <c r="C76" s="5" t="s">
        <v>2017</v>
      </c>
      <c r="D76" s="5" t="s">
        <v>2868</v>
      </c>
      <c r="E76" s="9" t="s">
        <v>368</v>
      </c>
      <c r="F76" s="29" t="n">
        <v>85000</v>
      </c>
      <c r="G76" s="9" t="s">
        <v>2833</v>
      </c>
      <c r="H76" s="35"/>
      <c r="I76" s="44"/>
      <c r="J76" s="44"/>
      <c r="K76" s="44"/>
      <c r="L76" s="44" t="s">
        <v>2887</v>
      </c>
    </row>
    <row r="77" customFormat="false" ht="15" hidden="false" customHeight="true" outlineLevel="0" collapsed="false">
      <c r="A77" s="9" t="s">
        <v>2867</v>
      </c>
      <c r="B77" s="9" t="s">
        <v>1455</v>
      </c>
      <c r="C77" s="5" t="s">
        <v>2019</v>
      </c>
      <c r="D77" s="5" t="s">
        <v>2868</v>
      </c>
      <c r="E77" s="9" t="s">
        <v>368</v>
      </c>
      <c r="F77" s="29" t="n">
        <v>22000000</v>
      </c>
      <c r="G77" s="9" t="s">
        <v>2833</v>
      </c>
      <c r="H77" s="35"/>
      <c r="I77" s="44"/>
      <c r="J77" s="44"/>
      <c r="K77" s="44"/>
      <c r="L77" s="44" t="s">
        <v>2888</v>
      </c>
    </row>
    <row r="78" customFormat="false" ht="15" hidden="false" customHeight="true" outlineLevel="0" collapsed="false">
      <c r="A78" s="9" t="s">
        <v>2867</v>
      </c>
      <c r="B78" s="9" t="s">
        <v>1456</v>
      </c>
      <c r="C78" s="5" t="s">
        <v>2021</v>
      </c>
      <c r="D78" s="5" t="s">
        <v>2868</v>
      </c>
      <c r="E78" s="9" t="s">
        <v>212</v>
      </c>
      <c r="F78" s="29" t="n">
        <v>80</v>
      </c>
      <c r="G78" s="9" t="s">
        <v>2833</v>
      </c>
      <c r="H78" s="35"/>
      <c r="I78" s="44"/>
      <c r="J78" s="44"/>
      <c r="K78" s="44"/>
      <c r="L78" s="44" t="s">
        <v>2889</v>
      </c>
    </row>
    <row r="79" customFormat="false" ht="21.75" hidden="false" customHeight="true" outlineLevel="0" collapsed="false">
      <c r="A79" s="9" t="s">
        <v>2867</v>
      </c>
      <c r="B79" s="9" t="s">
        <v>1458</v>
      </c>
      <c r="C79" s="5" t="s">
        <v>2023</v>
      </c>
      <c r="D79" s="5" t="s">
        <v>2868</v>
      </c>
      <c r="E79" s="9" t="s">
        <v>782</v>
      </c>
      <c r="F79" s="29" t="n">
        <v>300000</v>
      </c>
      <c r="G79" s="9" t="s">
        <v>2833</v>
      </c>
      <c r="H79" s="35"/>
      <c r="I79" s="44"/>
      <c r="J79" s="44"/>
      <c r="K79" s="44"/>
      <c r="L79" s="44" t="s">
        <v>2890</v>
      </c>
    </row>
    <row r="80" customFormat="false" ht="15" hidden="false" customHeight="true" outlineLevel="0" collapsed="false">
      <c r="A80" s="9" t="s">
        <v>2867</v>
      </c>
      <c r="B80" s="9" t="s">
        <v>1460</v>
      </c>
      <c r="C80" s="5" t="s">
        <v>2025</v>
      </c>
      <c r="D80" s="5" t="s">
        <v>2868</v>
      </c>
      <c r="E80" s="9" t="s">
        <v>368</v>
      </c>
      <c r="F80" s="29" t="n">
        <v>2000000</v>
      </c>
      <c r="G80" s="9" t="s">
        <v>2833</v>
      </c>
      <c r="H80" s="35"/>
      <c r="I80" s="44"/>
      <c r="J80" s="44"/>
      <c r="K80" s="44"/>
      <c r="L80" s="44" t="s">
        <v>2891</v>
      </c>
    </row>
    <row r="81" customFormat="false" ht="15" hidden="false" customHeight="true" outlineLevel="0" collapsed="false">
      <c r="A81" s="9" t="s">
        <v>2867</v>
      </c>
      <c r="B81" s="9" t="s">
        <v>1217</v>
      </c>
      <c r="C81" s="5" t="s">
        <v>2027</v>
      </c>
      <c r="D81" s="5" t="s">
        <v>2868</v>
      </c>
      <c r="E81" s="9" t="s">
        <v>386</v>
      </c>
      <c r="F81" s="29" t="n">
        <v>149.54</v>
      </c>
      <c r="G81" s="9" t="s">
        <v>2833</v>
      </c>
      <c r="H81" s="35"/>
      <c r="I81" s="44"/>
      <c r="J81" s="44"/>
      <c r="K81" s="44"/>
      <c r="L81" s="44" t="s">
        <v>2892</v>
      </c>
    </row>
    <row r="82" customFormat="false" ht="15" hidden="false" customHeight="true" outlineLevel="0" collapsed="false">
      <c r="A82" s="9" t="s">
        <v>2867</v>
      </c>
      <c r="B82" s="9" t="s">
        <v>1226</v>
      </c>
      <c r="C82" s="5" t="s">
        <v>2029</v>
      </c>
      <c r="D82" s="5" t="s">
        <v>2868</v>
      </c>
      <c r="E82" s="9" t="s">
        <v>386</v>
      </c>
      <c r="F82" s="29" t="n">
        <v>314.88</v>
      </c>
      <c r="G82" s="9" t="s">
        <v>2833</v>
      </c>
      <c r="H82" s="35"/>
      <c r="I82" s="44"/>
      <c r="J82" s="44"/>
      <c r="K82" s="44"/>
      <c r="L82" s="44" t="s">
        <v>2893</v>
      </c>
    </row>
    <row r="83" customFormat="false" ht="15" hidden="false" customHeight="true" outlineLevel="0" collapsed="false">
      <c r="A83" s="9" t="s">
        <v>2867</v>
      </c>
      <c r="B83" s="9" t="s">
        <v>1231</v>
      </c>
      <c r="C83" s="5" t="s">
        <v>2031</v>
      </c>
      <c r="D83" s="5" t="s">
        <v>2868</v>
      </c>
      <c r="E83" s="9" t="s">
        <v>386</v>
      </c>
      <c r="F83" s="29" t="n">
        <v>907.39</v>
      </c>
      <c r="G83" s="9" t="s">
        <v>2833</v>
      </c>
      <c r="H83" s="35"/>
      <c r="I83" s="44"/>
      <c r="J83" s="44"/>
      <c r="K83" s="44"/>
      <c r="L83" s="44" t="s">
        <v>2894</v>
      </c>
    </row>
  </sheetData>
  <autoFilter ref="A4:L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7"/>
    <col collapsed="false" customWidth="true" hidden="false" outlineLevel="0" max="6" min="5" style="1" width="26"/>
    <col collapsed="false" customWidth="true" hidden="false" outlineLevel="0" max="7" min="7" style="1" width="50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3" min="13" style="1" width="60"/>
  </cols>
  <sheetData>
    <row r="1" customFormat="false" ht="15.75" hidden="false" customHeight="true" outlineLevel="0" collapsed="false">
      <c r="A1" s="51" t="s">
        <v>2895</v>
      </c>
    </row>
    <row r="2" customFormat="false" ht="15" hidden="false" customHeight="true" outlineLevel="0" collapsed="false">
      <c r="A2" s="1" t="s">
        <v>2896</v>
      </c>
    </row>
    <row r="4" customFormat="false" ht="68.25" hidden="false" customHeight="true" outlineLevel="0" collapsed="false">
      <c r="A4" s="52" t="s">
        <v>2897</v>
      </c>
      <c r="B4" s="52" t="s">
        <v>2898</v>
      </c>
      <c r="C4" s="52" t="s">
        <v>791</v>
      </c>
      <c r="D4" s="52" t="s">
        <v>81</v>
      </c>
      <c r="E4" s="52" t="s">
        <v>2899</v>
      </c>
      <c r="F4" s="52" t="s">
        <v>2900</v>
      </c>
      <c r="G4" s="52" t="s">
        <v>2901</v>
      </c>
      <c r="H4" s="52" t="s">
        <v>2902</v>
      </c>
      <c r="I4" s="52" t="s">
        <v>2903</v>
      </c>
      <c r="J4" s="52" t="s">
        <v>2904</v>
      </c>
      <c r="K4" s="52" t="s">
        <v>2905</v>
      </c>
      <c r="L4" s="52" t="s">
        <v>2906</v>
      </c>
      <c r="M4" s="52" t="s">
        <v>2907</v>
      </c>
    </row>
    <row r="5" customFormat="false" ht="54.75" hidden="false" customHeight="true" outlineLevel="0" collapsed="false">
      <c r="A5" s="7" t="s">
        <v>2908</v>
      </c>
      <c r="B5" s="7" t="s">
        <v>103</v>
      </c>
      <c r="C5" s="7" t="s">
        <v>107</v>
      </c>
      <c r="D5" s="7" t="s">
        <v>109</v>
      </c>
      <c r="E5" s="7" t="s">
        <v>2909</v>
      </c>
      <c r="F5" s="7" t="s">
        <v>2910</v>
      </c>
      <c r="G5" s="7" t="s">
        <v>2911</v>
      </c>
      <c r="H5" s="53" t="n">
        <f aca="false">'03 MASTER RATE LIBRARY'!S5</f>
        <v>1173</v>
      </c>
      <c r="I5" s="7" t="str">
        <f aca="false">'03 MASTER RATE LIBRARY'!U5</f>
        <v>INCOMPLETE – 1 blank/old input(s)</v>
      </c>
      <c r="J5" s="54" t="n">
        <v>842.25</v>
      </c>
      <c r="K5" s="1" t="s">
        <v>2912</v>
      </c>
      <c r="L5" s="55" t="n">
        <v>-0.281971301918768</v>
      </c>
      <c r="M5" s="1" t="s">
        <v>2913</v>
      </c>
    </row>
    <row r="6" customFormat="false" ht="54.75" hidden="false" customHeight="true" outlineLevel="0" collapsed="false">
      <c r="A6" s="7" t="s">
        <v>2908</v>
      </c>
      <c r="B6" s="7" t="s">
        <v>116</v>
      </c>
      <c r="C6" s="7" t="s">
        <v>119</v>
      </c>
      <c r="D6" s="7" t="s">
        <v>109</v>
      </c>
      <c r="E6" s="7" t="s">
        <v>2909</v>
      </c>
      <c r="F6" s="7" t="s">
        <v>2914</v>
      </c>
      <c r="G6" s="7" t="s">
        <v>2911</v>
      </c>
      <c r="H6" s="53" t="n">
        <f aca="false">'03 MASTER RATE LIBRARY'!S6</f>
        <v>795</v>
      </c>
      <c r="I6" s="7" t="str">
        <f aca="false">'03 MASTER RATE LIBRARY'!U6</f>
        <v>Market-derived + assumptions</v>
      </c>
      <c r="J6" s="54" t="n">
        <v>575.55</v>
      </c>
      <c r="K6" s="1" t="s">
        <v>2912</v>
      </c>
      <c r="L6" s="55" t="n">
        <v>-0.276043889196084</v>
      </c>
      <c r="M6" s="1" t="s">
        <v>2913</v>
      </c>
    </row>
    <row r="7" customFormat="false" ht="54.75" hidden="false" customHeight="true" outlineLevel="0" collapsed="false">
      <c r="A7" s="7" t="s">
        <v>2908</v>
      </c>
      <c r="B7" s="7" t="s">
        <v>122</v>
      </c>
      <c r="C7" s="7" t="s">
        <v>124</v>
      </c>
      <c r="D7" s="7" t="s">
        <v>109</v>
      </c>
      <c r="E7" s="7" t="s">
        <v>2909</v>
      </c>
      <c r="F7" s="7" t="s">
        <v>2915</v>
      </c>
      <c r="G7" s="7" t="s">
        <v>2911</v>
      </c>
      <c r="H7" s="53" t="n">
        <f aca="false">'03 MASTER RATE LIBRARY'!S7</f>
        <v>1141</v>
      </c>
      <c r="I7" s="7" t="str">
        <f aca="false">'03 MASTER RATE LIBRARY'!U7</f>
        <v>INCOMPLETE – 1 blank/old input(s)</v>
      </c>
      <c r="J7" s="54" t="n">
        <v>927.84</v>
      </c>
      <c r="K7" s="1" t="s">
        <v>2912</v>
      </c>
      <c r="L7" s="55" t="n">
        <v>-0.186822405593648</v>
      </c>
      <c r="M7" s="1" t="s">
        <v>2913</v>
      </c>
    </row>
    <row r="8" customFormat="false" ht="54.75" hidden="false" customHeight="true" outlineLevel="0" collapsed="false">
      <c r="A8" s="7" t="s">
        <v>2908</v>
      </c>
      <c r="B8" s="7" t="s">
        <v>127</v>
      </c>
      <c r="C8" s="7" t="s">
        <v>129</v>
      </c>
      <c r="D8" s="7" t="s">
        <v>109</v>
      </c>
      <c r="E8" s="7" t="s">
        <v>2909</v>
      </c>
      <c r="F8" s="7" t="s">
        <v>2916</v>
      </c>
      <c r="G8" s="7" t="s">
        <v>2911</v>
      </c>
      <c r="H8" s="53" t="n">
        <f aca="false">'03 MASTER RATE LIBRARY'!S8</f>
        <v>732</v>
      </c>
      <c r="I8" s="7" t="str">
        <f aca="false">'03 MASTER RATE LIBRARY'!U8</f>
        <v>Market-derived + assumptions</v>
      </c>
      <c r="J8" s="54" t="n">
        <v>668.57</v>
      </c>
      <c r="K8" s="1" t="s">
        <v>2912</v>
      </c>
      <c r="L8" s="55" t="n">
        <v>-0.0866477595628415</v>
      </c>
      <c r="M8" s="1" t="s">
        <v>2917</v>
      </c>
    </row>
    <row r="9" customFormat="false" ht="54.75" hidden="false" customHeight="true" outlineLevel="0" collapsed="false">
      <c r="A9" s="7" t="s">
        <v>2908</v>
      </c>
      <c r="B9" s="7" t="s">
        <v>132</v>
      </c>
      <c r="C9" s="7" t="s">
        <v>134</v>
      </c>
      <c r="D9" s="7" t="s">
        <v>109</v>
      </c>
      <c r="E9" s="7" t="s">
        <v>2909</v>
      </c>
      <c r="F9" s="7" t="s">
        <v>2918</v>
      </c>
      <c r="G9" s="7" t="s">
        <v>2911</v>
      </c>
      <c r="H9" s="53" t="n">
        <f aca="false">'03 MASTER RATE LIBRARY'!S9</f>
        <v>1073</v>
      </c>
      <c r="I9" s="7" t="str">
        <f aca="false">'03 MASTER RATE LIBRARY'!U9</f>
        <v>INCOMPLETE – 1 blank/old input(s)</v>
      </c>
      <c r="J9" s="54" t="n">
        <v>825.16</v>
      </c>
      <c r="K9" s="1" t="s">
        <v>2912</v>
      </c>
      <c r="L9" s="55" t="n">
        <v>-0.230979705820104</v>
      </c>
      <c r="M9" s="1" t="s">
        <v>2913</v>
      </c>
    </row>
    <row r="10" customFormat="false" ht="54.75" hidden="false" customHeight="true" outlineLevel="0" collapsed="false">
      <c r="A10" s="7" t="s">
        <v>2908</v>
      </c>
      <c r="B10" s="7" t="s">
        <v>137</v>
      </c>
      <c r="C10" s="7" t="s">
        <v>139</v>
      </c>
      <c r="D10" s="7" t="s">
        <v>109</v>
      </c>
      <c r="E10" s="7" t="s">
        <v>2909</v>
      </c>
      <c r="F10" s="7" t="s">
        <v>2919</v>
      </c>
      <c r="G10" s="7" t="s">
        <v>2911</v>
      </c>
      <c r="H10" s="53" t="n">
        <f aca="false">'03 MASTER RATE LIBRARY'!S10</f>
        <v>1049</v>
      </c>
      <c r="I10" s="7" t="str">
        <f aca="false">'03 MASTER RATE LIBRARY'!U10</f>
        <v>INCOMPLETE – 1 blank/old input(s)</v>
      </c>
      <c r="J10" s="54" t="n">
        <v>783.78</v>
      </c>
      <c r="K10" s="1" t="s">
        <v>2912</v>
      </c>
      <c r="L10" s="55" t="n">
        <v>-0.252829777690703</v>
      </c>
      <c r="M10" s="1" t="s">
        <v>2913</v>
      </c>
    </row>
    <row r="11" customFormat="false" ht="54.75" hidden="false" customHeight="true" outlineLevel="0" collapsed="false">
      <c r="A11" s="7" t="s">
        <v>2908</v>
      </c>
      <c r="B11" s="7" t="s">
        <v>142</v>
      </c>
      <c r="C11" s="7" t="s">
        <v>144</v>
      </c>
      <c r="D11" s="7" t="s">
        <v>109</v>
      </c>
      <c r="E11" s="7" t="s">
        <v>2909</v>
      </c>
      <c r="F11" s="7" t="s">
        <v>2920</v>
      </c>
      <c r="G11" s="7" t="s">
        <v>2911</v>
      </c>
      <c r="H11" s="53" t="n">
        <f aca="false">'03 MASTER RATE LIBRARY'!S11</f>
        <v>787</v>
      </c>
      <c r="I11" s="7" t="str">
        <f aca="false">'03 MASTER RATE LIBRARY'!U11</f>
        <v>Market-derived + assumptions</v>
      </c>
      <c r="J11" s="54" t="n">
        <v>665.32</v>
      </c>
      <c r="K11" s="1" t="s">
        <v>2912</v>
      </c>
      <c r="L11" s="55" t="n">
        <v>-0.15461395049944</v>
      </c>
      <c r="M11" s="1" t="s">
        <v>2913</v>
      </c>
    </row>
    <row r="12" customFormat="false" ht="54.75" hidden="false" customHeight="true" outlineLevel="0" collapsed="false">
      <c r="A12" s="7" t="s">
        <v>2908</v>
      </c>
      <c r="B12" s="7" t="s">
        <v>147</v>
      </c>
      <c r="C12" s="7" t="s">
        <v>148</v>
      </c>
      <c r="D12" s="7" t="s">
        <v>109</v>
      </c>
      <c r="E12" s="7" t="s">
        <v>2909</v>
      </c>
      <c r="F12" s="7" t="s">
        <v>2921</v>
      </c>
      <c r="G12" s="7" t="s">
        <v>2911</v>
      </c>
      <c r="H12" s="53" t="n">
        <f aca="false">'03 MASTER RATE LIBRARY'!S12</f>
        <v>967</v>
      </c>
      <c r="I12" s="7" t="str">
        <f aca="false">'03 MASTER RATE LIBRARY'!U12</f>
        <v>INCOMPLETE – 1 blank/old input(s)</v>
      </c>
      <c r="J12" s="54" t="n">
        <v>862.86</v>
      </c>
      <c r="K12" s="1" t="s">
        <v>2912</v>
      </c>
      <c r="L12" s="55" t="n">
        <v>-0.107689711083317</v>
      </c>
      <c r="M12" s="1" t="s">
        <v>2917</v>
      </c>
    </row>
    <row r="13" customFormat="false" ht="54.75" hidden="false" customHeight="true" outlineLevel="0" collapsed="false">
      <c r="A13" s="7" t="s">
        <v>2908</v>
      </c>
      <c r="B13" s="7" t="s">
        <v>151</v>
      </c>
      <c r="C13" s="7" t="s">
        <v>152</v>
      </c>
      <c r="D13" s="7" t="s">
        <v>109</v>
      </c>
      <c r="E13" s="7" t="s">
        <v>2909</v>
      </c>
      <c r="F13" s="7" t="s">
        <v>2922</v>
      </c>
      <c r="G13" s="7" t="s">
        <v>2911</v>
      </c>
      <c r="H13" s="53" t="n">
        <f aca="false">'03 MASTER RATE LIBRARY'!S13</f>
        <v>1014</v>
      </c>
      <c r="I13" s="7" t="str">
        <f aca="false">'03 MASTER RATE LIBRARY'!U13</f>
        <v>INCOMPLETE – 1 blank/old input(s)</v>
      </c>
      <c r="J13" s="54" t="n">
        <v>916.1</v>
      </c>
      <c r="K13" s="1" t="s">
        <v>2912</v>
      </c>
      <c r="L13" s="55" t="n">
        <v>-0.0965446234533082</v>
      </c>
      <c r="M13" s="1" t="s">
        <v>2917</v>
      </c>
    </row>
    <row r="14" customFormat="false" ht="54.75" hidden="false" customHeight="true" outlineLevel="0" collapsed="false">
      <c r="A14" s="7" t="s">
        <v>2908</v>
      </c>
      <c r="B14" s="7" t="s">
        <v>154</v>
      </c>
      <c r="C14" s="7" t="s">
        <v>155</v>
      </c>
      <c r="D14" s="7" t="s">
        <v>109</v>
      </c>
      <c r="E14" s="7" t="s">
        <v>2909</v>
      </c>
      <c r="F14" s="7" t="s">
        <v>2923</v>
      </c>
      <c r="G14" s="7" t="s">
        <v>2911</v>
      </c>
      <c r="H14" s="53" t="n">
        <f aca="false">'03 MASTER RATE LIBRARY'!S14</f>
        <v>1132</v>
      </c>
      <c r="I14" s="7" t="str">
        <f aca="false">'03 MASTER RATE LIBRARY'!U14</f>
        <v>INCOMPLETE – 1 blank/old input(s)</v>
      </c>
      <c r="J14" s="54" t="n">
        <v>1048.34</v>
      </c>
      <c r="K14" s="1" t="s">
        <v>2912</v>
      </c>
      <c r="L14" s="55" t="n">
        <v>-0.0739071230542783</v>
      </c>
      <c r="M14" s="1" t="s">
        <v>2917</v>
      </c>
    </row>
    <row r="15" customFormat="false" ht="54.75" hidden="false" customHeight="true" outlineLevel="0" collapsed="false">
      <c r="A15" s="7" t="s">
        <v>2908</v>
      </c>
      <c r="B15" s="7" t="s">
        <v>157</v>
      </c>
      <c r="C15" s="7" t="s">
        <v>159</v>
      </c>
      <c r="D15" s="7" t="s">
        <v>109</v>
      </c>
      <c r="E15" s="7" t="s">
        <v>2909</v>
      </c>
      <c r="F15" s="7" t="s">
        <v>2924</v>
      </c>
      <c r="G15" s="7" t="s">
        <v>2911</v>
      </c>
      <c r="H15" s="53" t="n">
        <f aca="false">'03 MASTER RATE LIBRARY'!S15</f>
        <v>921</v>
      </c>
      <c r="I15" s="7" t="str">
        <f aca="false">'03 MASTER RATE LIBRARY'!U15</f>
        <v>INCOMPLETE – 1 blank/old input(s)</v>
      </c>
      <c r="J15" s="54" t="n">
        <v>708.22</v>
      </c>
      <c r="K15" s="1" t="s">
        <v>2912</v>
      </c>
      <c r="L15" s="55" t="n">
        <v>-0.231032248543338</v>
      </c>
      <c r="M15" s="1" t="s">
        <v>2913</v>
      </c>
    </row>
    <row r="16" customFormat="false" ht="54.75" hidden="false" customHeight="true" outlineLevel="0" collapsed="false">
      <c r="A16" s="7" t="s">
        <v>2908</v>
      </c>
      <c r="B16" s="7" t="s">
        <v>162</v>
      </c>
      <c r="C16" s="7" t="s">
        <v>163</v>
      </c>
      <c r="D16" s="7" t="s">
        <v>109</v>
      </c>
      <c r="E16" s="7" t="s">
        <v>2909</v>
      </c>
      <c r="F16" s="7" t="s">
        <v>2919</v>
      </c>
      <c r="G16" s="7" t="s">
        <v>2911</v>
      </c>
      <c r="H16" s="53" t="n">
        <f aca="false">'03 MASTER RATE LIBRARY'!S16</f>
        <v>1027</v>
      </c>
      <c r="I16" s="7" t="str">
        <f aca="false">'03 MASTER RATE LIBRARY'!U16</f>
        <v>INCOMPLETE – 1 blank/old input(s)</v>
      </c>
      <c r="J16" s="54" t="n">
        <v>783.78</v>
      </c>
      <c r="K16" s="1" t="s">
        <v>2912</v>
      </c>
      <c r="L16" s="55" t="n">
        <v>-0.236824183834029</v>
      </c>
      <c r="M16" s="1" t="s">
        <v>2913</v>
      </c>
    </row>
    <row r="17" customFormat="false" ht="54.75" hidden="false" customHeight="true" outlineLevel="0" collapsed="false">
      <c r="A17" s="7" t="s">
        <v>2908</v>
      </c>
      <c r="B17" s="7" t="s">
        <v>166</v>
      </c>
      <c r="C17" s="7" t="s">
        <v>167</v>
      </c>
      <c r="D17" s="7" t="s">
        <v>109</v>
      </c>
      <c r="E17" s="7" t="s">
        <v>2909</v>
      </c>
      <c r="F17" s="7" t="s">
        <v>2918</v>
      </c>
      <c r="G17" s="7" t="s">
        <v>2911</v>
      </c>
      <c r="H17" s="53" t="n">
        <f aca="false">'03 MASTER RATE LIBRARY'!S17</f>
        <v>1071</v>
      </c>
      <c r="I17" s="7" t="str">
        <f aca="false">'03 MASTER RATE LIBRARY'!U17</f>
        <v>INCOMPLETE – 1 blank/old input(s)</v>
      </c>
      <c r="J17" s="54" t="n">
        <v>825.16</v>
      </c>
      <c r="K17" s="1" t="s">
        <v>2912</v>
      </c>
      <c r="L17" s="55" t="n">
        <v>-0.229543626839376</v>
      </c>
      <c r="M17" s="1" t="s">
        <v>2913</v>
      </c>
    </row>
    <row r="18" customFormat="false" ht="54.75" hidden="false" customHeight="true" outlineLevel="0" collapsed="false">
      <c r="A18" s="7" t="s">
        <v>2908</v>
      </c>
      <c r="B18" s="7" t="s">
        <v>170</v>
      </c>
      <c r="C18" s="7" t="s">
        <v>171</v>
      </c>
      <c r="D18" s="7" t="s">
        <v>109</v>
      </c>
      <c r="E18" s="7" t="s">
        <v>2909</v>
      </c>
      <c r="F18" s="7" t="s">
        <v>2910</v>
      </c>
      <c r="G18" s="7" t="s">
        <v>2911</v>
      </c>
      <c r="H18" s="53" t="n">
        <f aca="false">'03 MASTER RATE LIBRARY'!S18</f>
        <v>1119</v>
      </c>
      <c r="I18" s="7" t="str">
        <f aca="false">'03 MASTER RATE LIBRARY'!U18</f>
        <v>INCOMPLETE – 1 blank/old input(s)</v>
      </c>
      <c r="J18" s="54" t="n">
        <v>842.25</v>
      </c>
      <c r="K18" s="1" t="s">
        <v>2912</v>
      </c>
      <c r="L18" s="55" t="n">
        <v>-0.247321123459084</v>
      </c>
      <c r="M18" s="1" t="s">
        <v>2913</v>
      </c>
    </row>
    <row r="19" customFormat="false" ht="54.75" hidden="false" customHeight="true" outlineLevel="0" collapsed="false">
      <c r="A19" s="7" t="s">
        <v>2908</v>
      </c>
      <c r="B19" s="7" t="s">
        <v>174</v>
      </c>
      <c r="C19" s="7" t="s">
        <v>176</v>
      </c>
      <c r="D19" s="7" t="s">
        <v>109</v>
      </c>
      <c r="E19" s="7" t="s">
        <v>2909</v>
      </c>
      <c r="F19" s="7" t="s">
        <v>2925</v>
      </c>
      <c r="G19" s="7" t="s">
        <v>2911</v>
      </c>
      <c r="H19" s="53" t="n">
        <f aca="false">'03 MASTER RATE LIBRARY'!S19</f>
        <v>1134</v>
      </c>
      <c r="I19" s="7" t="str">
        <f aca="false">'03 MASTER RATE LIBRARY'!U19</f>
        <v>INCOMPLETE – 1 blank/old input(s)</v>
      </c>
      <c r="J19" s="54" t="n">
        <v>886.02</v>
      </c>
      <c r="K19" s="1" t="s">
        <v>2912</v>
      </c>
      <c r="L19" s="55" t="n">
        <v>-0.218677357871247</v>
      </c>
      <c r="M19" s="1" t="s">
        <v>2913</v>
      </c>
    </row>
    <row r="20" customFormat="false" ht="54.75" hidden="false" customHeight="true" outlineLevel="0" collapsed="false">
      <c r="A20" s="7" t="s">
        <v>2908</v>
      </c>
      <c r="B20" s="7" t="s">
        <v>179</v>
      </c>
      <c r="C20" s="7" t="s">
        <v>181</v>
      </c>
      <c r="D20" s="7" t="s">
        <v>109</v>
      </c>
      <c r="E20" s="7" t="s">
        <v>2909</v>
      </c>
      <c r="F20" s="7" t="s">
        <v>2926</v>
      </c>
      <c r="G20" s="7" t="s">
        <v>2911</v>
      </c>
      <c r="H20" s="53" t="n">
        <f aca="false">'03 MASTER RATE LIBRARY'!S20</f>
        <v>663</v>
      </c>
      <c r="I20" s="7" t="str">
        <f aca="false">'03 MASTER RATE LIBRARY'!U20</f>
        <v>Market-derived + assumptions</v>
      </c>
      <c r="J20" s="54" t="n">
        <v>619.7</v>
      </c>
      <c r="K20" s="1" t="s">
        <v>2912</v>
      </c>
      <c r="L20" s="55" t="n">
        <v>-0.0653119921104537</v>
      </c>
      <c r="M20" s="1" t="s">
        <v>2917</v>
      </c>
    </row>
    <row r="21" customFormat="false" ht="54.75" hidden="false" customHeight="true" outlineLevel="0" collapsed="false">
      <c r="A21" s="7" t="s">
        <v>2908</v>
      </c>
      <c r="B21" s="7" t="s">
        <v>185</v>
      </c>
      <c r="C21" s="7" t="s">
        <v>187</v>
      </c>
      <c r="D21" s="7" t="s">
        <v>109</v>
      </c>
      <c r="E21" s="7" t="s">
        <v>2909</v>
      </c>
      <c r="F21" s="7" t="s">
        <v>2927</v>
      </c>
      <c r="G21" s="7" t="s">
        <v>2911</v>
      </c>
      <c r="H21" s="53" t="n">
        <f aca="false">'03 MASTER RATE LIBRARY'!S21</f>
        <v>792</v>
      </c>
      <c r="I21" s="7" t="str">
        <f aca="false">'03 MASTER RATE LIBRARY'!U21</f>
        <v>Market-derived + assumptions</v>
      </c>
      <c r="J21" s="54" t="n">
        <v>810.19</v>
      </c>
      <c r="K21" s="1" t="s">
        <v>2912</v>
      </c>
      <c r="L21" s="55" t="n">
        <v>0.022972095959596</v>
      </c>
      <c r="M21" s="1" t="s">
        <v>2917</v>
      </c>
    </row>
    <row r="22" customFormat="false" ht="54.75" hidden="false" customHeight="true" outlineLevel="0" collapsed="false">
      <c r="A22" s="7" t="s">
        <v>2908</v>
      </c>
      <c r="B22" s="7" t="s">
        <v>189</v>
      </c>
      <c r="C22" s="7" t="s">
        <v>191</v>
      </c>
      <c r="D22" s="7" t="s">
        <v>109</v>
      </c>
      <c r="E22" s="7" t="s">
        <v>2909</v>
      </c>
      <c r="F22" s="7" t="s">
        <v>2928</v>
      </c>
      <c r="G22" s="7" t="s">
        <v>2911</v>
      </c>
      <c r="H22" s="53" t="n">
        <f aca="false">'03 MASTER RATE LIBRARY'!S22</f>
        <v>873</v>
      </c>
      <c r="I22" s="7" t="str">
        <f aca="false">'03 MASTER RATE LIBRARY'!U22</f>
        <v>Market-derived + assumptions</v>
      </c>
      <c r="J22" s="54" t="n">
        <v>892.71</v>
      </c>
      <c r="K22" s="1" t="s">
        <v>2912</v>
      </c>
      <c r="L22" s="55" t="n">
        <v>0.0225788087056129</v>
      </c>
      <c r="M22" s="1" t="s">
        <v>2917</v>
      </c>
    </row>
    <row r="23" customFormat="false" ht="27.75" hidden="false" customHeight="true" outlineLevel="0" collapsed="false">
      <c r="A23" s="7" t="s">
        <v>2908</v>
      </c>
      <c r="B23" s="7" t="s">
        <v>193</v>
      </c>
      <c r="C23" s="7" t="s">
        <v>196</v>
      </c>
      <c r="D23" s="7" t="s">
        <v>198</v>
      </c>
      <c r="E23" s="7" t="s">
        <v>2909</v>
      </c>
      <c r="F23" s="7" t="s">
        <v>2929</v>
      </c>
      <c r="G23" s="7" t="s">
        <v>2911</v>
      </c>
      <c r="H23" s="53" t="n">
        <f aca="false">'03 MASTER RATE LIBRARY'!S23</f>
        <v>311</v>
      </c>
      <c r="I23" s="7" t="str">
        <f aca="false">'03 MASTER RATE LIBRARY'!U23</f>
        <v>Market-derived + assumptions</v>
      </c>
      <c r="J23" s="54" t="n">
        <v>321.58</v>
      </c>
      <c r="K23" s="1" t="s">
        <v>2930</v>
      </c>
      <c r="L23" s="55" t="n">
        <v>0.0340168753543408</v>
      </c>
      <c r="M23" s="1" t="s">
        <v>2917</v>
      </c>
    </row>
    <row r="24" customFormat="false" ht="41.25" hidden="false" customHeight="true" outlineLevel="0" collapsed="false">
      <c r="A24" s="7" t="s">
        <v>2908</v>
      </c>
      <c r="B24" s="7" t="s">
        <v>200</v>
      </c>
      <c r="C24" s="7" t="s">
        <v>203</v>
      </c>
      <c r="D24" s="7" t="s">
        <v>109</v>
      </c>
      <c r="E24" s="7" t="s">
        <v>2909</v>
      </c>
      <c r="F24" s="7" t="s">
        <v>2931</v>
      </c>
      <c r="G24" s="7" t="s">
        <v>2911</v>
      </c>
      <c r="H24" s="53" t="n">
        <f aca="false">'03 MASTER RATE LIBRARY'!S24</f>
        <v>497</v>
      </c>
      <c r="I24" s="7" t="str">
        <f aca="false">'03 MASTER RATE LIBRARY'!U24</f>
        <v>Market-derived + assumptions</v>
      </c>
      <c r="J24" s="54" t="n">
        <v>428.96</v>
      </c>
      <c r="K24" s="1" t="s">
        <v>2912</v>
      </c>
      <c r="L24" s="55" t="n">
        <v>-0.136898528143863</v>
      </c>
      <c r="M24" s="1" t="s">
        <v>2917</v>
      </c>
    </row>
    <row r="25" customFormat="false" ht="27.75" hidden="false" customHeight="true" outlineLevel="0" collapsed="false">
      <c r="A25" s="7" t="s">
        <v>2908</v>
      </c>
      <c r="B25" s="7" t="s">
        <v>206</v>
      </c>
      <c r="C25" s="7" t="s">
        <v>210</v>
      </c>
      <c r="D25" s="7" t="s">
        <v>212</v>
      </c>
      <c r="E25" s="7" t="s">
        <v>2909</v>
      </c>
      <c r="F25" s="7" t="s">
        <v>2932</v>
      </c>
      <c r="G25" s="7" t="s">
        <v>2911</v>
      </c>
      <c r="H25" s="53" t="n">
        <f aca="false">'03 MASTER RATE LIBRARY'!S25</f>
        <v>68</v>
      </c>
      <c r="I25" s="7" t="str">
        <f aca="false">'03 MASTER RATE LIBRARY'!U25</f>
        <v>Market-derived + assumptions</v>
      </c>
      <c r="J25" s="54" t="n">
        <v>65.04</v>
      </c>
      <c r="K25" s="1" t="s">
        <v>212</v>
      </c>
      <c r="L25" s="55" t="n">
        <v>-0.0435926470588235</v>
      </c>
      <c r="M25" s="1" t="s">
        <v>2917</v>
      </c>
    </row>
    <row r="26" customFormat="false" ht="27.75" hidden="false" customHeight="true" outlineLevel="0" collapsed="false">
      <c r="A26" s="7" t="s">
        <v>2908</v>
      </c>
      <c r="B26" s="7" t="s">
        <v>214</v>
      </c>
      <c r="C26" s="7" t="s">
        <v>216</v>
      </c>
      <c r="D26" s="7" t="s">
        <v>212</v>
      </c>
      <c r="E26" s="7" t="s">
        <v>2909</v>
      </c>
      <c r="F26" s="7" t="s">
        <v>2933</v>
      </c>
      <c r="G26" s="7" t="s">
        <v>2911</v>
      </c>
      <c r="H26" s="53" t="n">
        <f aca="false">'03 MASTER RATE LIBRARY'!S26</f>
        <v>84</v>
      </c>
      <c r="I26" s="7" t="str">
        <f aca="false">'03 MASTER RATE LIBRARY'!U26</f>
        <v>Market-derived + assumptions</v>
      </c>
      <c r="J26" s="54" t="n">
        <v>79.89</v>
      </c>
      <c r="K26" s="1" t="s">
        <v>212</v>
      </c>
      <c r="L26" s="55" t="n">
        <v>-0.0489761904761905</v>
      </c>
      <c r="M26" s="1" t="s">
        <v>2917</v>
      </c>
    </row>
    <row r="27" customFormat="false" ht="41.25" hidden="false" customHeight="true" outlineLevel="0" collapsed="false">
      <c r="A27" s="7" t="s">
        <v>2908</v>
      </c>
      <c r="B27" s="7" t="s">
        <v>218</v>
      </c>
      <c r="C27" s="7" t="s">
        <v>221</v>
      </c>
      <c r="D27" s="7" t="s">
        <v>212</v>
      </c>
      <c r="E27" s="7" t="s">
        <v>2909</v>
      </c>
      <c r="F27" s="7" t="s">
        <v>2934</v>
      </c>
      <c r="G27" s="7" t="s">
        <v>2911</v>
      </c>
      <c r="H27" s="53" t="n">
        <f aca="false">'03 MASTER RATE LIBRARY'!S27</f>
        <v>106</v>
      </c>
      <c r="I27" s="7" t="str">
        <f aca="false">'03 MASTER RATE LIBRARY'!U27</f>
        <v>Market-derived + assumptions</v>
      </c>
      <c r="J27" s="54" t="n">
        <v>160.36</v>
      </c>
      <c r="K27" s="1" t="s">
        <v>212</v>
      </c>
      <c r="L27" s="55" t="n">
        <v>0.512856478002264</v>
      </c>
      <c r="M27" s="1" t="s">
        <v>2935</v>
      </c>
    </row>
    <row r="28" customFormat="false" ht="41.25" hidden="false" customHeight="true" outlineLevel="0" collapsed="false">
      <c r="A28" s="7" t="s">
        <v>2908</v>
      </c>
      <c r="B28" s="7" t="s">
        <v>224</v>
      </c>
      <c r="C28" s="7" t="s">
        <v>226</v>
      </c>
      <c r="D28" s="7" t="s">
        <v>212</v>
      </c>
      <c r="E28" s="7" t="s">
        <v>2909</v>
      </c>
      <c r="F28" s="7" t="s">
        <v>2936</v>
      </c>
      <c r="G28" s="7" t="s">
        <v>2911</v>
      </c>
      <c r="H28" s="53" t="n">
        <f aca="false">'03 MASTER RATE LIBRARY'!S28</f>
        <v>126</v>
      </c>
      <c r="I28" s="7" t="str">
        <f aca="false">'03 MASTER RATE LIBRARY'!U28</f>
        <v>Market-derived + assumptions</v>
      </c>
      <c r="J28" s="54" t="n">
        <v>191.08</v>
      </c>
      <c r="K28" s="1" t="s">
        <v>212</v>
      </c>
      <c r="L28" s="55" t="n">
        <v>0.516474814827302</v>
      </c>
      <c r="M28" s="1" t="s">
        <v>2935</v>
      </c>
    </row>
    <row r="29" customFormat="false" ht="41.25" hidden="false" customHeight="true" outlineLevel="0" collapsed="false">
      <c r="A29" s="7" t="s">
        <v>2908</v>
      </c>
      <c r="B29" s="7" t="s">
        <v>227</v>
      </c>
      <c r="C29" s="7" t="s">
        <v>229</v>
      </c>
      <c r="D29" s="7" t="s">
        <v>212</v>
      </c>
      <c r="E29" s="7" t="s">
        <v>2909</v>
      </c>
      <c r="F29" s="7" t="s">
        <v>2937</v>
      </c>
      <c r="G29" s="7" t="s">
        <v>2911</v>
      </c>
      <c r="H29" s="53" t="n">
        <f aca="false">'03 MASTER RATE LIBRARY'!S29</f>
        <v>104</v>
      </c>
      <c r="I29" s="7" t="str">
        <f aca="false">'03 MASTER RATE LIBRARY'!U29</f>
        <v>Market-derived + assumptions</v>
      </c>
      <c r="J29" s="54" t="n">
        <v>175.32</v>
      </c>
      <c r="K29" s="1" t="s">
        <v>212</v>
      </c>
      <c r="L29" s="55" t="n">
        <v>0.685773717963846</v>
      </c>
      <c r="M29" s="1" t="s">
        <v>2935</v>
      </c>
    </row>
    <row r="30" customFormat="false" ht="41.25" hidden="false" customHeight="true" outlineLevel="0" collapsed="false">
      <c r="A30" s="7" t="s">
        <v>2908</v>
      </c>
      <c r="B30" s="7" t="s">
        <v>230</v>
      </c>
      <c r="C30" s="7" t="s">
        <v>232</v>
      </c>
      <c r="D30" s="7" t="s">
        <v>212</v>
      </c>
      <c r="E30" s="7" t="s">
        <v>2909</v>
      </c>
      <c r="F30" s="7" t="s">
        <v>2938</v>
      </c>
      <c r="G30" s="7" t="s">
        <v>2911</v>
      </c>
      <c r="H30" s="53" t="n">
        <f aca="false">'03 MASTER RATE LIBRARY'!S30</f>
        <v>103</v>
      </c>
      <c r="I30" s="7" t="str">
        <f aca="false">'03 MASTER RATE LIBRARY'!U30</f>
        <v>Market-derived + assumptions</v>
      </c>
      <c r="J30" s="54" t="n">
        <v>188.83</v>
      </c>
      <c r="K30" s="1" t="s">
        <v>212</v>
      </c>
      <c r="L30" s="55" t="n">
        <v>0.833326666681942</v>
      </c>
      <c r="M30" s="1" t="s">
        <v>2935</v>
      </c>
    </row>
    <row r="31" customFormat="false" ht="41.25" hidden="false" customHeight="true" outlineLevel="0" collapsed="false">
      <c r="A31" s="7" t="s">
        <v>2908</v>
      </c>
      <c r="B31" s="7" t="s">
        <v>233</v>
      </c>
      <c r="C31" s="7" t="s">
        <v>235</v>
      </c>
      <c r="D31" s="7" t="s">
        <v>212</v>
      </c>
      <c r="E31" s="7" t="s">
        <v>2909</v>
      </c>
      <c r="F31" s="7" t="s">
        <v>2939</v>
      </c>
      <c r="G31" s="7" t="s">
        <v>2911</v>
      </c>
      <c r="H31" s="53" t="n">
        <f aca="false">'03 MASTER RATE LIBRARY'!S31</f>
        <v>335</v>
      </c>
      <c r="I31" s="7" t="str">
        <f aca="false">'03 MASTER RATE LIBRARY'!U31</f>
        <v>Market-derived + assumptions</v>
      </c>
      <c r="J31" s="54" t="n">
        <v>383.12</v>
      </c>
      <c r="K31" s="1" t="s">
        <v>212</v>
      </c>
      <c r="L31" s="55" t="n">
        <v>0.143629977590684</v>
      </c>
      <c r="M31" s="1" t="s">
        <v>2917</v>
      </c>
    </row>
    <row r="32" customFormat="false" ht="41.25" hidden="false" customHeight="true" outlineLevel="0" collapsed="false">
      <c r="A32" s="7" t="s">
        <v>2908</v>
      </c>
      <c r="B32" s="7" t="s">
        <v>238</v>
      </c>
      <c r="C32" s="7" t="s">
        <v>240</v>
      </c>
      <c r="D32" s="7" t="s">
        <v>212</v>
      </c>
      <c r="E32" s="7" t="s">
        <v>2909</v>
      </c>
      <c r="F32" s="7" t="s">
        <v>2940</v>
      </c>
      <c r="G32" s="7" t="s">
        <v>2911</v>
      </c>
      <c r="H32" s="53" t="n">
        <f aca="false">'03 MASTER RATE LIBRARY'!S32</f>
        <v>264</v>
      </c>
      <c r="I32" s="7" t="str">
        <f aca="false">'03 MASTER RATE LIBRARY'!U32</f>
        <v>Market-derived + assumptions</v>
      </c>
      <c r="J32" s="54" t="n">
        <v>320.06</v>
      </c>
      <c r="K32" s="1" t="s">
        <v>212</v>
      </c>
      <c r="L32" s="55" t="n">
        <v>0.21233308969552</v>
      </c>
      <c r="M32" s="1" t="s">
        <v>2913</v>
      </c>
    </row>
    <row r="33" customFormat="false" ht="41.25" hidden="false" customHeight="true" outlineLevel="0" collapsed="false">
      <c r="A33" s="7" t="s">
        <v>2908</v>
      </c>
      <c r="B33" s="7" t="s">
        <v>242</v>
      </c>
      <c r="C33" s="7" t="s">
        <v>244</v>
      </c>
      <c r="D33" s="7" t="s">
        <v>212</v>
      </c>
      <c r="E33" s="7" t="s">
        <v>2909</v>
      </c>
      <c r="F33" s="7" t="s">
        <v>2941</v>
      </c>
      <c r="G33" s="7" t="s">
        <v>2911</v>
      </c>
      <c r="H33" s="53" t="n">
        <f aca="false">'03 MASTER RATE LIBRARY'!S33</f>
        <v>280</v>
      </c>
      <c r="I33" s="7" t="str">
        <f aca="false">'03 MASTER RATE LIBRARY'!U33</f>
        <v>Market-derived + assumptions</v>
      </c>
      <c r="J33" s="54" t="n">
        <v>342.85</v>
      </c>
      <c r="K33" s="1" t="s">
        <v>212</v>
      </c>
      <c r="L33" s="55" t="n">
        <v>0.224449079731214</v>
      </c>
      <c r="M33" s="1" t="s">
        <v>2913</v>
      </c>
    </row>
    <row r="34" customFormat="false" ht="27.75" hidden="false" customHeight="true" outlineLevel="0" collapsed="false">
      <c r="A34" s="7" t="s">
        <v>2908</v>
      </c>
      <c r="B34" s="7" t="s">
        <v>246</v>
      </c>
      <c r="C34" s="7" t="s">
        <v>248</v>
      </c>
      <c r="D34" s="7" t="s">
        <v>212</v>
      </c>
      <c r="E34" s="7" t="s">
        <v>2909</v>
      </c>
      <c r="F34" s="7" t="s">
        <v>2942</v>
      </c>
      <c r="G34" s="7" t="s">
        <v>2911</v>
      </c>
      <c r="H34" s="53" t="n">
        <f aca="false">'03 MASTER RATE LIBRARY'!S34</f>
        <v>193</v>
      </c>
      <c r="I34" s="7" t="str">
        <f aca="false">'03 MASTER RATE LIBRARY'!U34</f>
        <v>Market-derived + assumptions</v>
      </c>
      <c r="J34" s="54" t="n">
        <v>167.09</v>
      </c>
      <c r="K34" s="1" t="s">
        <v>212</v>
      </c>
      <c r="L34" s="55" t="n">
        <v>-0.134233169537035</v>
      </c>
      <c r="M34" s="1" t="s">
        <v>2917</v>
      </c>
    </row>
    <row r="35" customFormat="false" ht="27.75" hidden="false" customHeight="true" outlineLevel="0" collapsed="false">
      <c r="A35" s="7" t="s">
        <v>2908</v>
      </c>
      <c r="B35" s="7" t="s">
        <v>250</v>
      </c>
      <c r="C35" s="7" t="s">
        <v>253</v>
      </c>
      <c r="D35" s="7" t="s">
        <v>212</v>
      </c>
      <c r="E35" s="7" t="s">
        <v>2909</v>
      </c>
      <c r="F35" s="7" t="s">
        <v>2943</v>
      </c>
      <c r="G35" s="7" t="s">
        <v>2911</v>
      </c>
      <c r="H35" s="53" t="n">
        <f aca="false">'03 MASTER RATE LIBRARY'!S35</f>
        <v>131</v>
      </c>
      <c r="I35" s="7" t="str">
        <f aca="false">'03 MASTER RATE LIBRARY'!U35</f>
        <v>Market-derived + assumptions</v>
      </c>
      <c r="J35" s="54" t="n">
        <v>130.16</v>
      </c>
      <c r="K35" s="1" t="s">
        <v>212</v>
      </c>
      <c r="L35" s="55" t="n">
        <v>-0.00638595419847343</v>
      </c>
      <c r="M35" s="1" t="s">
        <v>2917</v>
      </c>
    </row>
    <row r="36" customFormat="false" ht="27.75" hidden="false" customHeight="true" outlineLevel="0" collapsed="false">
      <c r="A36" s="7" t="s">
        <v>2908</v>
      </c>
      <c r="B36" s="7" t="s">
        <v>256</v>
      </c>
      <c r="C36" s="7" t="s">
        <v>258</v>
      </c>
      <c r="D36" s="7" t="s">
        <v>212</v>
      </c>
      <c r="E36" s="7" t="s">
        <v>2909</v>
      </c>
      <c r="F36" s="7" t="s">
        <v>2944</v>
      </c>
      <c r="G36" s="7" t="s">
        <v>2911</v>
      </c>
      <c r="H36" s="53" t="n">
        <f aca="false">'03 MASTER RATE LIBRARY'!S36</f>
        <v>165</v>
      </c>
      <c r="I36" s="7" t="str">
        <f aca="false">'03 MASTER RATE LIBRARY'!U36</f>
        <v>Market-derived + assumptions</v>
      </c>
      <c r="J36" s="54" t="n">
        <v>146.94</v>
      </c>
      <c r="K36" s="1" t="s">
        <v>212</v>
      </c>
      <c r="L36" s="55" t="n">
        <v>-0.10947903030303</v>
      </c>
      <c r="M36" s="1" t="s">
        <v>2917</v>
      </c>
    </row>
    <row r="37" customFormat="false" ht="27.75" hidden="false" customHeight="true" outlineLevel="0" collapsed="false">
      <c r="A37" s="7" t="s">
        <v>2908</v>
      </c>
      <c r="B37" s="7" t="s">
        <v>260</v>
      </c>
      <c r="C37" s="7" t="s">
        <v>262</v>
      </c>
      <c r="D37" s="7" t="s">
        <v>212</v>
      </c>
      <c r="E37" s="7" t="s">
        <v>2909</v>
      </c>
      <c r="F37" s="7" t="s">
        <v>2945</v>
      </c>
      <c r="G37" s="7" t="s">
        <v>2911</v>
      </c>
      <c r="H37" s="53" t="n">
        <f aca="false">'03 MASTER RATE LIBRARY'!S37</f>
        <v>251</v>
      </c>
      <c r="I37" s="7" t="str">
        <f aca="false">'03 MASTER RATE LIBRARY'!U37</f>
        <v>Market-derived + assumptions</v>
      </c>
      <c r="J37" s="54" t="n">
        <v>220.17</v>
      </c>
      <c r="K37" s="1" t="s">
        <v>212</v>
      </c>
      <c r="L37" s="55" t="n">
        <v>-0.122822788844621</v>
      </c>
      <c r="M37" s="1" t="s">
        <v>2917</v>
      </c>
    </row>
    <row r="38" customFormat="false" ht="41.25" hidden="false" customHeight="true" outlineLevel="0" collapsed="false">
      <c r="A38" s="7" t="s">
        <v>2908</v>
      </c>
      <c r="B38" s="7" t="s">
        <v>264</v>
      </c>
      <c r="C38" s="7" t="s">
        <v>267</v>
      </c>
      <c r="D38" s="7" t="s">
        <v>212</v>
      </c>
      <c r="E38" s="7" t="s">
        <v>2909</v>
      </c>
      <c r="F38" s="7" t="s">
        <v>2946</v>
      </c>
      <c r="G38" s="7" t="s">
        <v>2911</v>
      </c>
      <c r="H38" s="53" t="n">
        <f aca="false">'03 MASTER RATE LIBRARY'!S38</f>
        <v>162</v>
      </c>
      <c r="I38" s="7" t="str">
        <f aca="false">'03 MASTER RATE LIBRARY'!U38</f>
        <v>INCOMPLETE – 1 blank/old input(s)</v>
      </c>
      <c r="J38" s="54" t="n">
        <v>143.85</v>
      </c>
      <c r="K38" s="1" t="s">
        <v>212</v>
      </c>
      <c r="L38" s="55" t="n">
        <v>-0.112057283950617</v>
      </c>
      <c r="M38" s="1" t="s">
        <v>2917</v>
      </c>
    </row>
    <row r="39" customFormat="false" ht="41.25" hidden="false" customHeight="true" outlineLevel="0" collapsed="false">
      <c r="A39" s="7" t="s">
        <v>2908</v>
      </c>
      <c r="B39" s="7" t="s">
        <v>270</v>
      </c>
      <c r="C39" s="7" t="s">
        <v>272</v>
      </c>
      <c r="D39" s="7" t="s">
        <v>212</v>
      </c>
      <c r="E39" s="7" t="s">
        <v>2909</v>
      </c>
      <c r="F39" s="7" t="s">
        <v>2947</v>
      </c>
      <c r="G39" s="7" t="s">
        <v>2911</v>
      </c>
      <c r="H39" s="53" t="n">
        <f aca="false">'03 MASTER RATE LIBRARY'!S39</f>
        <v>73</v>
      </c>
      <c r="I39" s="7" t="str">
        <f aca="false">'03 MASTER RATE LIBRARY'!U39</f>
        <v>INCOMPLETE – 1 blank/old input(s)</v>
      </c>
      <c r="J39" s="54" t="n">
        <v>82.77</v>
      </c>
      <c r="K39" s="1" t="s">
        <v>212</v>
      </c>
      <c r="L39" s="55" t="n">
        <v>0.133769863013699</v>
      </c>
      <c r="M39" s="1" t="s">
        <v>2917</v>
      </c>
    </row>
    <row r="40" customFormat="false" ht="27.75" hidden="false" customHeight="true" outlineLevel="0" collapsed="false">
      <c r="A40" s="7" t="s">
        <v>2908</v>
      </c>
      <c r="B40" s="7" t="s">
        <v>274</v>
      </c>
      <c r="C40" s="7" t="s">
        <v>276</v>
      </c>
      <c r="D40" s="7" t="s">
        <v>212</v>
      </c>
      <c r="E40" s="7" t="s">
        <v>2909</v>
      </c>
      <c r="F40" s="7" t="s">
        <v>2948</v>
      </c>
      <c r="G40" s="7" t="s">
        <v>2911</v>
      </c>
      <c r="H40" s="53" t="n">
        <f aca="false">'03 MASTER RATE LIBRARY'!S40</f>
        <v>145</v>
      </c>
      <c r="I40" s="7" t="str">
        <f aca="false">'03 MASTER RATE LIBRARY'!U40</f>
        <v>Market-derived + assumptions</v>
      </c>
      <c r="J40" s="54" t="n">
        <v>160.83</v>
      </c>
      <c r="K40" s="1" t="s">
        <v>212</v>
      </c>
      <c r="L40" s="55" t="n">
        <v>0.109144678344828</v>
      </c>
      <c r="M40" s="1" t="s">
        <v>2917</v>
      </c>
    </row>
    <row r="41" customFormat="false" ht="41.25" hidden="false" customHeight="true" outlineLevel="0" collapsed="false">
      <c r="A41" s="7" t="s">
        <v>2908</v>
      </c>
      <c r="B41" s="7" t="s">
        <v>278</v>
      </c>
      <c r="C41" s="7" t="s">
        <v>281</v>
      </c>
      <c r="D41" s="7" t="s">
        <v>212</v>
      </c>
      <c r="E41" s="7" t="s">
        <v>2909</v>
      </c>
      <c r="F41" s="7" t="s">
        <v>2949</v>
      </c>
      <c r="G41" s="7" t="s">
        <v>2911</v>
      </c>
      <c r="H41" s="53" t="n">
        <f aca="false">'03 MASTER RATE LIBRARY'!S41</f>
        <v>324</v>
      </c>
      <c r="I41" s="7" t="str">
        <f aca="false">'03 MASTER RATE LIBRARY'!U41</f>
        <v>Market-derived + assumptions</v>
      </c>
      <c r="J41" s="54" t="n">
        <v>496.13</v>
      </c>
      <c r="K41" s="1" t="s">
        <v>212</v>
      </c>
      <c r="L41" s="55" t="n">
        <v>0.531264886986064</v>
      </c>
      <c r="M41" s="1" t="s">
        <v>2935</v>
      </c>
    </row>
    <row r="42" customFormat="false" ht="41.25" hidden="false" customHeight="true" outlineLevel="0" collapsed="false">
      <c r="A42" s="7" t="s">
        <v>2908</v>
      </c>
      <c r="B42" s="7" t="s">
        <v>284</v>
      </c>
      <c r="C42" s="7" t="s">
        <v>286</v>
      </c>
      <c r="D42" s="7" t="s">
        <v>212</v>
      </c>
      <c r="E42" s="7" t="s">
        <v>2909</v>
      </c>
      <c r="F42" s="7" t="s">
        <v>2950</v>
      </c>
      <c r="G42" s="7" t="s">
        <v>2911</v>
      </c>
      <c r="H42" s="53" t="n">
        <f aca="false">'03 MASTER RATE LIBRARY'!S42</f>
        <v>218</v>
      </c>
      <c r="I42" s="7" t="str">
        <f aca="false">'03 MASTER RATE LIBRARY'!U42</f>
        <v>Market-derived + assumptions</v>
      </c>
    </row>
    <row r="43" customFormat="false" ht="41.25" hidden="false" customHeight="true" outlineLevel="0" collapsed="false">
      <c r="A43" s="7" t="s">
        <v>2908</v>
      </c>
      <c r="B43" s="7" t="s">
        <v>287</v>
      </c>
      <c r="C43" s="7" t="s">
        <v>290</v>
      </c>
      <c r="D43" s="7" t="s">
        <v>212</v>
      </c>
      <c r="E43" s="7" t="s">
        <v>2909</v>
      </c>
      <c r="F43" s="7" t="s">
        <v>2951</v>
      </c>
      <c r="G43" s="7" t="s">
        <v>2911</v>
      </c>
      <c r="H43" s="53" t="n">
        <f aca="false">'03 MASTER RATE LIBRARY'!S43</f>
        <v>222</v>
      </c>
      <c r="I43" s="7" t="str">
        <f aca="false">'03 MASTER RATE LIBRARY'!U43</f>
        <v>Market-derived + assumptions</v>
      </c>
      <c r="J43" s="54" t="n">
        <v>366.43</v>
      </c>
      <c r="K43" s="1" t="s">
        <v>212</v>
      </c>
      <c r="L43" s="55" t="n">
        <v>0.650585963743084</v>
      </c>
      <c r="M43" s="1" t="s">
        <v>2935</v>
      </c>
    </row>
    <row r="44" customFormat="false" ht="27.75" hidden="false" customHeight="true" outlineLevel="0" collapsed="false">
      <c r="A44" s="7" t="s">
        <v>2908</v>
      </c>
      <c r="B44" s="7" t="s">
        <v>292</v>
      </c>
      <c r="C44" s="7" t="s">
        <v>294</v>
      </c>
      <c r="D44" s="7" t="s">
        <v>212</v>
      </c>
      <c r="E44" s="7" t="s">
        <v>2909</v>
      </c>
      <c r="F44" s="7" t="s">
        <v>2952</v>
      </c>
      <c r="G44" s="7" t="s">
        <v>2911</v>
      </c>
      <c r="H44" s="53" t="n">
        <f aca="false">'03 MASTER RATE LIBRARY'!S44</f>
        <v>328</v>
      </c>
      <c r="I44" s="7" t="str">
        <f aca="false">'03 MASTER RATE LIBRARY'!U44</f>
        <v>Market-derived + assumptions</v>
      </c>
      <c r="J44" s="54" t="n">
        <v>376.95</v>
      </c>
      <c r="K44" s="1" t="s">
        <v>212</v>
      </c>
      <c r="L44" s="55" t="n">
        <v>0.149243179694215</v>
      </c>
      <c r="M44" s="1" t="s">
        <v>2917</v>
      </c>
    </row>
    <row r="45" customFormat="false" ht="41.25" hidden="false" customHeight="true" outlineLevel="0" collapsed="false">
      <c r="A45" s="7" t="s">
        <v>2908</v>
      </c>
      <c r="B45" s="7" t="s">
        <v>295</v>
      </c>
      <c r="C45" s="7" t="s">
        <v>297</v>
      </c>
      <c r="D45" s="7" t="s">
        <v>212</v>
      </c>
      <c r="E45" s="7" t="s">
        <v>2909</v>
      </c>
      <c r="F45" s="7" t="s">
        <v>2953</v>
      </c>
      <c r="G45" s="7" t="s">
        <v>2911</v>
      </c>
      <c r="H45" s="53" t="n">
        <f aca="false">'03 MASTER RATE LIBRARY'!S45</f>
        <v>537</v>
      </c>
      <c r="I45" s="7" t="str">
        <f aca="false">'03 MASTER RATE LIBRARY'!U45</f>
        <v>Market-derived + assumptions</v>
      </c>
      <c r="J45" s="54" t="n">
        <v>616.75</v>
      </c>
      <c r="K45" s="1" t="s">
        <v>212</v>
      </c>
      <c r="L45" s="55" t="n">
        <v>0.14850751396648</v>
      </c>
      <c r="M45" s="1" t="s">
        <v>2917</v>
      </c>
    </row>
    <row r="46" customFormat="false" ht="41.25" hidden="false" customHeight="true" outlineLevel="0" collapsed="false">
      <c r="A46" s="7" t="s">
        <v>2908</v>
      </c>
      <c r="B46" s="7" t="s">
        <v>300</v>
      </c>
      <c r="C46" s="7" t="s">
        <v>302</v>
      </c>
      <c r="D46" s="7" t="s">
        <v>212</v>
      </c>
      <c r="E46" s="7" t="s">
        <v>2909</v>
      </c>
      <c r="F46" s="7" t="s">
        <v>2953</v>
      </c>
      <c r="G46" s="7" t="s">
        <v>2911</v>
      </c>
      <c r="H46" s="53" t="n">
        <f aca="false">'03 MASTER RATE LIBRARY'!S46</f>
        <v>227</v>
      </c>
      <c r="I46" s="7" t="str">
        <f aca="false">'03 MASTER RATE LIBRARY'!U46</f>
        <v>Market-derived + assumptions</v>
      </c>
      <c r="J46" s="54" t="n">
        <v>616.75</v>
      </c>
      <c r="K46" s="1" t="s">
        <v>212</v>
      </c>
      <c r="L46" s="55" t="n">
        <v>1.71695389867841</v>
      </c>
      <c r="M46" s="1" t="s">
        <v>2935</v>
      </c>
    </row>
    <row r="47" customFormat="false" ht="54.75" hidden="false" customHeight="true" outlineLevel="0" collapsed="false">
      <c r="A47" s="7" t="s">
        <v>2908</v>
      </c>
      <c r="B47" s="7" t="s">
        <v>303</v>
      </c>
      <c r="C47" s="7" t="s">
        <v>306</v>
      </c>
      <c r="D47" s="7" t="s">
        <v>212</v>
      </c>
      <c r="E47" s="7" t="s">
        <v>2909</v>
      </c>
      <c r="F47" s="7" t="s">
        <v>2954</v>
      </c>
      <c r="G47" s="7" t="s">
        <v>2911</v>
      </c>
      <c r="H47" s="53" t="n">
        <f aca="false">'03 MASTER RATE LIBRARY'!S47</f>
        <v>255</v>
      </c>
      <c r="I47" s="7" t="str">
        <f aca="false">'03 MASTER RATE LIBRARY'!U47</f>
        <v>Market-derived + assumptions</v>
      </c>
      <c r="J47" s="54" t="n">
        <v>325.95</v>
      </c>
      <c r="K47" s="1" t="s">
        <v>212</v>
      </c>
      <c r="L47" s="55" t="n">
        <v>0.278222455269608</v>
      </c>
      <c r="M47" s="1" t="s">
        <v>2913</v>
      </c>
    </row>
    <row r="48" customFormat="false" ht="54.75" hidden="false" customHeight="true" outlineLevel="0" collapsed="false">
      <c r="A48" s="7" t="s">
        <v>2908</v>
      </c>
      <c r="B48" s="7" t="s">
        <v>309</v>
      </c>
      <c r="C48" s="7" t="s">
        <v>311</v>
      </c>
      <c r="D48" s="7" t="s">
        <v>212</v>
      </c>
      <c r="E48" s="7" t="s">
        <v>2909</v>
      </c>
      <c r="F48" s="7" t="s">
        <v>2954</v>
      </c>
      <c r="G48" s="7" t="s">
        <v>2911</v>
      </c>
      <c r="H48" s="53" t="n">
        <f aca="false">'03 MASTER RATE LIBRARY'!S48</f>
        <v>297</v>
      </c>
      <c r="I48" s="7" t="str">
        <f aca="false">'03 MASTER RATE LIBRARY'!U48</f>
        <v>Market-derived + assumptions</v>
      </c>
      <c r="J48" s="54" t="n">
        <v>325.95</v>
      </c>
      <c r="K48" s="1" t="s">
        <v>212</v>
      </c>
      <c r="L48" s="55" t="n">
        <v>0.0974637242213807</v>
      </c>
      <c r="M48" s="1" t="s">
        <v>2917</v>
      </c>
    </row>
    <row r="49" customFormat="false" ht="41.25" hidden="false" customHeight="true" outlineLevel="0" collapsed="false">
      <c r="A49" s="7" t="s">
        <v>2908</v>
      </c>
      <c r="B49" s="7" t="s">
        <v>312</v>
      </c>
      <c r="C49" s="7" t="s">
        <v>315</v>
      </c>
      <c r="D49" s="7" t="s">
        <v>212</v>
      </c>
      <c r="E49" s="7" t="s">
        <v>2909</v>
      </c>
      <c r="F49" s="7" t="s">
        <v>2955</v>
      </c>
      <c r="G49" s="7" t="s">
        <v>2911</v>
      </c>
      <c r="H49" s="53" t="n">
        <f aca="false">'03 MASTER RATE LIBRARY'!S49</f>
        <v>58</v>
      </c>
      <c r="I49" s="7" t="str">
        <f aca="false">'03 MASTER RATE LIBRARY'!U49</f>
        <v>Market-derived + assumptions</v>
      </c>
      <c r="J49" s="54" t="n">
        <v>71.98</v>
      </c>
      <c r="K49" s="1" t="s">
        <v>212</v>
      </c>
      <c r="L49" s="55" t="n">
        <v>0.240952345237242</v>
      </c>
      <c r="M49" s="1" t="s">
        <v>2913</v>
      </c>
    </row>
    <row r="50" customFormat="false" ht="41.25" hidden="false" customHeight="true" outlineLevel="0" collapsed="false">
      <c r="A50" s="7" t="s">
        <v>2908</v>
      </c>
      <c r="B50" s="7" t="s">
        <v>318</v>
      </c>
      <c r="C50" s="7" t="s">
        <v>320</v>
      </c>
      <c r="D50" s="7" t="s">
        <v>212</v>
      </c>
      <c r="E50" s="7" t="s">
        <v>2909</v>
      </c>
      <c r="F50" s="7" t="s">
        <v>2956</v>
      </c>
      <c r="G50" s="7" t="s">
        <v>2911</v>
      </c>
      <c r="H50" s="53" t="n">
        <f aca="false">'03 MASTER RATE LIBRARY'!S50</f>
        <v>101</v>
      </c>
      <c r="I50" s="7" t="str">
        <f aca="false">'03 MASTER RATE LIBRARY'!U50</f>
        <v>Market-derived + assumptions</v>
      </c>
      <c r="J50" s="54" t="n">
        <v>121.84</v>
      </c>
      <c r="K50" s="1" t="s">
        <v>212</v>
      </c>
      <c r="L50" s="55" t="n">
        <v>0.206365289108911</v>
      </c>
      <c r="M50" s="1" t="s">
        <v>2913</v>
      </c>
    </row>
    <row r="51" customFormat="false" ht="27.75" hidden="false" customHeight="true" outlineLevel="0" collapsed="false">
      <c r="A51" s="7" t="s">
        <v>2908</v>
      </c>
      <c r="B51" s="7" t="s">
        <v>323</v>
      </c>
      <c r="C51" s="7" t="s">
        <v>327</v>
      </c>
      <c r="D51" s="7" t="s">
        <v>212</v>
      </c>
      <c r="E51" s="7" t="s">
        <v>2909</v>
      </c>
      <c r="F51" s="7" t="s">
        <v>2957</v>
      </c>
      <c r="G51" s="7" t="s">
        <v>2911</v>
      </c>
      <c r="H51" s="53" t="n">
        <f aca="false">'03 MASTER RATE LIBRARY'!S51</f>
        <v>89</v>
      </c>
      <c r="I51" s="7" t="str">
        <f aca="false">'03 MASTER RATE LIBRARY'!U51</f>
        <v>Market-derived + assumptions</v>
      </c>
      <c r="J51" s="54" t="n">
        <v>88.5</v>
      </c>
      <c r="K51" s="1" t="s">
        <v>212</v>
      </c>
      <c r="L51" s="55" t="n">
        <v>-0.0056179775280899</v>
      </c>
      <c r="M51" s="1" t="s">
        <v>2917</v>
      </c>
    </row>
    <row r="52" customFormat="false" ht="27.75" hidden="false" customHeight="true" outlineLevel="0" collapsed="false">
      <c r="A52" s="7" t="s">
        <v>2908</v>
      </c>
      <c r="B52" s="7" t="s">
        <v>329</v>
      </c>
      <c r="C52" s="7" t="s">
        <v>332</v>
      </c>
      <c r="D52" s="7" t="s">
        <v>109</v>
      </c>
      <c r="E52" s="7" t="s">
        <v>2909</v>
      </c>
      <c r="F52" s="7" t="s">
        <v>2958</v>
      </c>
      <c r="G52" s="7" t="s">
        <v>2911</v>
      </c>
      <c r="H52" s="53" t="n">
        <f aca="false">'03 MASTER RATE LIBRARY'!S52</f>
        <v>77</v>
      </c>
      <c r="I52" s="7" t="str">
        <f aca="false">'03 MASTER RATE LIBRARY'!U52</f>
        <v>Market-derived + assumptions</v>
      </c>
      <c r="J52" s="54" t="n">
        <v>64.9</v>
      </c>
      <c r="K52" s="1" t="s">
        <v>2912</v>
      </c>
      <c r="L52" s="55" t="n">
        <v>-0.157142857142857</v>
      </c>
      <c r="M52" s="1" t="s">
        <v>2913</v>
      </c>
    </row>
    <row r="53" customFormat="false" ht="41.25" hidden="false" customHeight="true" outlineLevel="0" collapsed="false">
      <c r="A53" s="7" t="s">
        <v>2908</v>
      </c>
      <c r="B53" s="7" t="s">
        <v>334</v>
      </c>
      <c r="C53" s="7" t="s">
        <v>337</v>
      </c>
      <c r="D53" s="7" t="s">
        <v>109</v>
      </c>
      <c r="E53" s="7" t="s">
        <v>2909</v>
      </c>
      <c r="F53" s="7" t="s">
        <v>2959</v>
      </c>
      <c r="G53" s="7" t="s">
        <v>2911</v>
      </c>
      <c r="H53" s="53" t="n">
        <f aca="false">'03 MASTER RATE LIBRARY'!S53</f>
        <v>11</v>
      </c>
      <c r="I53" s="7" t="str">
        <f aca="false">'03 MASTER RATE LIBRARY'!U53</f>
        <v>Market-derived + assumptions</v>
      </c>
      <c r="J53" s="54" t="n">
        <v>15.36</v>
      </c>
      <c r="K53" s="1" t="s">
        <v>2912</v>
      </c>
      <c r="L53" s="55" t="n">
        <v>0.396433454545455</v>
      </c>
      <c r="M53" s="1" t="s">
        <v>2935</v>
      </c>
    </row>
    <row r="54" customFormat="false" ht="41.25" hidden="false" customHeight="true" outlineLevel="0" collapsed="false">
      <c r="A54" s="7" t="s">
        <v>2908</v>
      </c>
      <c r="B54" s="7" t="s">
        <v>339</v>
      </c>
      <c r="C54" s="7" t="s">
        <v>341</v>
      </c>
      <c r="D54" s="7" t="s">
        <v>109</v>
      </c>
      <c r="E54" s="7" t="s">
        <v>2909</v>
      </c>
      <c r="F54" s="7" t="s">
        <v>2960</v>
      </c>
      <c r="G54" s="7" t="s">
        <v>2911</v>
      </c>
      <c r="H54" s="53" t="n">
        <f aca="false">'03 MASTER RATE LIBRARY'!S54</f>
        <v>13</v>
      </c>
      <c r="I54" s="7" t="str">
        <f aca="false">'03 MASTER RATE LIBRARY'!U54</f>
        <v>Market-derived + assumptions</v>
      </c>
      <c r="J54" s="54" t="n">
        <v>314.05</v>
      </c>
      <c r="K54" s="1" t="s">
        <v>2912</v>
      </c>
      <c r="L54" s="55" t="n">
        <v>23.1573230769231</v>
      </c>
      <c r="M54" s="1" t="s">
        <v>2935</v>
      </c>
    </row>
    <row r="55" customFormat="false" ht="27.75" hidden="false" customHeight="true" outlineLevel="0" collapsed="false">
      <c r="A55" s="7" t="s">
        <v>2908</v>
      </c>
      <c r="B55" s="7" t="s">
        <v>343</v>
      </c>
      <c r="C55" s="7" t="s">
        <v>345</v>
      </c>
      <c r="D55" s="7" t="s">
        <v>109</v>
      </c>
      <c r="E55" s="7" t="s">
        <v>2909</v>
      </c>
      <c r="F55" s="7" t="s">
        <v>2961</v>
      </c>
      <c r="G55" s="7" t="s">
        <v>2911</v>
      </c>
      <c r="H55" s="53" t="n">
        <f aca="false">'03 MASTER RATE LIBRARY'!S55</f>
        <v>23</v>
      </c>
      <c r="I55" s="7" t="str">
        <f aca="false">'03 MASTER RATE LIBRARY'!U55</f>
        <v>Market-derived + assumptions</v>
      </c>
      <c r="J55" s="54" t="n">
        <v>119.13</v>
      </c>
      <c r="K55" s="1" t="s">
        <v>2912</v>
      </c>
      <c r="L55" s="55" t="n">
        <v>4.17948173913044</v>
      </c>
      <c r="M55" s="1" t="s">
        <v>2935</v>
      </c>
    </row>
    <row r="56" customFormat="false" ht="27.75" hidden="false" customHeight="true" outlineLevel="0" collapsed="false">
      <c r="A56" s="7" t="s">
        <v>2908</v>
      </c>
      <c r="B56" s="7" t="s">
        <v>347</v>
      </c>
      <c r="C56" s="7" t="s">
        <v>349</v>
      </c>
      <c r="D56" s="7" t="s">
        <v>109</v>
      </c>
      <c r="E56" s="7" t="s">
        <v>2909</v>
      </c>
      <c r="F56" s="7" t="s">
        <v>2962</v>
      </c>
      <c r="G56" s="7" t="s">
        <v>2911</v>
      </c>
      <c r="H56" s="53" t="n">
        <f aca="false">'03 MASTER RATE LIBRARY'!S56</f>
        <v>13</v>
      </c>
      <c r="I56" s="7" t="str">
        <f aca="false">'03 MASTER RATE LIBRARY'!U56</f>
        <v>Market-derived + assumptions</v>
      </c>
      <c r="J56" s="54" t="n">
        <v>26.02</v>
      </c>
      <c r="K56" s="1" t="s">
        <v>2912</v>
      </c>
      <c r="L56" s="55" t="n">
        <v>1.00146153846154</v>
      </c>
      <c r="M56" s="1" t="s">
        <v>2935</v>
      </c>
    </row>
    <row r="57" customFormat="false" ht="27.75" hidden="false" customHeight="true" outlineLevel="0" collapsed="false">
      <c r="A57" s="7" t="s">
        <v>2908</v>
      </c>
      <c r="B57" s="7" t="s">
        <v>351</v>
      </c>
      <c r="C57" s="7" t="s">
        <v>353</v>
      </c>
      <c r="D57" s="7" t="s">
        <v>109</v>
      </c>
      <c r="E57" s="7" t="s">
        <v>2909</v>
      </c>
      <c r="F57" s="7" t="s">
        <v>2963</v>
      </c>
      <c r="G57" s="7" t="s">
        <v>2911</v>
      </c>
      <c r="H57" s="53" t="n">
        <f aca="false">'03 MASTER RATE LIBRARY'!S57</f>
        <v>85</v>
      </c>
      <c r="I57" s="7" t="str">
        <f aca="false">'03 MASTER RATE LIBRARY'!U57</f>
        <v>Market-derived + assumptions</v>
      </c>
      <c r="J57" s="54" t="n">
        <v>89.94</v>
      </c>
      <c r="K57" s="1" t="s">
        <v>2912</v>
      </c>
      <c r="L57" s="55" t="n">
        <v>0.0580712941176471</v>
      </c>
      <c r="M57" s="1" t="s">
        <v>2917</v>
      </c>
    </row>
    <row r="58" customFormat="false" ht="27.75" hidden="false" customHeight="true" outlineLevel="0" collapsed="false">
      <c r="A58" s="7" t="s">
        <v>2908</v>
      </c>
      <c r="B58" s="7" t="s">
        <v>355</v>
      </c>
      <c r="C58" s="7" t="s">
        <v>357</v>
      </c>
      <c r="D58" s="7" t="s">
        <v>109</v>
      </c>
      <c r="E58" s="7" t="s">
        <v>2909</v>
      </c>
      <c r="F58" s="7" t="s">
        <v>2964</v>
      </c>
      <c r="G58" s="7" t="s">
        <v>2911</v>
      </c>
      <c r="H58" s="53" t="n">
        <f aca="false">'03 MASTER RATE LIBRARY'!S58</f>
        <v>53</v>
      </c>
      <c r="I58" s="7" t="str">
        <f aca="false">'03 MASTER RATE LIBRARY'!U58</f>
        <v>Market-derived + assumptions</v>
      </c>
      <c r="J58" s="54" t="n">
        <v>53.1</v>
      </c>
      <c r="K58" s="1" t="s">
        <v>2912</v>
      </c>
      <c r="L58" s="55" t="n">
        <v>0.0018867924528303</v>
      </c>
      <c r="M58" s="1" t="s">
        <v>2917</v>
      </c>
    </row>
    <row r="59" customFormat="false" ht="27.75" hidden="false" customHeight="true" outlineLevel="0" collapsed="false">
      <c r="A59" s="7" t="s">
        <v>2908</v>
      </c>
      <c r="B59" s="7" t="s">
        <v>359</v>
      </c>
      <c r="C59" s="7" t="s">
        <v>361</v>
      </c>
      <c r="D59" s="7" t="s">
        <v>212</v>
      </c>
      <c r="E59" s="7" t="s">
        <v>2909</v>
      </c>
      <c r="F59" s="7" t="s">
        <v>2965</v>
      </c>
      <c r="G59" s="7" t="s">
        <v>2911</v>
      </c>
      <c r="H59" s="53" t="n">
        <f aca="false">'03 MASTER RATE LIBRARY'!S59</f>
        <v>11</v>
      </c>
      <c r="I59" s="7" t="str">
        <f aca="false">'03 MASTER RATE LIBRARY'!U59</f>
        <v>Market-derived + assumptions</v>
      </c>
      <c r="J59" s="54" t="n">
        <v>30.22</v>
      </c>
      <c r="K59" s="1" t="s">
        <v>212</v>
      </c>
      <c r="L59" s="55" t="n">
        <v>1.74768363636364</v>
      </c>
      <c r="M59" s="1" t="s">
        <v>2935</v>
      </c>
    </row>
    <row r="60" customFormat="false" ht="27.75" hidden="false" customHeight="true" outlineLevel="0" collapsed="false">
      <c r="A60" s="7" t="s">
        <v>2908</v>
      </c>
      <c r="B60" s="7" t="s">
        <v>363</v>
      </c>
      <c r="C60" s="7" t="s">
        <v>366</v>
      </c>
      <c r="D60" s="7" t="s">
        <v>368</v>
      </c>
      <c r="E60" s="7" t="s">
        <v>2909</v>
      </c>
      <c r="F60" s="7" t="s">
        <v>2950</v>
      </c>
      <c r="G60" s="7" t="s">
        <v>2911</v>
      </c>
      <c r="H60" s="53" t="n">
        <f aca="false">'03 MASTER RATE LIBRARY'!S60</f>
        <v>56329</v>
      </c>
      <c r="I60" s="7" t="str">
        <f aca="false">'03 MASTER RATE LIBRARY'!U60</f>
        <v>Market-derived + assumptions</v>
      </c>
    </row>
    <row r="61" customFormat="false" ht="27.75" hidden="false" customHeight="true" outlineLevel="0" collapsed="false">
      <c r="A61" s="7" t="s">
        <v>2908</v>
      </c>
      <c r="B61" s="7" t="s">
        <v>369</v>
      </c>
      <c r="C61" s="7" t="s">
        <v>371</v>
      </c>
      <c r="D61" s="7" t="s">
        <v>368</v>
      </c>
      <c r="E61" s="7" t="s">
        <v>2909</v>
      </c>
      <c r="F61" s="7" t="s">
        <v>2966</v>
      </c>
      <c r="G61" s="7" t="s">
        <v>2911</v>
      </c>
      <c r="H61" s="53" t="n">
        <f aca="false">'03 MASTER RATE LIBRARY'!S61</f>
        <v>71943</v>
      </c>
      <c r="I61" s="7" t="str">
        <f aca="false">'03 MASTER RATE LIBRARY'!U61</f>
        <v>Market-derived + assumptions</v>
      </c>
      <c r="J61" s="54" t="n">
        <v>3811.03</v>
      </c>
      <c r="K61" s="1" t="s">
        <v>212</v>
      </c>
      <c r="M61" s="1" t="s">
        <v>2967</v>
      </c>
    </row>
    <row r="62" customFormat="false" ht="27.75" hidden="false" customHeight="true" outlineLevel="0" collapsed="false">
      <c r="A62" s="7" t="s">
        <v>2908</v>
      </c>
      <c r="B62" s="7" t="s">
        <v>373</v>
      </c>
      <c r="C62" s="7" t="s">
        <v>376</v>
      </c>
      <c r="D62" s="7" t="s">
        <v>212</v>
      </c>
      <c r="E62" s="7" t="s">
        <v>2909</v>
      </c>
      <c r="F62" s="7" t="s">
        <v>2968</v>
      </c>
      <c r="G62" s="7" t="s">
        <v>2911</v>
      </c>
      <c r="H62" s="53" t="n">
        <f aca="false">'03 MASTER RATE LIBRARY'!S62</f>
        <v>1659</v>
      </c>
      <c r="I62" s="7" t="str">
        <f aca="false">'03 MASTER RATE LIBRARY'!U62</f>
        <v>Market-derived + assumptions</v>
      </c>
      <c r="J62" s="54" t="n">
        <v>2362.52</v>
      </c>
      <c r="K62" s="1" t="s">
        <v>212</v>
      </c>
      <c r="L62" s="55" t="n">
        <v>0.424062977697408</v>
      </c>
      <c r="M62" s="1" t="s">
        <v>2935</v>
      </c>
    </row>
    <row r="63" customFormat="false" ht="27.75" hidden="false" customHeight="true" outlineLevel="0" collapsed="false">
      <c r="A63" s="7" t="s">
        <v>2908</v>
      </c>
      <c r="B63" s="7" t="s">
        <v>378</v>
      </c>
      <c r="C63" s="7" t="s">
        <v>380</v>
      </c>
      <c r="D63" s="7" t="s">
        <v>212</v>
      </c>
      <c r="E63" s="7" t="s">
        <v>2909</v>
      </c>
      <c r="F63" s="7" t="s">
        <v>2969</v>
      </c>
      <c r="G63" s="7" t="s">
        <v>2911</v>
      </c>
      <c r="H63" s="53" t="n">
        <f aca="false">'03 MASTER RATE LIBRARY'!S63</f>
        <v>3370</v>
      </c>
      <c r="I63" s="7" t="str">
        <f aca="false">'03 MASTER RATE LIBRARY'!U63</f>
        <v>Market-derived + assumptions</v>
      </c>
      <c r="J63" s="54" t="n">
        <v>3363</v>
      </c>
      <c r="K63" s="1" t="s">
        <v>212</v>
      </c>
      <c r="L63" s="55" t="n">
        <v>-0.00207715133531161</v>
      </c>
      <c r="M63" s="1" t="s">
        <v>2917</v>
      </c>
    </row>
    <row r="64" customFormat="false" ht="27.75" hidden="false" customHeight="true" outlineLevel="0" collapsed="false">
      <c r="A64" s="7" t="s">
        <v>2908</v>
      </c>
      <c r="B64" s="7" t="s">
        <v>381</v>
      </c>
      <c r="C64" s="7" t="s">
        <v>384</v>
      </c>
      <c r="D64" s="7" t="s">
        <v>386</v>
      </c>
      <c r="E64" s="7" t="s">
        <v>2909</v>
      </c>
      <c r="F64" s="7" t="s">
        <v>2970</v>
      </c>
      <c r="G64" s="7" t="s">
        <v>2911</v>
      </c>
      <c r="H64" s="53" t="n">
        <f aca="false">'03 MASTER RATE LIBRARY'!S64</f>
        <v>7120</v>
      </c>
      <c r="I64" s="7" t="str">
        <f aca="false">'03 MASTER RATE LIBRARY'!U64</f>
        <v>Market-derived + assumptions</v>
      </c>
      <c r="J64" s="54" t="n">
        <v>7670</v>
      </c>
      <c r="K64" s="1" t="s">
        <v>386</v>
      </c>
      <c r="L64" s="55" t="n">
        <v>0.077247191011236</v>
      </c>
      <c r="M64" s="1" t="s">
        <v>2917</v>
      </c>
    </row>
    <row r="65" customFormat="false" ht="27.75" hidden="false" customHeight="true" outlineLevel="0" collapsed="false">
      <c r="A65" s="7" t="s">
        <v>2908</v>
      </c>
      <c r="B65" s="7" t="s">
        <v>387</v>
      </c>
      <c r="C65" s="7" t="s">
        <v>391</v>
      </c>
      <c r="D65" s="7" t="s">
        <v>212</v>
      </c>
      <c r="E65" s="7" t="s">
        <v>2909</v>
      </c>
      <c r="F65" s="7" t="s">
        <v>2971</v>
      </c>
      <c r="G65" s="7" t="s">
        <v>2911</v>
      </c>
      <c r="H65" s="53" t="n">
        <f aca="false">'03 MASTER RATE LIBRARY'!S65</f>
        <v>5356</v>
      </c>
      <c r="I65" s="7" t="str">
        <f aca="false">'03 MASTER RATE LIBRARY'!U65</f>
        <v>Market-derived + assumptions</v>
      </c>
      <c r="J65" s="54" t="n">
        <v>5310</v>
      </c>
      <c r="K65" s="1" t="s">
        <v>212</v>
      </c>
      <c r="L65" s="55" t="n">
        <v>-0.00858849887976099</v>
      </c>
      <c r="M65" s="1" t="s">
        <v>2917</v>
      </c>
    </row>
    <row r="66" customFormat="false" ht="27.75" hidden="false" customHeight="true" outlineLevel="0" collapsed="false">
      <c r="A66" s="7" t="s">
        <v>2908</v>
      </c>
      <c r="B66" s="7" t="s">
        <v>393</v>
      </c>
      <c r="C66" s="7" t="s">
        <v>396</v>
      </c>
      <c r="D66" s="7" t="s">
        <v>212</v>
      </c>
      <c r="E66" s="7" t="s">
        <v>2909</v>
      </c>
      <c r="F66" s="7" t="s">
        <v>2972</v>
      </c>
      <c r="G66" s="7" t="s">
        <v>2911</v>
      </c>
      <c r="H66" s="53" t="n">
        <f aca="false">'03 MASTER RATE LIBRARY'!S66</f>
        <v>2137</v>
      </c>
      <c r="I66" s="7" t="str">
        <f aca="false">'03 MASTER RATE LIBRARY'!U66</f>
        <v>Market-derived + assumptions</v>
      </c>
      <c r="J66" s="54" t="n">
        <v>885</v>
      </c>
      <c r="K66" s="1" t="s">
        <v>212</v>
      </c>
      <c r="L66" s="55" t="n">
        <v>-0.58586803930744</v>
      </c>
      <c r="M66" s="1" t="s">
        <v>2935</v>
      </c>
    </row>
    <row r="67" customFormat="false" ht="27.75" hidden="false" customHeight="true" outlineLevel="0" collapsed="false">
      <c r="A67" s="7" t="s">
        <v>2908</v>
      </c>
      <c r="B67" s="7" t="s">
        <v>398</v>
      </c>
      <c r="C67" s="7" t="s">
        <v>400</v>
      </c>
      <c r="D67" s="7" t="s">
        <v>212</v>
      </c>
      <c r="E67" s="7" t="s">
        <v>2909</v>
      </c>
      <c r="F67" s="7" t="s">
        <v>2950</v>
      </c>
      <c r="G67" s="7" t="s">
        <v>2911</v>
      </c>
      <c r="H67" s="53" t="n">
        <f aca="false">'03 MASTER RATE LIBRARY'!S67</f>
        <v>2024</v>
      </c>
      <c r="I67" s="7" t="str">
        <f aca="false">'03 MASTER RATE LIBRARY'!U67</f>
        <v>Market-derived + assumptions</v>
      </c>
    </row>
    <row r="68" customFormat="false" ht="41.25" hidden="false" customHeight="true" outlineLevel="0" collapsed="false">
      <c r="A68" s="7" t="s">
        <v>2908</v>
      </c>
      <c r="B68" s="7" t="s">
        <v>402</v>
      </c>
      <c r="C68" s="7" t="s">
        <v>406</v>
      </c>
      <c r="D68" s="7" t="s">
        <v>212</v>
      </c>
      <c r="E68" s="7" t="s">
        <v>2909</v>
      </c>
      <c r="F68" s="7" t="s">
        <v>2973</v>
      </c>
      <c r="G68" s="7" t="s">
        <v>2911</v>
      </c>
      <c r="H68" s="53" t="n">
        <f aca="false">'03 MASTER RATE LIBRARY'!S68</f>
        <v>223</v>
      </c>
      <c r="I68" s="7" t="str">
        <f aca="false">'03 MASTER RATE LIBRARY'!U68</f>
        <v>Market-derived + assumptions</v>
      </c>
      <c r="J68" s="54" t="n">
        <v>276.76</v>
      </c>
      <c r="K68" s="1" t="s">
        <v>212</v>
      </c>
      <c r="L68" s="55" t="n">
        <v>0.241058385650224</v>
      </c>
      <c r="M68" s="1" t="s">
        <v>2913</v>
      </c>
    </row>
    <row r="69" customFormat="false" ht="27.75" hidden="false" customHeight="true" outlineLevel="0" collapsed="false">
      <c r="A69" s="7" t="s">
        <v>2908</v>
      </c>
      <c r="B69" s="7" t="s">
        <v>408</v>
      </c>
      <c r="C69" s="7" t="s">
        <v>411</v>
      </c>
      <c r="D69" s="7" t="s">
        <v>386</v>
      </c>
      <c r="E69" s="7" t="s">
        <v>2909</v>
      </c>
      <c r="F69" s="7" t="s">
        <v>2974</v>
      </c>
      <c r="G69" s="7" t="s">
        <v>2911</v>
      </c>
      <c r="H69" s="53" t="n">
        <f aca="false">'03 MASTER RATE LIBRARY'!S69</f>
        <v>684</v>
      </c>
      <c r="I69" s="7" t="str">
        <f aca="false">'03 MASTER RATE LIBRARY'!U69</f>
        <v>Market-derived + assumptions</v>
      </c>
      <c r="J69" s="54" t="n">
        <v>673.84</v>
      </c>
      <c r="K69" s="1" t="s">
        <v>386</v>
      </c>
      <c r="L69" s="55" t="n">
        <v>-0.0148552631578949</v>
      </c>
      <c r="M69" s="1" t="s">
        <v>2917</v>
      </c>
    </row>
    <row r="70" customFormat="false" ht="27.75" hidden="false" customHeight="true" outlineLevel="0" collapsed="false">
      <c r="A70" s="7" t="s">
        <v>2908</v>
      </c>
      <c r="B70" s="7" t="s">
        <v>413</v>
      </c>
      <c r="C70" s="7" t="s">
        <v>416</v>
      </c>
      <c r="D70" s="7" t="s">
        <v>109</v>
      </c>
      <c r="E70" s="7" t="s">
        <v>2909</v>
      </c>
      <c r="F70" s="7" t="s">
        <v>2975</v>
      </c>
      <c r="G70" s="7" t="s">
        <v>2911</v>
      </c>
      <c r="H70" s="53" t="n">
        <f aca="false">'03 MASTER RATE LIBRARY'!S70</f>
        <v>153</v>
      </c>
      <c r="I70" s="7" t="str">
        <f aca="false">'03 MASTER RATE LIBRARY'!U70</f>
        <v>Market-derived + assumptions</v>
      </c>
      <c r="J70" s="54" t="n">
        <v>168.07</v>
      </c>
      <c r="K70" s="1" t="s">
        <v>2912</v>
      </c>
      <c r="L70" s="55" t="n">
        <v>0.0984797385620915</v>
      </c>
      <c r="M70" s="1" t="s">
        <v>2917</v>
      </c>
    </row>
    <row r="71" customFormat="false" ht="27.75" hidden="false" customHeight="true" outlineLevel="0" collapsed="false">
      <c r="A71" s="7" t="s">
        <v>2908</v>
      </c>
      <c r="B71" s="7" t="s">
        <v>418</v>
      </c>
      <c r="C71" s="7" t="s">
        <v>420</v>
      </c>
      <c r="D71" s="7" t="s">
        <v>212</v>
      </c>
      <c r="E71" s="7" t="s">
        <v>2909</v>
      </c>
      <c r="F71" s="7" t="s">
        <v>2976</v>
      </c>
      <c r="G71" s="7" t="s">
        <v>2911</v>
      </c>
      <c r="H71" s="53" t="n">
        <f aca="false">'03 MASTER RATE LIBRARY'!S71</f>
        <v>168</v>
      </c>
      <c r="I71" s="7" t="str">
        <f aca="false">'03 MASTER RATE LIBRARY'!U71</f>
        <v>Market-derived + assumptions</v>
      </c>
      <c r="J71" s="54" t="n">
        <v>330.4</v>
      </c>
      <c r="K71" s="1" t="s">
        <v>212</v>
      </c>
      <c r="L71" s="55" t="n">
        <v>0.966666666666667</v>
      </c>
      <c r="M71" s="1" t="s">
        <v>2935</v>
      </c>
    </row>
    <row r="72" customFormat="false" ht="41.25" hidden="false" customHeight="true" outlineLevel="0" collapsed="false">
      <c r="A72" s="7" t="s">
        <v>2908</v>
      </c>
      <c r="B72" s="7" t="s">
        <v>422</v>
      </c>
      <c r="C72" s="7" t="s">
        <v>425</v>
      </c>
      <c r="D72" s="7" t="s">
        <v>368</v>
      </c>
      <c r="E72" s="7" t="s">
        <v>2909</v>
      </c>
      <c r="F72" s="7" t="s">
        <v>2977</v>
      </c>
      <c r="G72" s="7" t="s">
        <v>2911</v>
      </c>
      <c r="H72" s="53" t="n">
        <f aca="false">'03 MASTER RATE LIBRARY'!S72</f>
        <v>55911</v>
      </c>
      <c r="I72" s="7" t="str">
        <f aca="false">'03 MASTER RATE LIBRARY'!U72</f>
        <v>Market-derived + assumptions</v>
      </c>
      <c r="J72" s="54" t="n">
        <v>55153.36</v>
      </c>
      <c r="K72" s="1" t="s">
        <v>368</v>
      </c>
      <c r="L72" s="55" t="n">
        <v>-0.0135507629420062</v>
      </c>
      <c r="M72" s="1" t="s">
        <v>2917</v>
      </c>
    </row>
    <row r="73" customFormat="false" ht="27.75" hidden="false" customHeight="true" outlineLevel="0" collapsed="false">
      <c r="A73" s="7" t="s">
        <v>2908</v>
      </c>
      <c r="B73" s="7" t="s">
        <v>427</v>
      </c>
      <c r="C73" s="7" t="s">
        <v>430</v>
      </c>
      <c r="D73" s="7" t="s">
        <v>212</v>
      </c>
      <c r="E73" s="7" t="s">
        <v>2909</v>
      </c>
      <c r="F73" s="7" t="s">
        <v>2978</v>
      </c>
      <c r="G73" s="7" t="s">
        <v>2911</v>
      </c>
      <c r="H73" s="53" t="n">
        <f aca="false">'03 MASTER RATE LIBRARY'!S73</f>
        <v>15</v>
      </c>
      <c r="I73" s="7" t="str">
        <f aca="false">'03 MASTER RATE LIBRARY'!U73</f>
        <v>Market-derived + assumptions</v>
      </c>
      <c r="J73" s="54" t="n">
        <v>60.95</v>
      </c>
      <c r="K73" s="1" t="s">
        <v>212</v>
      </c>
      <c r="L73" s="55" t="n">
        <v>3.06352666666667</v>
      </c>
      <c r="M73" s="1" t="s">
        <v>2935</v>
      </c>
    </row>
    <row r="74" customFormat="false" ht="27.75" hidden="false" customHeight="true" outlineLevel="0" collapsed="false">
      <c r="A74" s="7" t="s">
        <v>2908</v>
      </c>
      <c r="B74" s="7" t="s">
        <v>432</v>
      </c>
      <c r="C74" s="7" t="s">
        <v>436</v>
      </c>
      <c r="D74" s="7" t="s">
        <v>386</v>
      </c>
      <c r="E74" s="7" t="s">
        <v>2909</v>
      </c>
      <c r="F74" s="7" t="s">
        <v>2950</v>
      </c>
      <c r="G74" s="7" t="s">
        <v>2911</v>
      </c>
      <c r="H74" s="53" t="n">
        <f aca="false">'03 MASTER RATE LIBRARY'!S74</f>
        <v>293</v>
      </c>
      <c r="I74" s="7" t="str">
        <f aca="false">'03 MASTER RATE LIBRARY'!U74</f>
        <v>INCOMPLETE – 1 blank/old input(s)</v>
      </c>
    </row>
    <row r="75" customFormat="false" ht="27.75" hidden="false" customHeight="true" outlineLevel="0" collapsed="false">
      <c r="A75" s="7" t="s">
        <v>2908</v>
      </c>
      <c r="B75" s="7" t="s">
        <v>438</v>
      </c>
      <c r="C75" s="7" t="s">
        <v>440</v>
      </c>
      <c r="D75" s="7" t="s">
        <v>386</v>
      </c>
      <c r="E75" s="7" t="s">
        <v>2909</v>
      </c>
      <c r="F75" s="7" t="s">
        <v>2979</v>
      </c>
      <c r="G75" s="7" t="s">
        <v>2911</v>
      </c>
      <c r="H75" s="53" t="n">
        <f aca="false">'03 MASTER RATE LIBRARY'!S75</f>
        <v>357</v>
      </c>
      <c r="I75" s="7" t="str">
        <f aca="false">'03 MASTER RATE LIBRARY'!U75</f>
        <v>INCOMPLETE – 1 blank/old input(s)</v>
      </c>
      <c r="J75" s="54" t="n">
        <v>256.81</v>
      </c>
      <c r="K75" s="1" t="s">
        <v>386</v>
      </c>
      <c r="L75" s="55" t="n">
        <v>-0.280643243697479</v>
      </c>
      <c r="M75" s="1" t="s">
        <v>2913</v>
      </c>
    </row>
    <row r="76" customFormat="false" ht="27.75" hidden="false" customHeight="true" outlineLevel="0" collapsed="false">
      <c r="A76" s="7" t="s">
        <v>2908</v>
      </c>
      <c r="B76" s="7" t="s">
        <v>441</v>
      </c>
      <c r="C76" s="7" t="s">
        <v>443</v>
      </c>
      <c r="D76" s="7" t="s">
        <v>386</v>
      </c>
      <c r="E76" s="7" t="s">
        <v>2909</v>
      </c>
      <c r="F76" s="7" t="s">
        <v>2980</v>
      </c>
      <c r="G76" s="7" t="s">
        <v>2911</v>
      </c>
      <c r="H76" s="53" t="n">
        <f aca="false">'03 MASTER RATE LIBRARY'!S76</f>
        <v>493</v>
      </c>
      <c r="I76" s="7" t="str">
        <f aca="false">'03 MASTER RATE LIBRARY'!U76</f>
        <v>INCOMPLETE – 1 blank/old input(s)</v>
      </c>
      <c r="J76" s="54" t="n">
        <v>362.25</v>
      </c>
      <c r="K76" s="1" t="s">
        <v>386</v>
      </c>
      <c r="L76" s="55" t="n">
        <v>-0.265205862068966</v>
      </c>
      <c r="M76" s="1" t="s">
        <v>2913</v>
      </c>
    </row>
    <row r="77" customFormat="false" ht="27.75" hidden="false" customHeight="true" outlineLevel="0" collapsed="false">
      <c r="A77" s="7" t="s">
        <v>2908</v>
      </c>
      <c r="B77" s="7" t="s">
        <v>444</v>
      </c>
      <c r="C77" s="7" t="s">
        <v>446</v>
      </c>
      <c r="D77" s="7" t="s">
        <v>386</v>
      </c>
      <c r="E77" s="7" t="s">
        <v>2909</v>
      </c>
      <c r="F77" s="7" t="s">
        <v>2981</v>
      </c>
      <c r="G77" s="7" t="s">
        <v>2911</v>
      </c>
      <c r="H77" s="53" t="n">
        <f aca="false">'03 MASTER RATE LIBRARY'!S77</f>
        <v>700</v>
      </c>
      <c r="I77" s="7" t="str">
        <f aca="false">'03 MASTER RATE LIBRARY'!U77</f>
        <v>INCOMPLETE – 1 blank/old input(s)</v>
      </c>
      <c r="J77" s="54" t="n">
        <v>509.21</v>
      </c>
      <c r="K77" s="1" t="s">
        <v>386</v>
      </c>
      <c r="L77" s="55" t="n">
        <v>-0.272553262857143</v>
      </c>
      <c r="M77" s="1" t="s">
        <v>2913</v>
      </c>
    </row>
    <row r="78" customFormat="false" ht="27.75" hidden="false" customHeight="true" outlineLevel="0" collapsed="false">
      <c r="A78" s="7" t="s">
        <v>2908</v>
      </c>
      <c r="B78" s="7" t="s">
        <v>447</v>
      </c>
      <c r="C78" s="7" t="s">
        <v>449</v>
      </c>
      <c r="D78" s="7" t="s">
        <v>386</v>
      </c>
      <c r="E78" s="7" t="s">
        <v>2909</v>
      </c>
      <c r="F78" s="7" t="s">
        <v>2982</v>
      </c>
      <c r="G78" s="7" t="s">
        <v>2911</v>
      </c>
      <c r="H78" s="53" t="n">
        <f aca="false">'03 MASTER RATE LIBRARY'!S78</f>
        <v>1046</v>
      </c>
      <c r="I78" s="7" t="str">
        <f aca="false">'03 MASTER RATE LIBRARY'!U78</f>
        <v>INCOMPLETE – 1 blank/old input(s)</v>
      </c>
      <c r="J78" s="54" t="n">
        <v>565.55</v>
      </c>
      <c r="K78" s="1" t="s">
        <v>386</v>
      </c>
      <c r="L78" s="55" t="n">
        <v>-0.459322854971319</v>
      </c>
      <c r="M78" s="1" t="s">
        <v>2935</v>
      </c>
    </row>
    <row r="79" customFormat="false" ht="27.75" hidden="false" customHeight="true" outlineLevel="0" collapsed="false">
      <c r="A79" s="7" t="s">
        <v>2908</v>
      </c>
      <c r="B79" s="7" t="s">
        <v>450</v>
      </c>
      <c r="C79" s="7" t="s">
        <v>452</v>
      </c>
      <c r="D79" s="7" t="s">
        <v>386</v>
      </c>
      <c r="E79" s="7" t="s">
        <v>2909</v>
      </c>
      <c r="F79" s="7" t="s">
        <v>2983</v>
      </c>
      <c r="G79" s="7" t="s">
        <v>2911</v>
      </c>
      <c r="H79" s="53" t="n">
        <f aca="false">'03 MASTER RATE LIBRARY'!S79</f>
        <v>1613</v>
      </c>
      <c r="I79" s="7" t="str">
        <f aca="false">'03 MASTER RATE LIBRARY'!U79</f>
        <v>INCOMPLETE – 1 blank/old input(s)</v>
      </c>
      <c r="J79" s="54" t="n">
        <v>1061.76</v>
      </c>
      <c r="K79" s="1" t="s">
        <v>386</v>
      </c>
      <c r="L79" s="55" t="n">
        <v>-0.341747205207688</v>
      </c>
      <c r="M79" s="1" t="s">
        <v>2935</v>
      </c>
    </row>
    <row r="80" customFormat="false" ht="27.75" hidden="false" customHeight="true" outlineLevel="0" collapsed="false">
      <c r="A80" s="7" t="s">
        <v>2908</v>
      </c>
      <c r="B80" s="7" t="s">
        <v>453</v>
      </c>
      <c r="C80" s="7" t="s">
        <v>455</v>
      </c>
      <c r="D80" s="7" t="s">
        <v>386</v>
      </c>
      <c r="E80" s="7" t="s">
        <v>2909</v>
      </c>
      <c r="F80" s="7" t="s">
        <v>2984</v>
      </c>
      <c r="G80" s="7" t="s">
        <v>2911</v>
      </c>
      <c r="H80" s="53" t="n">
        <f aca="false">'03 MASTER RATE LIBRARY'!S80</f>
        <v>2348</v>
      </c>
      <c r="I80" s="7" t="str">
        <f aca="false">'03 MASTER RATE LIBRARY'!U80</f>
        <v>INCOMPLETE – 1 blank/old input(s)</v>
      </c>
      <c r="J80" s="54" t="n">
        <v>1891.94</v>
      </c>
      <c r="K80" s="1" t="s">
        <v>386</v>
      </c>
      <c r="L80" s="55" t="n">
        <v>-0.194231622657581</v>
      </c>
      <c r="M80" s="1" t="s">
        <v>2913</v>
      </c>
    </row>
    <row r="81" customFormat="false" ht="27.75" hidden="false" customHeight="true" outlineLevel="0" collapsed="false">
      <c r="A81" s="7" t="s">
        <v>2908</v>
      </c>
      <c r="B81" s="7" t="s">
        <v>456</v>
      </c>
      <c r="C81" s="7" t="s">
        <v>458</v>
      </c>
      <c r="D81" s="7" t="s">
        <v>386</v>
      </c>
      <c r="E81" s="7" t="s">
        <v>2909</v>
      </c>
      <c r="F81" s="7" t="s">
        <v>2985</v>
      </c>
      <c r="G81" s="7" t="s">
        <v>2911</v>
      </c>
      <c r="H81" s="53" t="n">
        <f aca="false">'03 MASTER RATE LIBRARY'!S81</f>
        <v>3525</v>
      </c>
      <c r="I81" s="7" t="str">
        <f aca="false">'03 MASTER RATE LIBRARY'!U81</f>
        <v>INCOMPLETE – 1 blank/old input(s)</v>
      </c>
      <c r="J81" s="54" t="n">
        <v>2512.83</v>
      </c>
      <c r="K81" s="1" t="s">
        <v>386</v>
      </c>
      <c r="L81" s="55" t="n">
        <v>-0.287140475460993</v>
      </c>
      <c r="M81" s="1" t="s">
        <v>2913</v>
      </c>
    </row>
    <row r="82" customFormat="false" ht="27.75" hidden="false" customHeight="true" outlineLevel="0" collapsed="false">
      <c r="A82" s="7" t="s">
        <v>2908</v>
      </c>
      <c r="B82" s="7" t="s">
        <v>459</v>
      </c>
      <c r="C82" s="7" t="s">
        <v>461</v>
      </c>
      <c r="D82" s="7" t="s">
        <v>386</v>
      </c>
      <c r="E82" s="7" t="s">
        <v>2909</v>
      </c>
      <c r="F82" s="7" t="s">
        <v>2986</v>
      </c>
      <c r="G82" s="7" t="s">
        <v>2911</v>
      </c>
      <c r="H82" s="53" t="n">
        <f aca="false">'03 MASTER RATE LIBRARY'!S82</f>
        <v>5323</v>
      </c>
      <c r="I82" s="7" t="str">
        <f aca="false">'03 MASTER RATE LIBRARY'!U82</f>
        <v>INCOMPLETE – 1 blank/old input(s)</v>
      </c>
      <c r="J82" s="54" t="n">
        <v>3898.61</v>
      </c>
      <c r="K82" s="1" t="s">
        <v>386</v>
      </c>
      <c r="L82" s="55" t="n">
        <v>-0.267590891978208</v>
      </c>
      <c r="M82" s="1" t="s">
        <v>2913</v>
      </c>
    </row>
    <row r="83" customFormat="false" ht="27.75" hidden="false" customHeight="true" outlineLevel="0" collapsed="false">
      <c r="A83" s="7" t="s">
        <v>2908</v>
      </c>
      <c r="B83" s="7" t="s">
        <v>462</v>
      </c>
      <c r="C83" s="7" t="s">
        <v>464</v>
      </c>
      <c r="D83" s="7" t="s">
        <v>386</v>
      </c>
      <c r="E83" s="7" t="s">
        <v>2909</v>
      </c>
      <c r="F83" s="7" t="s">
        <v>2987</v>
      </c>
      <c r="G83" s="7" t="s">
        <v>2911</v>
      </c>
      <c r="H83" s="53" t="n">
        <f aca="false">'03 MASTER RATE LIBRARY'!S83</f>
        <v>408</v>
      </c>
      <c r="I83" s="7" t="str">
        <f aca="false">'03 MASTER RATE LIBRARY'!U83</f>
        <v>INCOMPLETE – 1 blank/old input(s)</v>
      </c>
      <c r="J83" s="54" t="n">
        <v>411.49</v>
      </c>
      <c r="K83" s="1" t="s">
        <v>386</v>
      </c>
      <c r="L83" s="55" t="n">
        <v>0.00856595588235298</v>
      </c>
      <c r="M83" s="1" t="s">
        <v>2917</v>
      </c>
    </row>
    <row r="84" customFormat="false" ht="27.75" hidden="false" customHeight="true" outlineLevel="0" collapsed="false">
      <c r="A84" s="7" t="s">
        <v>2908</v>
      </c>
      <c r="B84" s="7" t="s">
        <v>466</v>
      </c>
      <c r="C84" s="7" t="s">
        <v>468</v>
      </c>
      <c r="D84" s="7" t="s">
        <v>386</v>
      </c>
      <c r="E84" s="7" t="s">
        <v>2909</v>
      </c>
      <c r="F84" s="7" t="s">
        <v>2988</v>
      </c>
      <c r="G84" s="7" t="s">
        <v>2911</v>
      </c>
      <c r="H84" s="53" t="n">
        <f aca="false">'03 MASTER RATE LIBRARY'!S84</f>
        <v>752</v>
      </c>
      <c r="I84" s="7" t="str">
        <f aca="false">'03 MASTER RATE LIBRARY'!U84</f>
        <v>INCOMPLETE – 1 blank/old input(s)</v>
      </c>
      <c r="J84" s="54" t="n">
        <v>694.33</v>
      </c>
      <c r="K84" s="1" t="s">
        <v>386</v>
      </c>
      <c r="L84" s="55" t="n">
        <v>-0.0766821832446809</v>
      </c>
      <c r="M84" s="1" t="s">
        <v>2917</v>
      </c>
    </row>
    <row r="85" customFormat="false" ht="27.75" hidden="false" customHeight="true" outlineLevel="0" collapsed="false">
      <c r="A85" s="7" t="s">
        <v>2908</v>
      </c>
      <c r="B85" s="7" t="s">
        <v>469</v>
      </c>
      <c r="C85" s="7" t="s">
        <v>471</v>
      </c>
      <c r="D85" s="7" t="s">
        <v>386</v>
      </c>
      <c r="E85" s="7" t="s">
        <v>2909</v>
      </c>
      <c r="F85" s="7" t="s">
        <v>2989</v>
      </c>
      <c r="G85" s="7" t="s">
        <v>2911</v>
      </c>
      <c r="H85" s="53" t="n">
        <f aca="false">'03 MASTER RATE LIBRARY'!S85</f>
        <v>1151</v>
      </c>
      <c r="I85" s="7" t="str">
        <f aca="false">'03 MASTER RATE LIBRARY'!U85</f>
        <v>INCOMPLETE – 1 blank/old input(s)</v>
      </c>
      <c r="J85" s="54" t="n">
        <v>1075.66</v>
      </c>
      <c r="K85" s="1" t="s">
        <v>386</v>
      </c>
      <c r="L85" s="55" t="n">
        <v>-0.0654584535186794</v>
      </c>
      <c r="M85" s="1" t="s">
        <v>2917</v>
      </c>
    </row>
    <row r="86" customFormat="false" ht="27.75" hidden="false" customHeight="true" outlineLevel="0" collapsed="false">
      <c r="A86" s="7" t="s">
        <v>2908</v>
      </c>
      <c r="B86" s="7" t="s">
        <v>472</v>
      </c>
      <c r="C86" s="7" t="s">
        <v>475</v>
      </c>
      <c r="D86" s="7" t="s">
        <v>368</v>
      </c>
      <c r="E86" s="7" t="s">
        <v>2909</v>
      </c>
      <c r="F86" s="7" t="s">
        <v>2990</v>
      </c>
      <c r="G86" s="7" t="s">
        <v>2911</v>
      </c>
      <c r="H86" s="53" t="n">
        <f aca="false">'03 MASTER RATE LIBRARY'!S86</f>
        <v>43520</v>
      </c>
      <c r="I86" s="7" t="str">
        <f aca="false">'03 MASTER RATE LIBRARY'!U86</f>
        <v>Market-derived + assumptions</v>
      </c>
      <c r="J86" s="54" t="n">
        <v>45778.34</v>
      </c>
      <c r="K86" s="1" t="s">
        <v>2991</v>
      </c>
      <c r="M86" s="1" t="s">
        <v>2967</v>
      </c>
    </row>
    <row r="87" customFormat="false" ht="27.75" hidden="false" customHeight="true" outlineLevel="0" collapsed="false">
      <c r="A87" s="7" t="s">
        <v>2908</v>
      </c>
      <c r="B87" s="7" t="s">
        <v>477</v>
      </c>
      <c r="C87" s="7" t="s">
        <v>479</v>
      </c>
      <c r="D87" s="7" t="s">
        <v>368</v>
      </c>
      <c r="E87" s="7" t="s">
        <v>2909</v>
      </c>
      <c r="F87" s="7" t="s">
        <v>2992</v>
      </c>
      <c r="G87" s="7" t="s">
        <v>2911</v>
      </c>
      <c r="H87" s="53" t="n">
        <f aca="false">'03 MASTER RATE LIBRARY'!S87</f>
        <v>24735</v>
      </c>
      <c r="I87" s="7" t="str">
        <f aca="false">'03 MASTER RATE LIBRARY'!U87</f>
        <v>Market-derived + assumptions</v>
      </c>
      <c r="J87" s="54" t="n">
        <v>24317.79</v>
      </c>
      <c r="K87" s="1" t="s">
        <v>2991</v>
      </c>
      <c r="M87" s="1" t="s">
        <v>2967</v>
      </c>
    </row>
    <row r="88" customFormat="false" ht="27.75" hidden="false" customHeight="true" outlineLevel="0" collapsed="false">
      <c r="A88" s="7" t="s">
        <v>2908</v>
      </c>
      <c r="B88" s="7" t="s">
        <v>480</v>
      </c>
      <c r="C88" s="7" t="s">
        <v>484</v>
      </c>
      <c r="D88" s="7" t="s">
        <v>386</v>
      </c>
      <c r="E88" s="7" t="s">
        <v>2909</v>
      </c>
      <c r="F88" s="7" t="s">
        <v>2993</v>
      </c>
      <c r="G88" s="7" t="s">
        <v>2911</v>
      </c>
      <c r="H88" s="53" t="n">
        <f aca="false">'03 MASTER RATE LIBRARY'!S88</f>
        <v>808</v>
      </c>
      <c r="I88" s="7" t="str">
        <f aca="false">'03 MASTER RATE LIBRARY'!U88</f>
        <v>INCOMPLETE – 2 blank/old input(s)</v>
      </c>
      <c r="J88" s="54" t="n">
        <v>817.82</v>
      </c>
      <c r="K88" s="1" t="s">
        <v>386</v>
      </c>
      <c r="L88" s="55" t="n">
        <v>0.0121546970297028</v>
      </c>
      <c r="M88" s="1" t="s">
        <v>2917</v>
      </c>
    </row>
    <row r="89" customFormat="false" ht="27.75" hidden="false" customHeight="true" outlineLevel="0" collapsed="false">
      <c r="A89" s="7" t="s">
        <v>2908</v>
      </c>
      <c r="B89" s="7" t="s">
        <v>486</v>
      </c>
      <c r="C89" s="7" t="s">
        <v>488</v>
      </c>
      <c r="D89" s="7" t="s">
        <v>386</v>
      </c>
      <c r="E89" s="7" t="s">
        <v>2909</v>
      </c>
      <c r="F89" s="7" t="s">
        <v>2994</v>
      </c>
      <c r="G89" s="7" t="s">
        <v>2911</v>
      </c>
      <c r="H89" s="53" t="n">
        <f aca="false">'03 MASTER RATE LIBRARY'!S89</f>
        <v>1563</v>
      </c>
      <c r="I89" s="7" t="str">
        <f aca="false">'03 MASTER RATE LIBRARY'!U89</f>
        <v>INCOMPLETE – 2 blank/old input(s)</v>
      </c>
      <c r="J89" s="54" t="n">
        <v>1609.92</v>
      </c>
      <c r="K89" s="1" t="s">
        <v>386</v>
      </c>
      <c r="L89" s="55" t="n">
        <v>0.0300178688675623</v>
      </c>
      <c r="M89" s="1" t="s">
        <v>2917</v>
      </c>
    </row>
    <row r="90" customFormat="false" ht="27.75" hidden="false" customHeight="true" outlineLevel="0" collapsed="false">
      <c r="A90" s="7" t="s">
        <v>2908</v>
      </c>
      <c r="B90" s="7" t="s">
        <v>489</v>
      </c>
      <c r="C90" s="7" t="s">
        <v>491</v>
      </c>
      <c r="D90" s="7" t="s">
        <v>386</v>
      </c>
      <c r="E90" s="7" t="s">
        <v>2909</v>
      </c>
      <c r="F90" s="7" t="s">
        <v>2995</v>
      </c>
      <c r="G90" s="7" t="s">
        <v>2911</v>
      </c>
      <c r="H90" s="53" t="n">
        <f aca="false">'03 MASTER RATE LIBRARY'!S90</f>
        <v>4085</v>
      </c>
      <c r="I90" s="7" t="str">
        <f aca="false">'03 MASTER RATE LIBRARY'!U90</f>
        <v>INCOMPLETE – 2 blank/old input(s)</v>
      </c>
      <c r="J90" s="54" t="n">
        <v>4215.94</v>
      </c>
      <c r="K90" s="1" t="s">
        <v>386</v>
      </c>
      <c r="L90" s="55" t="n">
        <v>0.0320538297233783</v>
      </c>
      <c r="M90" s="1" t="s">
        <v>2917</v>
      </c>
    </row>
    <row r="91" customFormat="false" ht="27.75" hidden="false" customHeight="true" outlineLevel="0" collapsed="false">
      <c r="A91" s="7" t="s">
        <v>2908</v>
      </c>
      <c r="B91" s="7" t="s">
        <v>492</v>
      </c>
      <c r="C91" s="7" t="s">
        <v>495</v>
      </c>
      <c r="D91" s="7" t="s">
        <v>368</v>
      </c>
      <c r="E91" s="7" t="s">
        <v>2909</v>
      </c>
      <c r="F91" s="7" t="s">
        <v>2996</v>
      </c>
      <c r="G91" s="7" t="s">
        <v>2911</v>
      </c>
      <c r="H91" s="53" t="n">
        <f aca="false">'03 MASTER RATE LIBRARY'!S91</f>
        <v>4221</v>
      </c>
      <c r="I91" s="7" t="str">
        <f aca="false">'03 MASTER RATE LIBRARY'!U91</f>
        <v>INCOMPLETE – 1 blank/old input(s)</v>
      </c>
      <c r="J91" s="54" t="n">
        <v>3467.17</v>
      </c>
      <c r="K91" s="1" t="s">
        <v>368</v>
      </c>
      <c r="L91" s="55" t="n">
        <v>-0.178590286661928</v>
      </c>
      <c r="M91" s="1" t="s">
        <v>2913</v>
      </c>
    </row>
    <row r="92" customFormat="false" ht="27.75" hidden="false" customHeight="true" outlineLevel="0" collapsed="false">
      <c r="A92" s="7" t="s">
        <v>2908</v>
      </c>
      <c r="B92" s="7" t="s">
        <v>497</v>
      </c>
      <c r="C92" s="7" t="s">
        <v>500</v>
      </c>
      <c r="D92" s="7" t="s">
        <v>368</v>
      </c>
      <c r="E92" s="7" t="s">
        <v>2909</v>
      </c>
      <c r="F92" s="7" t="s">
        <v>2950</v>
      </c>
      <c r="G92" s="7" t="s">
        <v>2911</v>
      </c>
      <c r="H92" s="53" t="n">
        <f aca="false">'03 MASTER RATE LIBRARY'!S92</f>
        <v>124082</v>
      </c>
      <c r="I92" s="7" t="str">
        <f aca="false">'03 MASTER RATE LIBRARY'!U92</f>
        <v>Market-derived + assumptions</v>
      </c>
    </row>
    <row r="93" customFormat="false" ht="27.75" hidden="false" customHeight="true" outlineLevel="0" collapsed="false">
      <c r="A93" s="7" t="s">
        <v>2908</v>
      </c>
      <c r="B93" s="7" t="s">
        <v>502</v>
      </c>
      <c r="C93" s="7" t="s">
        <v>506</v>
      </c>
      <c r="D93" s="7" t="s">
        <v>386</v>
      </c>
      <c r="E93" s="7" t="s">
        <v>2909</v>
      </c>
      <c r="F93" s="7" t="s">
        <v>2997</v>
      </c>
      <c r="G93" s="7" t="s">
        <v>2911</v>
      </c>
      <c r="H93" s="53" t="n">
        <f aca="false">'03 MASTER RATE LIBRARY'!S93</f>
        <v>111</v>
      </c>
      <c r="I93" s="7" t="str">
        <f aca="false">'03 MASTER RATE LIBRARY'!U93</f>
        <v>Market-derived + assumptions</v>
      </c>
      <c r="J93" s="54" t="n">
        <v>77.5</v>
      </c>
      <c r="K93" s="1" t="s">
        <v>386</v>
      </c>
      <c r="L93" s="55" t="n">
        <v>-0.30178018018018</v>
      </c>
      <c r="M93" s="1" t="s">
        <v>2935</v>
      </c>
    </row>
    <row r="94" customFormat="false" ht="27.75" hidden="false" customHeight="true" outlineLevel="0" collapsed="false">
      <c r="A94" s="7" t="s">
        <v>2908</v>
      </c>
      <c r="B94" s="7" t="s">
        <v>508</v>
      </c>
      <c r="C94" s="7" t="s">
        <v>510</v>
      </c>
      <c r="D94" s="7" t="s">
        <v>386</v>
      </c>
      <c r="E94" s="7" t="s">
        <v>2909</v>
      </c>
      <c r="F94" s="7" t="s">
        <v>2950</v>
      </c>
      <c r="G94" s="7" t="s">
        <v>2911</v>
      </c>
      <c r="H94" s="53" t="n">
        <f aca="false">'03 MASTER RATE LIBRARY'!S94</f>
        <v>134</v>
      </c>
      <c r="I94" s="7" t="str">
        <f aca="false">'03 MASTER RATE LIBRARY'!U94</f>
        <v>Market-derived + assumptions</v>
      </c>
    </row>
    <row r="95" customFormat="false" ht="27.75" hidden="false" customHeight="true" outlineLevel="0" collapsed="false">
      <c r="A95" s="7" t="s">
        <v>2908</v>
      </c>
      <c r="B95" s="7" t="s">
        <v>511</v>
      </c>
      <c r="C95" s="7" t="s">
        <v>514</v>
      </c>
      <c r="D95" s="7" t="s">
        <v>386</v>
      </c>
      <c r="E95" s="7" t="s">
        <v>2909</v>
      </c>
      <c r="F95" s="7" t="s">
        <v>2998</v>
      </c>
      <c r="G95" s="7" t="s">
        <v>2911</v>
      </c>
      <c r="H95" s="53" t="n">
        <f aca="false">'03 MASTER RATE LIBRARY'!S95</f>
        <v>37</v>
      </c>
      <c r="I95" s="7" t="str">
        <f aca="false">'03 MASTER RATE LIBRARY'!U95</f>
        <v>Market-derived + assumptions</v>
      </c>
      <c r="J95" s="54" t="n">
        <v>48.5</v>
      </c>
      <c r="K95" s="1" t="s">
        <v>386</v>
      </c>
      <c r="L95" s="55" t="n">
        <v>0.310740810810811</v>
      </c>
      <c r="M95" s="1" t="s">
        <v>2935</v>
      </c>
    </row>
    <row r="96" customFormat="false" ht="27.75" hidden="false" customHeight="true" outlineLevel="0" collapsed="false">
      <c r="A96" s="7" t="s">
        <v>2908</v>
      </c>
      <c r="B96" s="7" t="s">
        <v>516</v>
      </c>
      <c r="C96" s="7" t="s">
        <v>518</v>
      </c>
      <c r="D96" s="7" t="s">
        <v>386</v>
      </c>
      <c r="E96" s="7" t="s">
        <v>2909</v>
      </c>
      <c r="F96" s="7" t="s">
        <v>2950</v>
      </c>
      <c r="G96" s="7" t="s">
        <v>2911</v>
      </c>
      <c r="H96" s="53" t="n">
        <f aca="false">'03 MASTER RATE LIBRARY'!S96</f>
        <v>55</v>
      </c>
      <c r="I96" s="7" t="str">
        <f aca="false">'03 MASTER RATE LIBRARY'!U96</f>
        <v>Market-derived + assumptions</v>
      </c>
    </row>
    <row r="97" customFormat="false" ht="27.75" hidden="false" customHeight="true" outlineLevel="0" collapsed="false">
      <c r="A97" s="7" t="s">
        <v>2908</v>
      </c>
      <c r="B97" s="7" t="s">
        <v>519</v>
      </c>
      <c r="C97" s="7" t="s">
        <v>521</v>
      </c>
      <c r="D97" s="7" t="s">
        <v>386</v>
      </c>
      <c r="E97" s="7" t="s">
        <v>2909</v>
      </c>
      <c r="F97" s="7" t="s">
        <v>2950</v>
      </c>
      <c r="G97" s="7" t="s">
        <v>2911</v>
      </c>
      <c r="H97" s="53" t="n">
        <f aca="false">'03 MASTER RATE LIBRARY'!S97</f>
        <v>83</v>
      </c>
      <c r="I97" s="7" t="str">
        <f aca="false">'03 MASTER RATE LIBRARY'!U97</f>
        <v>Market-derived + assumptions</v>
      </c>
    </row>
    <row r="98" customFormat="false" ht="27.75" hidden="false" customHeight="true" outlineLevel="0" collapsed="false">
      <c r="A98" s="7" t="s">
        <v>2908</v>
      </c>
      <c r="B98" s="7" t="s">
        <v>522</v>
      </c>
      <c r="C98" s="7" t="s">
        <v>525</v>
      </c>
      <c r="D98" s="7" t="s">
        <v>368</v>
      </c>
      <c r="E98" s="7" t="s">
        <v>2909</v>
      </c>
      <c r="F98" s="7" t="s">
        <v>2999</v>
      </c>
      <c r="G98" s="7" t="s">
        <v>2911</v>
      </c>
      <c r="H98" s="53" t="n">
        <f aca="false">'03 MASTER RATE LIBRARY'!S98</f>
        <v>5719</v>
      </c>
      <c r="I98" s="7" t="str">
        <f aca="false">'03 MASTER RATE LIBRARY'!U98</f>
        <v>Market-derived + assumptions</v>
      </c>
      <c r="J98" s="54" t="n">
        <v>6231.56</v>
      </c>
      <c r="K98" s="1" t="s">
        <v>3000</v>
      </c>
      <c r="M98" s="1" t="s">
        <v>2967</v>
      </c>
    </row>
    <row r="99" customFormat="false" ht="27.75" hidden="false" customHeight="true" outlineLevel="0" collapsed="false">
      <c r="A99" s="7" t="s">
        <v>2908</v>
      </c>
      <c r="B99" s="7" t="s">
        <v>527</v>
      </c>
      <c r="C99" s="7" t="s">
        <v>529</v>
      </c>
      <c r="D99" s="7" t="s">
        <v>368</v>
      </c>
      <c r="E99" s="7" t="s">
        <v>2909</v>
      </c>
      <c r="F99" s="7" t="s">
        <v>3001</v>
      </c>
      <c r="G99" s="7" t="s">
        <v>2911</v>
      </c>
      <c r="H99" s="53" t="n">
        <f aca="false">'03 MASTER RATE LIBRARY'!S99</f>
        <v>8903</v>
      </c>
      <c r="I99" s="7" t="str">
        <f aca="false">'03 MASTER RATE LIBRARY'!U99</f>
        <v>Market-derived + assumptions</v>
      </c>
      <c r="J99" s="54" t="n">
        <v>1689.93</v>
      </c>
      <c r="K99" s="1" t="s">
        <v>368</v>
      </c>
      <c r="L99" s="55" t="n">
        <v>-0.810184746714591</v>
      </c>
      <c r="M99" s="1" t="s">
        <v>2935</v>
      </c>
    </row>
    <row r="100" customFormat="false" ht="27.75" hidden="false" customHeight="true" outlineLevel="0" collapsed="false">
      <c r="A100" s="7" t="s">
        <v>2908</v>
      </c>
      <c r="B100" s="7" t="s">
        <v>531</v>
      </c>
      <c r="C100" s="7" t="s">
        <v>534</v>
      </c>
      <c r="D100" s="7" t="s">
        <v>368</v>
      </c>
      <c r="E100" s="7" t="s">
        <v>2909</v>
      </c>
      <c r="F100" s="7" t="s">
        <v>3002</v>
      </c>
      <c r="G100" s="7" t="s">
        <v>2911</v>
      </c>
      <c r="H100" s="53" t="n">
        <f aca="false">'03 MASTER RATE LIBRARY'!S100</f>
        <v>58536</v>
      </c>
      <c r="I100" s="7" t="str">
        <f aca="false">'03 MASTER RATE LIBRARY'!U100</f>
        <v>Market-derived + assumptions</v>
      </c>
      <c r="J100" s="54" t="n">
        <v>28373.63</v>
      </c>
      <c r="K100" s="1" t="s">
        <v>368</v>
      </c>
      <c r="L100" s="55" t="n">
        <v>-0.515278956539565</v>
      </c>
      <c r="M100" s="1" t="s">
        <v>2935</v>
      </c>
    </row>
    <row r="101" customFormat="false" ht="27.75" hidden="false" customHeight="true" outlineLevel="0" collapsed="false">
      <c r="A101" s="7" t="s">
        <v>2908</v>
      </c>
      <c r="B101" s="7" t="s">
        <v>536</v>
      </c>
      <c r="C101" s="7" t="s">
        <v>539</v>
      </c>
      <c r="D101" s="7" t="s">
        <v>368</v>
      </c>
      <c r="E101" s="7" t="s">
        <v>2909</v>
      </c>
      <c r="F101" s="7" t="s">
        <v>3003</v>
      </c>
      <c r="G101" s="7" t="s">
        <v>2911</v>
      </c>
      <c r="H101" s="53" t="n">
        <f aca="false">'03 MASTER RATE LIBRARY'!S101</f>
        <v>75656</v>
      </c>
      <c r="I101" s="7" t="str">
        <f aca="false">'03 MASTER RATE LIBRARY'!U101</f>
        <v>INCOMPLETE – 1 blank/old input(s)</v>
      </c>
      <c r="J101" s="54" t="n">
        <v>18930.5</v>
      </c>
      <c r="K101" s="1" t="s">
        <v>368</v>
      </c>
      <c r="L101" s="55" t="n">
        <v>-0.749781854710796</v>
      </c>
      <c r="M101" s="1" t="s">
        <v>2935</v>
      </c>
    </row>
    <row r="102" customFormat="false" ht="27.75" hidden="false" customHeight="true" outlineLevel="0" collapsed="false">
      <c r="A102" s="7" t="s">
        <v>2908</v>
      </c>
      <c r="B102" s="7" t="s">
        <v>540</v>
      </c>
      <c r="C102" s="7" t="s">
        <v>543</v>
      </c>
      <c r="D102" s="7" t="s">
        <v>368</v>
      </c>
      <c r="E102" s="7" t="s">
        <v>2909</v>
      </c>
      <c r="F102" s="7" t="s">
        <v>3004</v>
      </c>
      <c r="G102" s="7" t="s">
        <v>2911</v>
      </c>
      <c r="H102" s="53" t="n">
        <f aca="false">'03 MASTER RATE LIBRARY'!S102</f>
        <v>25723</v>
      </c>
      <c r="I102" s="7" t="str">
        <f aca="false">'03 MASTER RATE LIBRARY'!U102</f>
        <v>Market-derived + assumptions</v>
      </c>
      <c r="J102" s="54" t="n">
        <v>13002.12</v>
      </c>
      <c r="K102" s="1" t="s">
        <v>368</v>
      </c>
      <c r="L102" s="55" t="n">
        <v>-0.494533102670762</v>
      </c>
      <c r="M102" s="1" t="s">
        <v>2935</v>
      </c>
    </row>
    <row r="103" customFormat="false" ht="27.75" hidden="false" customHeight="true" outlineLevel="0" collapsed="false">
      <c r="A103" s="7" t="s">
        <v>2908</v>
      </c>
      <c r="B103" s="7" t="s">
        <v>545</v>
      </c>
      <c r="C103" s="7" t="s">
        <v>549</v>
      </c>
      <c r="D103" s="7" t="s">
        <v>368</v>
      </c>
      <c r="E103" s="7" t="s">
        <v>2909</v>
      </c>
      <c r="F103" s="7" t="s">
        <v>3005</v>
      </c>
      <c r="G103" s="7" t="s">
        <v>2911</v>
      </c>
      <c r="H103" s="53" t="n">
        <f aca="false">'03 MASTER RATE LIBRARY'!S103</f>
        <v>16825</v>
      </c>
      <c r="I103" s="7" t="str">
        <f aca="false">'03 MASTER RATE LIBRARY'!U103</f>
        <v>Market-derived + assumptions</v>
      </c>
      <c r="J103" s="54" t="n">
        <v>9519.5</v>
      </c>
      <c r="K103" s="1" t="s">
        <v>368</v>
      </c>
      <c r="L103" s="55" t="n">
        <v>-0.434204903417534</v>
      </c>
      <c r="M103" s="1" t="s">
        <v>2935</v>
      </c>
    </row>
    <row r="104" customFormat="false" ht="27.75" hidden="false" customHeight="true" outlineLevel="0" collapsed="false">
      <c r="A104" s="7" t="s">
        <v>2908</v>
      </c>
      <c r="B104" s="7" t="s">
        <v>551</v>
      </c>
      <c r="C104" s="7" t="s">
        <v>554</v>
      </c>
      <c r="D104" s="7" t="s">
        <v>212</v>
      </c>
      <c r="E104" s="7" t="s">
        <v>2909</v>
      </c>
      <c r="F104" s="7" t="s">
        <v>3006</v>
      </c>
      <c r="G104" s="7" t="s">
        <v>2911</v>
      </c>
      <c r="H104" s="53" t="n">
        <f aca="false">'03 MASTER RATE LIBRARY'!S104</f>
        <v>385</v>
      </c>
      <c r="I104" s="7" t="str">
        <f aca="false">'03 MASTER RATE LIBRARY'!U104</f>
        <v>Market-derived + assumptions</v>
      </c>
      <c r="J104" s="54" t="n">
        <v>315</v>
      </c>
      <c r="K104" s="1" t="s">
        <v>212</v>
      </c>
      <c r="L104" s="55" t="n">
        <v>-0.181818879220779</v>
      </c>
      <c r="M104" s="1" t="s">
        <v>2913</v>
      </c>
    </row>
    <row r="105" customFormat="false" ht="27.75" hidden="false" customHeight="true" outlineLevel="0" collapsed="false">
      <c r="A105" s="7" t="s">
        <v>2908</v>
      </c>
      <c r="B105" s="7" t="s">
        <v>556</v>
      </c>
      <c r="C105" s="7" t="s">
        <v>559</v>
      </c>
      <c r="D105" s="7" t="s">
        <v>212</v>
      </c>
      <c r="E105" s="7" t="s">
        <v>2909</v>
      </c>
      <c r="F105" s="7" t="s">
        <v>3007</v>
      </c>
      <c r="G105" s="7" t="s">
        <v>2911</v>
      </c>
      <c r="H105" s="53" t="n">
        <f aca="false">'03 MASTER RATE LIBRARY'!S105</f>
        <v>495</v>
      </c>
      <c r="I105" s="7" t="str">
        <f aca="false">'03 MASTER RATE LIBRARY'!U105</f>
        <v>Market-derived + assumptions</v>
      </c>
      <c r="J105" s="54" t="n">
        <v>81.42</v>
      </c>
      <c r="K105" s="1" t="s">
        <v>212</v>
      </c>
      <c r="L105" s="55" t="n">
        <v>-0.835515151515152</v>
      </c>
      <c r="M105" s="1" t="s">
        <v>2935</v>
      </c>
    </row>
    <row r="106" customFormat="false" ht="27.75" hidden="false" customHeight="true" outlineLevel="0" collapsed="false">
      <c r="A106" s="7" t="s">
        <v>2908</v>
      </c>
      <c r="B106" s="7" t="s">
        <v>561</v>
      </c>
      <c r="C106" s="7" t="s">
        <v>564</v>
      </c>
      <c r="D106" s="7" t="s">
        <v>368</v>
      </c>
      <c r="E106" s="7" t="s">
        <v>2909</v>
      </c>
      <c r="F106" s="7" t="s">
        <v>3008</v>
      </c>
      <c r="G106" s="7" t="s">
        <v>2911</v>
      </c>
      <c r="H106" s="53" t="n">
        <f aca="false">'03 MASTER RATE LIBRARY'!S106</f>
        <v>173033</v>
      </c>
      <c r="I106" s="7" t="str">
        <f aca="false">'03 MASTER RATE LIBRARY'!U106</f>
        <v>Market-derived + assumptions</v>
      </c>
      <c r="J106" s="54" t="n">
        <v>4720</v>
      </c>
      <c r="K106" s="1" t="s">
        <v>368</v>
      </c>
      <c r="L106" s="55" t="n">
        <v>-0.972721966330122</v>
      </c>
      <c r="M106" s="1" t="s">
        <v>2935</v>
      </c>
    </row>
    <row r="107" customFormat="false" ht="27.75" hidden="false" customHeight="true" outlineLevel="0" collapsed="false">
      <c r="A107" s="7" t="s">
        <v>2908</v>
      </c>
      <c r="B107" s="7" t="s">
        <v>566</v>
      </c>
      <c r="C107" s="7" t="s">
        <v>570</v>
      </c>
      <c r="D107" s="7" t="s">
        <v>368</v>
      </c>
      <c r="E107" s="7" t="s">
        <v>2909</v>
      </c>
      <c r="F107" s="7" t="s">
        <v>2950</v>
      </c>
      <c r="G107" s="7" t="s">
        <v>2911</v>
      </c>
      <c r="H107" s="53" t="n">
        <f aca="false">'03 MASTER RATE LIBRARY'!S107</f>
        <v>10030000</v>
      </c>
      <c r="I107" s="7" t="str">
        <f aca="false">'03 MASTER RATE LIBRARY'!U107</f>
        <v>Market-derived + assumptions</v>
      </c>
    </row>
    <row r="108" customFormat="false" ht="27.75" hidden="false" customHeight="true" outlineLevel="0" collapsed="false">
      <c r="A108" s="7" t="s">
        <v>2908</v>
      </c>
      <c r="B108" s="7" t="s">
        <v>572</v>
      </c>
      <c r="C108" s="7" t="s">
        <v>576</v>
      </c>
      <c r="D108" s="7" t="s">
        <v>386</v>
      </c>
      <c r="E108" s="7" t="s">
        <v>2909</v>
      </c>
      <c r="F108" s="7" t="s">
        <v>3009</v>
      </c>
      <c r="G108" s="7" t="s">
        <v>2911</v>
      </c>
      <c r="H108" s="53" t="n">
        <f aca="false">'03 MASTER RATE LIBRARY'!S108</f>
        <v>3740</v>
      </c>
      <c r="I108" s="7" t="str">
        <f aca="false">'03 MASTER RATE LIBRARY'!U108</f>
        <v>Market-derived + assumptions</v>
      </c>
      <c r="J108" s="54" t="n">
        <v>4700.27</v>
      </c>
      <c r="K108" s="1" t="s">
        <v>386</v>
      </c>
      <c r="L108" s="55" t="n">
        <v>0.25675679144385</v>
      </c>
      <c r="M108" s="1" t="s">
        <v>2913</v>
      </c>
    </row>
    <row r="109" customFormat="false" ht="27.75" hidden="false" customHeight="true" outlineLevel="0" collapsed="false">
      <c r="A109" s="7" t="s">
        <v>2908</v>
      </c>
      <c r="B109" s="7" t="s">
        <v>578</v>
      </c>
      <c r="C109" s="7" t="s">
        <v>581</v>
      </c>
      <c r="D109" s="7" t="s">
        <v>386</v>
      </c>
      <c r="E109" s="7" t="s">
        <v>2909</v>
      </c>
      <c r="F109" s="7" t="s">
        <v>3010</v>
      </c>
      <c r="G109" s="7" t="s">
        <v>2911</v>
      </c>
      <c r="H109" s="53" t="n">
        <f aca="false">'03 MASTER RATE LIBRARY'!S109</f>
        <v>7080</v>
      </c>
      <c r="I109" s="7" t="str">
        <f aca="false">'03 MASTER RATE LIBRARY'!U109</f>
        <v>Market-derived + assumptions</v>
      </c>
      <c r="J109" s="54" t="n">
        <v>7080</v>
      </c>
      <c r="K109" s="1" t="s">
        <v>386</v>
      </c>
      <c r="L109" s="55" t="n">
        <v>0</v>
      </c>
      <c r="M109" s="1" t="s">
        <v>2917</v>
      </c>
    </row>
    <row r="110" customFormat="false" ht="27.75" hidden="false" customHeight="true" outlineLevel="0" collapsed="false">
      <c r="A110" s="7" t="s">
        <v>2908</v>
      </c>
      <c r="B110" s="7" t="s">
        <v>583</v>
      </c>
      <c r="C110" s="7" t="s">
        <v>585</v>
      </c>
      <c r="D110" s="7" t="s">
        <v>386</v>
      </c>
      <c r="E110" s="7" t="s">
        <v>2909</v>
      </c>
      <c r="F110" s="7" t="s">
        <v>2950</v>
      </c>
      <c r="G110" s="7" t="s">
        <v>2911</v>
      </c>
      <c r="H110" s="53" t="n">
        <f aca="false">'03 MASTER RATE LIBRARY'!S110</f>
        <v>87</v>
      </c>
      <c r="I110" s="7" t="str">
        <f aca="false">'03 MASTER RATE LIBRARY'!U110</f>
        <v>Market-derived + assumptions</v>
      </c>
    </row>
    <row r="111" customFormat="false" ht="27.75" hidden="false" customHeight="true" outlineLevel="0" collapsed="false">
      <c r="A111" s="7" t="s">
        <v>2908</v>
      </c>
      <c r="B111" s="7" t="s">
        <v>587</v>
      </c>
      <c r="C111" s="7" t="s">
        <v>589</v>
      </c>
      <c r="D111" s="7" t="s">
        <v>386</v>
      </c>
      <c r="E111" s="7" t="s">
        <v>2909</v>
      </c>
      <c r="F111" s="7" t="s">
        <v>2950</v>
      </c>
      <c r="G111" s="7" t="s">
        <v>2911</v>
      </c>
      <c r="H111" s="53" t="n">
        <f aca="false">'03 MASTER RATE LIBRARY'!S111</f>
        <v>197</v>
      </c>
      <c r="I111" s="7" t="str">
        <f aca="false">'03 MASTER RATE LIBRARY'!U111</f>
        <v>Market-derived + assumptions</v>
      </c>
    </row>
    <row r="112" customFormat="false" ht="27.75" hidden="false" customHeight="true" outlineLevel="0" collapsed="false">
      <c r="A112" s="7" t="s">
        <v>2908</v>
      </c>
      <c r="B112" s="7" t="s">
        <v>591</v>
      </c>
      <c r="C112" s="7" t="s">
        <v>593</v>
      </c>
      <c r="D112" s="7" t="s">
        <v>386</v>
      </c>
      <c r="E112" s="7" t="s">
        <v>2909</v>
      </c>
      <c r="F112" s="7" t="s">
        <v>2950</v>
      </c>
      <c r="G112" s="7" t="s">
        <v>2911</v>
      </c>
      <c r="H112" s="53" t="n">
        <f aca="false">'03 MASTER RATE LIBRARY'!S112</f>
        <v>244</v>
      </c>
      <c r="I112" s="7" t="str">
        <f aca="false">'03 MASTER RATE LIBRARY'!U112</f>
        <v>Market-derived + assumptions</v>
      </c>
    </row>
    <row r="113" customFormat="false" ht="27.75" hidden="false" customHeight="true" outlineLevel="0" collapsed="false">
      <c r="A113" s="7" t="s">
        <v>2908</v>
      </c>
      <c r="B113" s="7" t="s">
        <v>594</v>
      </c>
      <c r="C113" s="7" t="s">
        <v>596</v>
      </c>
      <c r="D113" s="7" t="s">
        <v>386</v>
      </c>
      <c r="E113" s="7" t="s">
        <v>2909</v>
      </c>
      <c r="F113" s="7" t="s">
        <v>2950</v>
      </c>
      <c r="G113" s="7" t="s">
        <v>2911</v>
      </c>
      <c r="H113" s="53" t="n">
        <f aca="false">'03 MASTER RATE LIBRARY'!S113</f>
        <v>329</v>
      </c>
      <c r="I113" s="7" t="str">
        <f aca="false">'03 MASTER RATE LIBRARY'!U113</f>
        <v>Market-derived + assumptions</v>
      </c>
    </row>
    <row r="114" customFormat="false" ht="41.25" hidden="false" customHeight="true" outlineLevel="0" collapsed="false">
      <c r="A114" s="7" t="s">
        <v>2908</v>
      </c>
      <c r="B114" s="7" t="s">
        <v>597</v>
      </c>
      <c r="C114" s="7" t="s">
        <v>599</v>
      </c>
      <c r="D114" s="7" t="s">
        <v>212</v>
      </c>
      <c r="E114" s="7" t="s">
        <v>2909</v>
      </c>
      <c r="F114" s="7" t="s">
        <v>3011</v>
      </c>
      <c r="G114" s="7" t="s">
        <v>2911</v>
      </c>
      <c r="H114" s="53" t="n">
        <f aca="false">'03 MASTER RATE LIBRARY'!S114</f>
        <v>328</v>
      </c>
      <c r="I114" s="7" t="str">
        <f aca="false">'03 MASTER RATE LIBRARY'!U114</f>
        <v>Market-derived + assumptions</v>
      </c>
      <c r="J114" s="54" t="n">
        <v>570.24</v>
      </c>
      <c r="K114" s="1" t="s">
        <v>212</v>
      </c>
      <c r="L114" s="55" t="n">
        <v>0.738521341463415</v>
      </c>
      <c r="M114" s="1" t="s">
        <v>2935</v>
      </c>
    </row>
    <row r="115" customFormat="false" ht="27.75" hidden="false" customHeight="true" outlineLevel="0" collapsed="false">
      <c r="A115" s="7" t="s">
        <v>2908</v>
      </c>
      <c r="B115" s="7" t="s">
        <v>601</v>
      </c>
      <c r="C115" s="7" t="s">
        <v>603</v>
      </c>
      <c r="D115" s="7" t="s">
        <v>212</v>
      </c>
      <c r="E115" s="7" t="s">
        <v>2909</v>
      </c>
      <c r="F115" s="7" t="s">
        <v>3012</v>
      </c>
      <c r="G115" s="7" t="s">
        <v>2911</v>
      </c>
      <c r="H115" s="53" t="n">
        <f aca="false">'03 MASTER RATE LIBRARY'!S115</f>
        <v>461</v>
      </c>
      <c r="I115" s="7" t="str">
        <f aca="false">'03 MASTER RATE LIBRARY'!U115</f>
        <v>Market-derived + assumptions</v>
      </c>
      <c r="J115" s="54" t="n">
        <v>563.45</v>
      </c>
      <c r="K115" s="1" t="s">
        <v>212</v>
      </c>
      <c r="L115" s="55" t="n">
        <v>0.222234273318872</v>
      </c>
      <c r="M115" s="1" t="s">
        <v>2913</v>
      </c>
    </row>
    <row r="116" customFormat="false" ht="27.75" hidden="false" customHeight="true" outlineLevel="0" collapsed="false">
      <c r="A116" s="7" t="s">
        <v>2908</v>
      </c>
      <c r="B116" s="7" t="s">
        <v>605</v>
      </c>
      <c r="C116" s="7" t="s">
        <v>607</v>
      </c>
      <c r="D116" s="7" t="s">
        <v>212</v>
      </c>
      <c r="E116" s="7" t="s">
        <v>2909</v>
      </c>
      <c r="F116" s="7" t="s">
        <v>3013</v>
      </c>
      <c r="G116" s="7" t="s">
        <v>2911</v>
      </c>
      <c r="H116" s="53" t="n">
        <f aca="false">'03 MASTER RATE LIBRARY'!S116</f>
        <v>236</v>
      </c>
      <c r="I116" s="7" t="str">
        <f aca="false">'03 MASTER RATE LIBRARY'!U116</f>
        <v>Market-derived + assumptions</v>
      </c>
      <c r="J116" s="54" t="n">
        <v>236</v>
      </c>
      <c r="K116" s="1" t="s">
        <v>212</v>
      </c>
      <c r="L116" s="55" t="n">
        <v>0</v>
      </c>
      <c r="M116" s="1" t="s">
        <v>2917</v>
      </c>
    </row>
    <row r="117" customFormat="false" ht="27.75" hidden="false" customHeight="true" outlineLevel="0" collapsed="false">
      <c r="A117" s="7" t="s">
        <v>2908</v>
      </c>
      <c r="B117" s="7" t="s">
        <v>609</v>
      </c>
      <c r="C117" s="7" t="s">
        <v>611</v>
      </c>
      <c r="D117" s="7" t="s">
        <v>386</v>
      </c>
      <c r="E117" s="7" t="s">
        <v>2909</v>
      </c>
      <c r="F117" s="7" t="s">
        <v>3014</v>
      </c>
      <c r="G117" s="7" t="s">
        <v>2911</v>
      </c>
      <c r="H117" s="53" t="n">
        <f aca="false">'03 MASTER RATE LIBRARY'!S117</f>
        <v>126</v>
      </c>
      <c r="I117" s="7" t="str">
        <f aca="false">'03 MASTER RATE LIBRARY'!U117</f>
        <v>Market-derived + assumptions</v>
      </c>
      <c r="J117" s="54" t="n">
        <v>164.69</v>
      </c>
      <c r="K117" s="1" t="s">
        <v>386</v>
      </c>
      <c r="L117" s="55" t="n">
        <v>0.307084389332778</v>
      </c>
      <c r="M117" s="1" t="s">
        <v>2935</v>
      </c>
    </row>
    <row r="118" customFormat="false" ht="41.25" hidden="false" customHeight="true" outlineLevel="0" collapsed="false">
      <c r="A118" s="7" t="s">
        <v>2908</v>
      </c>
      <c r="B118" s="7" t="s">
        <v>613</v>
      </c>
      <c r="C118" s="7" t="s">
        <v>615</v>
      </c>
      <c r="D118" s="7" t="s">
        <v>212</v>
      </c>
      <c r="E118" s="7" t="s">
        <v>2909</v>
      </c>
      <c r="F118" s="7" t="s">
        <v>3015</v>
      </c>
      <c r="G118" s="7" t="s">
        <v>2911</v>
      </c>
      <c r="H118" s="53" t="n">
        <f aca="false">'03 MASTER RATE LIBRARY'!S118</f>
        <v>92</v>
      </c>
      <c r="I118" s="7" t="str">
        <f aca="false">'03 MASTER RATE LIBRARY'!U118</f>
        <v>Market-derived + assumptions</v>
      </c>
      <c r="J118" s="54" t="n">
        <v>91.1</v>
      </c>
      <c r="K118" s="1" t="s">
        <v>212</v>
      </c>
      <c r="L118" s="55" t="n">
        <v>-0.00979402173913047</v>
      </c>
      <c r="M118" s="1" t="s">
        <v>2917</v>
      </c>
    </row>
    <row r="119" customFormat="false" ht="27.75" hidden="false" customHeight="true" outlineLevel="0" collapsed="false">
      <c r="A119" s="7" t="s">
        <v>2908</v>
      </c>
      <c r="B119" s="7" t="s">
        <v>617</v>
      </c>
      <c r="C119" s="7" t="s">
        <v>619</v>
      </c>
      <c r="D119" s="7" t="s">
        <v>212</v>
      </c>
      <c r="E119" s="7" t="s">
        <v>2909</v>
      </c>
      <c r="F119" s="7" t="s">
        <v>3016</v>
      </c>
      <c r="G119" s="7" t="s">
        <v>2911</v>
      </c>
      <c r="H119" s="53" t="n">
        <f aca="false">'03 MASTER RATE LIBRARY'!S119</f>
        <v>70</v>
      </c>
      <c r="I119" s="7" t="str">
        <f aca="false">'03 MASTER RATE LIBRARY'!U119</f>
        <v>Market-derived + assumptions</v>
      </c>
      <c r="J119" s="54" t="n">
        <v>64.85</v>
      </c>
      <c r="K119" s="1" t="s">
        <v>212</v>
      </c>
      <c r="L119" s="55" t="n">
        <v>-0.0735503928571428</v>
      </c>
      <c r="M119" s="1" t="s">
        <v>2917</v>
      </c>
    </row>
    <row r="120" customFormat="false" ht="27.75" hidden="false" customHeight="true" outlineLevel="0" collapsed="false">
      <c r="A120" s="7" t="s">
        <v>2908</v>
      </c>
      <c r="B120" s="7" t="s">
        <v>621</v>
      </c>
      <c r="C120" s="7" t="s">
        <v>623</v>
      </c>
      <c r="D120" s="7" t="s">
        <v>212</v>
      </c>
      <c r="E120" s="7" t="s">
        <v>2909</v>
      </c>
      <c r="F120" s="7" t="s">
        <v>3017</v>
      </c>
      <c r="G120" s="7" t="s">
        <v>2911</v>
      </c>
      <c r="H120" s="53" t="n">
        <f aca="false">'03 MASTER RATE LIBRARY'!S120</f>
        <v>106</v>
      </c>
      <c r="I120" s="7" t="str">
        <f aca="false">'03 MASTER RATE LIBRARY'!U120</f>
        <v>Market-derived + assumptions</v>
      </c>
      <c r="J120" s="54" t="n">
        <v>86.52</v>
      </c>
      <c r="K120" s="1" t="s">
        <v>212</v>
      </c>
      <c r="L120" s="55" t="n">
        <v>-0.183740566037736</v>
      </c>
      <c r="M120" s="1" t="s">
        <v>2913</v>
      </c>
    </row>
    <row r="121" customFormat="false" ht="27.75" hidden="false" customHeight="true" outlineLevel="0" collapsed="false">
      <c r="A121" s="7" t="s">
        <v>2908</v>
      </c>
      <c r="B121" s="7" t="s">
        <v>625</v>
      </c>
      <c r="C121" s="7" t="s">
        <v>627</v>
      </c>
      <c r="D121" s="7" t="s">
        <v>109</v>
      </c>
      <c r="E121" s="7" t="s">
        <v>2909</v>
      </c>
      <c r="F121" s="7" t="s">
        <v>3018</v>
      </c>
      <c r="G121" s="7" t="s">
        <v>2911</v>
      </c>
      <c r="H121" s="53" t="n">
        <f aca="false">'03 MASTER RATE LIBRARY'!S121</f>
        <v>514</v>
      </c>
      <c r="I121" s="7" t="str">
        <f aca="false">'03 MASTER RATE LIBRARY'!U121</f>
        <v>Market-derived + assumptions</v>
      </c>
      <c r="J121" s="54" t="n">
        <v>416.82</v>
      </c>
      <c r="K121" s="1" t="s">
        <v>2912</v>
      </c>
      <c r="L121" s="55" t="n">
        <v>-0.189060755812257</v>
      </c>
      <c r="M121" s="1" t="s">
        <v>2913</v>
      </c>
    </row>
    <row r="122" customFormat="false" ht="27.75" hidden="false" customHeight="true" outlineLevel="0" collapsed="false">
      <c r="A122" s="7" t="s">
        <v>2908</v>
      </c>
      <c r="B122" s="7" t="s">
        <v>629</v>
      </c>
      <c r="C122" s="7" t="s">
        <v>631</v>
      </c>
      <c r="D122" s="7" t="s">
        <v>109</v>
      </c>
      <c r="E122" s="7" t="s">
        <v>2909</v>
      </c>
      <c r="F122" s="7" t="s">
        <v>2916</v>
      </c>
      <c r="G122" s="7" t="s">
        <v>2911</v>
      </c>
      <c r="H122" s="53" t="n">
        <f aca="false">'03 MASTER RATE LIBRARY'!S122</f>
        <v>684</v>
      </c>
      <c r="I122" s="7" t="str">
        <f aca="false">'03 MASTER RATE LIBRARY'!U122</f>
        <v>Market-derived + assumptions</v>
      </c>
      <c r="J122" s="54" t="n">
        <v>668.57</v>
      </c>
      <c r="K122" s="1" t="s">
        <v>2912</v>
      </c>
      <c r="L122" s="55" t="n">
        <v>-0.022552865497076</v>
      </c>
      <c r="M122" s="1" t="s">
        <v>2917</v>
      </c>
    </row>
    <row r="123" customFormat="false" ht="27.75" hidden="false" customHeight="true" outlineLevel="0" collapsed="false">
      <c r="A123" s="7" t="s">
        <v>2908</v>
      </c>
      <c r="B123" s="7" t="s">
        <v>633</v>
      </c>
      <c r="C123" s="7" t="s">
        <v>635</v>
      </c>
      <c r="D123" s="7" t="s">
        <v>212</v>
      </c>
      <c r="E123" s="7" t="s">
        <v>2909</v>
      </c>
      <c r="F123" s="7" t="s">
        <v>3019</v>
      </c>
      <c r="G123" s="7" t="s">
        <v>2911</v>
      </c>
      <c r="H123" s="53" t="n">
        <f aca="false">'03 MASTER RATE LIBRARY'!S123</f>
        <v>126</v>
      </c>
      <c r="I123" s="7" t="str">
        <f aca="false">'03 MASTER RATE LIBRARY'!U123</f>
        <v>Market-derived + assumptions</v>
      </c>
      <c r="J123" s="54" t="n">
        <v>236.86</v>
      </c>
      <c r="K123" s="1" t="s">
        <v>212</v>
      </c>
      <c r="L123" s="55" t="n">
        <v>0.879814394092699</v>
      </c>
      <c r="M123" s="1" t="s">
        <v>2935</v>
      </c>
    </row>
    <row r="124" customFormat="false" ht="27.75" hidden="false" customHeight="true" outlineLevel="0" collapsed="false">
      <c r="A124" s="7" t="s">
        <v>2908</v>
      </c>
      <c r="B124" s="7" t="s">
        <v>637</v>
      </c>
      <c r="C124" s="7" t="s">
        <v>639</v>
      </c>
      <c r="D124" s="7" t="s">
        <v>212</v>
      </c>
      <c r="E124" s="7" t="s">
        <v>2909</v>
      </c>
      <c r="F124" s="7" t="s">
        <v>3020</v>
      </c>
      <c r="G124" s="7" t="s">
        <v>2911</v>
      </c>
      <c r="H124" s="53" t="n">
        <f aca="false">'03 MASTER RATE LIBRARY'!S124</f>
        <v>103</v>
      </c>
      <c r="I124" s="7" t="str">
        <f aca="false">'03 MASTER RATE LIBRARY'!U124</f>
        <v>Market-derived + assumptions</v>
      </c>
      <c r="J124" s="54" t="n">
        <v>139.27</v>
      </c>
      <c r="K124" s="1" t="s">
        <v>212</v>
      </c>
      <c r="L124" s="55" t="n">
        <v>0.352127249206214</v>
      </c>
      <c r="M124" s="1" t="s">
        <v>2935</v>
      </c>
    </row>
    <row r="125" customFormat="false" ht="27.75" hidden="false" customHeight="true" outlineLevel="0" collapsed="false">
      <c r="A125" s="7" t="s">
        <v>2908</v>
      </c>
      <c r="B125" s="7" t="s">
        <v>640</v>
      </c>
      <c r="C125" s="7" t="s">
        <v>642</v>
      </c>
      <c r="D125" s="7" t="s">
        <v>644</v>
      </c>
      <c r="E125" s="7" t="s">
        <v>2909</v>
      </c>
      <c r="F125" s="7" t="s">
        <v>2929</v>
      </c>
      <c r="G125" s="7" t="s">
        <v>2911</v>
      </c>
      <c r="H125" s="53" t="n">
        <f aca="false">'03 MASTER RATE LIBRARY'!S125</f>
        <v>311270</v>
      </c>
      <c r="I125" s="7" t="str">
        <f aca="false">'03 MASTER RATE LIBRARY'!U125</f>
        <v>Market-derived + assumptions</v>
      </c>
      <c r="J125" s="54" t="n">
        <v>321.58</v>
      </c>
      <c r="K125" s="1" t="s">
        <v>2930</v>
      </c>
      <c r="M125" s="1" t="s">
        <v>2967</v>
      </c>
    </row>
    <row r="126" customFormat="false" ht="41.25" hidden="false" customHeight="true" outlineLevel="0" collapsed="false">
      <c r="A126" s="7" t="s">
        <v>2908</v>
      </c>
      <c r="B126" s="7" t="s">
        <v>645</v>
      </c>
      <c r="C126" s="7" t="s">
        <v>647</v>
      </c>
      <c r="D126" s="7" t="s">
        <v>109</v>
      </c>
      <c r="E126" s="7" t="s">
        <v>2909</v>
      </c>
      <c r="F126" s="7" t="s">
        <v>3021</v>
      </c>
      <c r="G126" s="7" t="s">
        <v>2911</v>
      </c>
      <c r="H126" s="53" t="n">
        <f aca="false">'03 MASTER RATE LIBRARY'!S126</f>
        <v>551</v>
      </c>
      <c r="I126" s="7" t="str">
        <f aca="false">'03 MASTER RATE LIBRARY'!U126</f>
        <v>Market-derived + assumptions</v>
      </c>
      <c r="J126" s="54" t="n">
        <v>598.2</v>
      </c>
      <c r="K126" s="1" t="s">
        <v>2912</v>
      </c>
      <c r="L126" s="55" t="n">
        <v>0.0856668595281305</v>
      </c>
      <c r="M126" s="1" t="s">
        <v>2917</v>
      </c>
    </row>
    <row r="127" customFormat="false" ht="41.25" hidden="false" customHeight="true" outlineLevel="0" collapsed="false">
      <c r="A127" s="7" t="s">
        <v>2908</v>
      </c>
      <c r="B127" s="7" t="s">
        <v>651</v>
      </c>
      <c r="C127" s="7" t="s">
        <v>653</v>
      </c>
      <c r="D127" s="7" t="s">
        <v>109</v>
      </c>
      <c r="E127" s="7" t="s">
        <v>2909</v>
      </c>
      <c r="F127" s="7" t="s">
        <v>3022</v>
      </c>
      <c r="G127" s="7" t="s">
        <v>2911</v>
      </c>
      <c r="H127" s="53" t="n">
        <f aca="false">'03 MASTER RATE LIBRARY'!S127</f>
        <v>544</v>
      </c>
      <c r="I127" s="7" t="str">
        <f aca="false">'03 MASTER RATE LIBRARY'!U127</f>
        <v>Market-derived + assumptions</v>
      </c>
      <c r="J127" s="54" t="n">
        <v>590.7</v>
      </c>
      <c r="K127" s="1" t="s">
        <v>2912</v>
      </c>
      <c r="L127" s="55" t="n">
        <v>0.0858374749999999</v>
      </c>
      <c r="M127" s="1" t="s">
        <v>2917</v>
      </c>
    </row>
    <row r="128" customFormat="false" ht="41.25" hidden="false" customHeight="true" outlineLevel="0" collapsed="false">
      <c r="A128" s="7" t="s">
        <v>2908</v>
      </c>
      <c r="B128" s="7" t="s">
        <v>654</v>
      </c>
      <c r="C128" s="7" t="s">
        <v>656</v>
      </c>
      <c r="D128" s="7" t="s">
        <v>109</v>
      </c>
      <c r="E128" s="7" t="s">
        <v>2909</v>
      </c>
      <c r="F128" s="7" t="s">
        <v>3023</v>
      </c>
      <c r="G128" s="7" t="s">
        <v>2911</v>
      </c>
      <c r="H128" s="53" t="n">
        <f aca="false">'03 MASTER RATE LIBRARY'!S128</f>
        <v>660</v>
      </c>
      <c r="I128" s="7" t="str">
        <f aca="false">'03 MASTER RATE LIBRARY'!U128</f>
        <v>Market-derived + assumptions</v>
      </c>
      <c r="J128" s="54" t="n">
        <v>677.5</v>
      </c>
      <c r="K128" s="1" t="s">
        <v>2912</v>
      </c>
      <c r="L128" s="55" t="n">
        <v>0.0265221736363637</v>
      </c>
      <c r="M128" s="1" t="s">
        <v>2917</v>
      </c>
    </row>
    <row r="129" customFormat="false" ht="41.25" hidden="false" customHeight="true" outlineLevel="0" collapsed="false">
      <c r="A129" s="7" t="s">
        <v>2908</v>
      </c>
      <c r="B129" s="7" t="s">
        <v>657</v>
      </c>
      <c r="C129" s="7" t="s">
        <v>659</v>
      </c>
      <c r="D129" s="7" t="s">
        <v>109</v>
      </c>
      <c r="E129" s="7" t="s">
        <v>2909</v>
      </c>
      <c r="F129" s="7" t="s">
        <v>3024</v>
      </c>
      <c r="G129" s="7" t="s">
        <v>2911</v>
      </c>
      <c r="H129" s="53" t="n">
        <f aca="false">'03 MASTER RATE LIBRARY'!S129</f>
        <v>471</v>
      </c>
      <c r="I129" s="7" t="str">
        <f aca="false">'03 MASTER RATE LIBRARY'!U129</f>
        <v>Market-derived + assumptions</v>
      </c>
      <c r="J129" s="54" t="n">
        <v>465.67</v>
      </c>
      <c r="K129" s="1" t="s">
        <v>2912</v>
      </c>
      <c r="L129" s="55" t="n">
        <v>-0.0113088152866243</v>
      </c>
      <c r="M129" s="1" t="s">
        <v>2917</v>
      </c>
    </row>
    <row r="130" customFormat="false" ht="27.75" hidden="false" customHeight="true" outlineLevel="0" collapsed="false">
      <c r="A130" s="7" t="s">
        <v>3025</v>
      </c>
      <c r="B130" s="7" t="s">
        <v>704</v>
      </c>
      <c r="C130" s="7" t="s">
        <v>3026</v>
      </c>
      <c r="D130" s="7" t="s">
        <v>709</v>
      </c>
      <c r="E130" s="7" t="s">
        <v>3027</v>
      </c>
      <c r="F130" s="7" t="s">
        <v>2052</v>
      </c>
      <c r="G130" s="7" t="s">
        <v>3028</v>
      </c>
      <c r="H130" s="53" t="n">
        <f aca="false">'03 MASTER RATE LIBRARY'!S141</f>
        <v>590000</v>
      </c>
      <c r="I130" s="7" t="str">
        <f aca="false">'03 MASTER RATE LIBRARY'!U141</f>
        <v>Market-derived + assumptions</v>
      </c>
    </row>
    <row r="131" customFormat="false" ht="27.75" hidden="false" customHeight="true" outlineLevel="0" collapsed="false">
      <c r="A131" s="7" t="s">
        <v>3025</v>
      </c>
      <c r="B131" s="7" t="s">
        <v>711</v>
      </c>
      <c r="C131" s="7" t="s">
        <v>3029</v>
      </c>
      <c r="D131" s="7" t="s">
        <v>709</v>
      </c>
      <c r="E131" s="7" t="s">
        <v>3027</v>
      </c>
      <c r="F131" s="7" t="s">
        <v>2052</v>
      </c>
      <c r="G131" s="7" t="s">
        <v>3028</v>
      </c>
      <c r="H131" s="53" t="n">
        <f aca="false">'03 MASTER RATE LIBRARY'!S142</f>
        <v>1770000</v>
      </c>
      <c r="I131" s="7" t="str">
        <f aca="false">'03 MASTER RATE LIBRARY'!U142</f>
        <v>Market-derived + assumptions</v>
      </c>
    </row>
    <row r="132" customFormat="false" ht="27.75" hidden="false" customHeight="true" outlineLevel="0" collapsed="false">
      <c r="A132" s="7" t="s">
        <v>3025</v>
      </c>
      <c r="B132" s="7" t="s">
        <v>714</v>
      </c>
      <c r="C132" s="7" t="s">
        <v>3030</v>
      </c>
      <c r="D132" s="7" t="s">
        <v>717</v>
      </c>
      <c r="E132" s="7" t="s">
        <v>3027</v>
      </c>
      <c r="F132" s="7" t="s">
        <v>2052</v>
      </c>
      <c r="G132" s="7" t="s">
        <v>3028</v>
      </c>
      <c r="H132" s="53" t="n">
        <f aca="false">'03 MASTER RATE LIBRARY'!S143</f>
        <v>177000</v>
      </c>
      <c r="I132" s="7" t="str">
        <f aca="false">'03 MASTER RATE LIBRARY'!U143</f>
        <v>Market-derived + assumptions</v>
      </c>
    </row>
    <row r="133" customFormat="false" ht="27.75" hidden="false" customHeight="true" outlineLevel="0" collapsed="false">
      <c r="A133" s="7" t="s">
        <v>3025</v>
      </c>
      <c r="B133" s="7" t="s">
        <v>719</v>
      </c>
      <c r="C133" s="7" t="s">
        <v>3031</v>
      </c>
      <c r="D133" s="7" t="s">
        <v>368</v>
      </c>
      <c r="E133" s="7" t="s">
        <v>3027</v>
      </c>
      <c r="F133" s="7" t="s">
        <v>2052</v>
      </c>
      <c r="G133" s="7" t="s">
        <v>3028</v>
      </c>
      <c r="H133" s="53" t="n">
        <f aca="false">'03 MASTER RATE LIBRARY'!S144</f>
        <v>5310</v>
      </c>
      <c r="I133" s="7" t="str">
        <f aca="false">'03 MASTER RATE LIBRARY'!U144</f>
        <v>Market-derived + assumptions</v>
      </c>
    </row>
    <row r="134" customFormat="false" ht="27.75" hidden="false" customHeight="true" outlineLevel="0" collapsed="false">
      <c r="A134" s="7" t="s">
        <v>3025</v>
      </c>
      <c r="B134" s="7" t="s">
        <v>722</v>
      </c>
      <c r="C134" s="7" t="s">
        <v>3032</v>
      </c>
      <c r="D134" s="7" t="s">
        <v>212</v>
      </c>
      <c r="E134" s="7" t="s">
        <v>3027</v>
      </c>
      <c r="F134" s="7" t="s">
        <v>2052</v>
      </c>
      <c r="G134" s="7" t="s">
        <v>3028</v>
      </c>
      <c r="H134" s="53" t="n">
        <f aca="false">'03 MASTER RATE LIBRARY'!S145</f>
        <v>7</v>
      </c>
      <c r="I134" s="7" t="str">
        <f aca="false">'03 MASTER RATE LIBRARY'!U145</f>
        <v>Market-derived + assumptions</v>
      </c>
    </row>
    <row r="135" customFormat="false" ht="27.75" hidden="false" customHeight="true" outlineLevel="0" collapsed="false">
      <c r="A135" s="7" t="s">
        <v>3025</v>
      </c>
      <c r="B135" s="7" t="s">
        <v>660</v>
      </c>
      <c r="C135" s="7" t="s">
        <v>3033</v>
      </c>
      <c r="D135" s="7" t="s">
        <v>109</v>
      </c>
      <c r="E135" s="7" t="s">
        <v>3027</v>
      </c>
      <c r="F135" s="7" t="s">
        <v>2052</v>
      </c>
      <c r="G135" s="7" t="s">
        <v>3034</v>
      </c>
      <c r="H135" s="53" t="n">
        <f aca="false">'03 MASTER RATE LIBRARY'!S130</f>
        <v>72</v>
      </c>
      <c r="I135" s="7" t="str">
        <f aca="false">'03 MASTER RATE LIBRARY'!U130</f>
        <v>Market-derived + assumptions</v>
      </c>
    </row>
    <row r="136" customFormat="false" ht="27.75" hidden="false" customHeight="true" outlineLevel="0" collapsed="false">
      <c r="A136" s="7" t="s">
        <v>3025</v>
      </c>
      <c r="B136" s="7" t="s">
        <v>3035</v>
      </c>
      <c r="C136" s="7" t="s">
        <v>3036</v>
      </c>
      <c r="D136" s="7" t="s">
        <v>109</v>
      </c>
      <c r="E136" s="7" t="s">
        <v>3027</v>
      </c>
      <c r="F136" s="7" t="s">
        <v>2052</v>
      </c>
      <c r="G136" s="7" t="s">
        <v>3034</v>
      </c>
      <c r="H136" s="53" t="n">
        <f aca="false">'03 MASTER RATE LIBRARY'!S131</f>
        <v>21</v>
      </c>
      <c r="I136" s="7" t="str">
        <f aca="false">'03 MASTER RATE LIBRARY'!U131</f>
        <v>Market-derived + assumptions</v>
      </c>
    </row>
    <row r="137" customFormat="false" ht="27.75" hidden="false" customHeight="true" outlineLevel="0" collapsed="false">
      <c r="A137" s="7" t="s">
        <v>3025</v>
      </c>
      <c r="B137" s="7" t="s">
        <v>681</v>
      </c>
      <c r="C137" s="7" t="s">
        <v>3037</v>
      </c>
      <c r="D137" s="7" t="s">
        <v>212</v>
      </c>
      <c r="E137" s="7" t="s">
        <v>3027</v>
      </c>
      <c r="F137" s="7" t="s">
        <v>2052</v>
      </c>
      <c r="G137" s="7" t="s">
        <v>3034</v>
      </c>
      <c r="H137" s="53" t="n">
        <f aca="false">'03 MASTER RATE LIBRARY'!S136</f>
        <v>8</v>
      </c>
      <c r="I137" s="7" t="str">
        <f aca="false">'03 MASTER RATE LIBRARY'!U136</f>
        <v>Market-derived + assumptions</v>
      </c>
    </row>
    <row r="138" customFormat="false" ht="27.75" hidden="false" customHeight="true" outlineLevel="0" collapsed="false">
      <c r="A138" s="7" t="s">
        <v>3025</v>
      </c>
      <c r="B138" s="7" t="s">
        <v>684</v>
      </c>
      <c r="C138" s="7" t="s">
        <v>3038</v>
      </c>
      <c r="D138" s="7" t="s">
        <v>212</v>
      </c>
      <c r="E138" s="7" t="s">
        <v>3027</v>
      </c>
      <c r="F138" s="7" t="s">
        <v>2052</v>
      </c>
      <c r="G138" s="7" t="s">
        <v>3034</v>
      </c>
      <c r="H138" s="53" t="n">
        <f aca="false">'03 MASTER RATE LIBRARY'!S137</f>
        <v>14</v>
      </c>
      <c r="I138" s="7" t="str">
        <f aca="false">'03 MASTER RATE LIBRARY'!U137</f>
        <v>Market-derived + assumptions</v>
      </c>
    </row>
    <row r="139" customFormat="false" ht="27.75" hidden="false" customHeight="true" outlineLevel="0" collapsed="false">
      <c r="A139" s="7" t="s">
        <v>3025</v>
      </c>
      <c r="B139" s="7" t="s">
        <v>725</v>
      </c>
      <c r="C139" s="7" t="s">
        <v>3039</v>
      </c>
      <c r="D139" s="7" t="s">
        <v>212</v>
      </c>
      <c r="E139" s="7" t="s">
        <v>3027</v>
      </c>
      <c r="F139" s="7" t="s">
        <v>2052</v>
      </c>
      <c r="G139" s="7" t="s">
        <v>3028</v>
      </c>
      <c r="H139" s="53" t="n">
        <f aca="false">'03 MASTER RATE LIBRARY'!S146</f>
        <v>312</v>
      </c>
      <c r="I139" s="7" t="str">
        <f aca="false">'03 MASTER RATE LIBRARY'!U146</f>
        <v>Market-derived + assumptions</v>
      </c>
    </row>
    <row r="140" customFormat="false" ht="27.75" hidden="false" customHeight="true" outlineLevel="0" collapsed="false">
      <c r="A140" s="7" t="s">
        <v>3025</v>
      </c>
      <c r="B140" s="7" t="s">
        <v>729</v>
      </c>
      <c r="C140" s="7" t="s">
        <v>3040</v>
      </c>
      <c r="D140" s="7" t="s">
        <v>212</v>
      </c>
      <c r="E140" s="7" t="s">
        <v>3027</v>
      </c>
      <c r="F140" s="7" t="s">
        <v>2052</v>
      </c>
      <c r="G140" s="7" t="s">
        <v>3028</v>
      </c>
      <c r="H140" s="53" t="n">
        <f aca="false">'03 MASTER RATE LIBRARY'!S147</f>
        <v>531</v>
      </c>
      <c r="I140" s="7" t="str">
        <f aca="false">'03 MASTER RATE LIBRARY'!U147</f>
        <v>Market-derived + assumptions</v>
      </c>
    </row>
    <row r="141" customFormat="false" ht="27.75" hidden="false" customHeight="true" outlineLevel="0" collapsed="false">
      <c r="A141" s="7" t="s">
        <v>3025</v>
      </c>
      <c r="B141" s="7" t="s">
        <v>732</v>
      </c>
      <c r="C141" s="7" t="s">
        <v>3041</v>
      </c>
      <c r="D141" s="7" t="s">
        <v>368</v>
      </c>
      <c r="E141" s="7" t="s">
        <v>3027</v>
      </c>
      <c r="F141" s="7" t="s">
        <v>2052</v>
      </c>
      <c r="G141" s="7" t="s">
        <v>3028</v>
      </c>
      <c r="H141" s="53" t="n">
        <f aca="false">'03 MASTER RATE LIBRARY'!S148</f>
        <v>7670</v>
      </c>
      <c r="I141" s="7" t="str">
        <f aca="false">'03 MASTER RATE LIBRARY'!U148</f>
        <v>Market-derived + assumptions</v>
      </c>
    </row>
    <row r="142" customFormat="false" ht="27.75" hidden="false" customHeight="true" outlineLevel="0" collapsed="false">
      <c r="A142" s="7" t="s">
        <v>3025</v>
      </c>
      <c r="B142" s="7" t="s">
        <v>735</v>
      </c>
      <c r="C142" s="7" t="s">
        <v>3042</v>
      </c>
      <c r="D142" s="7" t="s">
        <v>212</v>
      </c>
      <c r="E142" s="7" t="s">
        <v>3027</v>
      </c>
      <c r="F142" s="7" t="s">
        <v>2052</v>
      </c>
      <c r="G142" s="7" t="s">
        <v>3028</v>
      </c>
      <c r="H142" s="53" t="n">
        <f aca="false">'03 MASTER RATE LIBRARY'!S149</f>
        <v>413</v>
      </c>
      <c r="I142" s="7" t="str">
        <f aca="false">'03 MASTER RATE LIBRARY'!U149</f>
        <v>Market-derived + assumptions</v>
      </c>
    </row>
    <row r="143" customFormat="false" ht="27.75" hidden="false" customHeight="true" outlineLevel="0" collapsed="false">
      <c r="A143" s="7" t="s">
        <v>3025</v>
      </c>
      <c r="B143" s="7" t="s">
        <v>738</v>
      </c>
      <c r="C143" s="7" t="s">
        <v>739</v>
      </c>
      <c r="D143" s="7" t="s">
        <v>212</v>
      </c>
      <c r="E143" s="7" t="s">
        <v>3027</v>
      </c>
      <c r="F143" s="7" t="s">
        <v>2052</v>
      </c>
      <c r="G143" s="7" t="s">
        <v>3028</v>
      </c>
      <c r="H143" s="53" t="n">
        <f aca="false">'03 MASTER RATE LIBRARY'!S150</f>
        <v>212</v>
      </c>
      <c r="I143" s="7" t="str">
        <f aca="false">'03 MASTER RATE LIBRARY'!U150</f>
        <v>Market-derived + assumptions</v>
      </c>
    </row>
    <row r="144" customFormat="false" ht="27.75" hidden="false" customHeight="true" outlineLevel="0" collapsed="false">
      <c r="A144" s="7" t="s">
        <v>3025</v>
      </c>
      <c r="B144" s="7" t="s">
        <v>741</v>
      </c>
      <c r="C144" s="7" t="s">
        <v>3043</v>
      </c>
      <c r="D144" s="7" t="s">
        <v>212</v>
      </c>
      <c r="E144" s="7" t="s">
        <v>3027</v>
      </c>
      <c r="F144" s="7" t="s">
        <v>2052</v>
      </c>
      <c r="G144" s="7" t="s">
        <v>3028</v>
      </c>
      <c r="H144" s="53" t="n">
        <f aca="false">'03 MASTER RATE LIBRARY'!S151</f>
        <v>1062</v>
      </c>
      <c r="I144" s="7" t="str">
        <f aca="false">'03 MASTER RATE LIBRARY'!U151</f>
        <v>Market-derived + assumptions</v>
      </c>
    </row>
    <row r="145" customFormat="false" ht="27.75" hidden="false" customHeight="true" outlineLevel="0" collapsed="false">
      <c r="A145" s="7" t="s">
        <v>3025</v>
      </c>
      <c r="B145" s="7" t="s">
        <v>744</v>
      </c>
      <c r="C145" s="7" t="s">
        <v>3044</v>
      </c>
      <c r="D145" s="7" t="s">
        <v>368</v>
      </c>
      <c r="E145" s="7" t="s">
        <v>3027</v>
      </c>
      <c r="F145" s="7" t="s">
        <v>2052</v>
      </c>
      <c r="G145" s="7" t="s">
        <v>3028</v>
      </c>
      <c r="H145" s="53" t="n">
        <f aca="false">'03 MASTER RATE LIBRARY'!S152</f>
        <v>141600</v>
      </c>
      <c r="I145" s="7" t="str">
        <f aca="false">'03 MASTER RATE LIBRARY'!U152</f>
        <v>Market-derived + assumptions</v>
      </c>
    </row>
    <row r="146" customFormat="false" ht="27.75" hidden="false" customHeight="true" outlineLevel="0" collapsed="false">
      <c r="A146" s="7" t="s">
        <v>3025</v>
      </c>
      <c r="B146" s="7" t="s">
        <v>747</v>
      </c>
      <c r="C146" s="7" t="s">
        <v>3045</v>
      </c>
      <c r="D146" s="7" t="s">
        <v>212</v>
      </c>
      <c r="E146" s="7" t="s">
        <v>3027</v>
      </c>
      <c r="F146" s="7" t="s">
        <v>2052</v>
      </c>
      <c r="G146" s="7" t="s">
        <v>3028</v>
      </c>
      <c r="H146" s="53" t="n">
        <f aca="false">'03 MASTER RATE LIBRARY'!S153</f>
        <v>1416</v>
      </c>
      <c r="I146" s="7" t="str">
        <f aca="false">'03 MASTER RATE LIBRARY'!U153</f>
        <v>Market-derived + assumptions</v>
      </c>
    </row>
    <row r="147" customFormat="false" ht="27.75" hidden="false" customHeight="true" outlineLevel="0" collapsed="false">
      <c r="A147" s="7" t="s">
        <v>3025</v>
      </c>
      <c r="B147" s="7" t="s">
        <v>750</v>
      </c>
      <c r="C147" s="7" t="s">
        <v>751</v>
      </c>
      <c r="D147" s="7" t="s">
        <v>212</v>
      </c>
      <c r="E147" s="7" t="s">
        <v>3027</v>
      </c>
      <c r="F147" s="7" t="s">
        <v>2052</v>
      </c>
      <c r="G147" s="7" t="s">
        <v>3028</v>
      </c>
      <c r="H147" s="53" t="n">
        <f aca="false">'03 MASTER RATE LIBRARY'!S154</f>
        <v>767</v>
      </c>
      <c r="I147" s="7" t="str">
        <f aca="false">'03 MASTER RATE LIBRARY'!U154</f>
        <v>Market-derived + assumptions</v>
      </c>
    </row>
    <row r="148" customFormat="false" ht="27.75" hidden="false" customHeight="true" outlineLevel="0" collapsed="false">
      <c r="A148" s="7" t="s">
        <v>3025</v>
      </c>
      <c r="B148" s="7" t="s">
        <v>753</v>
      </c>
      <c r="C148" s="7" t="s">
        <v>754</v>
      </c>
      <c r="D148" s="7" t="s">
        <v>212</v>
      </c>
      <c r="E148" s="7" t="s">
        <v>3027</v>
      </c>
      <c r="F148" s="7" t="s">
        <v>2052</v>
      </c>
      <c r="G148" s="7" t="s">
        <v>3028</v>
      </c>
      <c r="H148" s="53" t="n">
        <f aca="false">'03 MASTER RATE LIBRARY'!S155</f>
        <v>4130</v>
      </c>
      <c r="I148" s="7" t="str">
        <f aca="false">'03 MASTER RATE LIBRARY'!U155</f>
        <v>Market-derived + assumptions</v>
      </c>
    </row>
    <row r="149" customFormat="false" ht="27.75" hidden="false" customHeight="true" outlineLevel="0" collapsed="false">
      <c r="A149" s="7" t="s">
        <v>3025</v>
      </c>
      <c r="B149" s="7" t="s">
        <v>756</v>
      </c>
      <c r="C149" s="7" t="s">
        <v>757</v>
      </c>
      <c r="D149" s="7" t="s">
        <v>212</v>
      </c>
      <c r="E149" s="7" t="s">
        <v>3027</v>
      </c>
      <c r="F149" s="7" t="s">
        <v>2052</v>
      </c>
      <c r="G149" s="7" t="s">
        <v>3028</v>
      </c>
      <c r="H149" s="53" t="n">
        <f aca="false">'03 MASTER RATE LIBRARY'!S156</f>
        <v>2950</v>
      </c>
      <c r="I149" s="7" t="str">
        <f aca="false">'03 MASTER RATE LIBRARY'!U156</f>
        <v>Market-derived + assumptions</v>
      </c>
    </row>
    <row r="150" customFormat="false" ht="27.75" hidden="false" customHeight="true" outlineLevel="0" collapsed="false">
      <c r="A150" s="7" t="s">
        <v>3025</v>
      </c>
      <c r="B150" s="7" t="s">
        <v>687</v>
      </c>
      <c r="C150" s="7" t="s">
        <v>3046</v>
      </c>
      <c r="D150" s="7" t="s">
        <v>386</v>
      </c>
      <c r="E150" s="7" t="s">
        <v>3027</v>
      </c>
      <c r="F150" s="7" t="s">
        <v>2052</v>
      </c>
      <c r="G150" s="7" t="s">
        <v>3034</v>
      </c>
      <c r="H150" s="53" t="n">
        <f aca="false">'03 MASTER RATE LIBRARY'!S138</f>
        <v>965</v>
      </c>
      <c r="I150" s="7" t="str">
        <f aca="false">'03 MASTER RATE LIBRARY'!U138</f>
        <v>INCOMPLETE – 4 blank/old input(s)</v>
      </c>
    </row>
    <row r="151" customFormat="false" ht="27.75" hidden="false" customHeight="true" outlineLevel="0" collapsed="false">
      <c r="A151" s="7" t="s">
        <v>3025</v>
      </c>
      <c r="B151" s="7" t="s">
        <v>763</v>
      </c>
      <c r="C151" s="7" t="s">
        <v>3047</v>
      </c>
      <c r="D151" s="7" t="s">
        <v>386</v>
      </c>
      <c r="E151" s="7" t="s">
        <v>3027</v>
      </c>
      <c r="F151" s="7" t="s">
        <v>2052</v>
      </c>
      <c r="G151" s="7" t="s">
        <v>3028</v>
      </c>
      <c r="H151" s="53" t="n">
        <f aca="false">'03 MASTER RATE LIBRARY'!S158</f>
        <v>321</v>
      </c>
      <c r="I151" s="7" t="str">
        <f aca="false">'03 MASTER RATE LIBRARY'!U158</f>
        <v>Market-derived + assumptions</v>
      </c>
    </row>
    <row r="152" customFormat="false" ht="27.75" hidden="false" customHeight="true" outlineLevel="0" collapsed="false">
      <c r="A152" s="7" t="s">
        <v>3025</v>
      </c>
      <c r="B152" s="7" t="s">
        <v>759</v>
      </c>
      <c r="C152" s="7" t="s">
        <v>760</v>
      </c>
      <c r="D152" s="7" t="s">
        <v>368</v>
      </c>
      <c r="E152" s="7" t="s">
        <v>3027</v>
      </c>
      <c r="F152" s="7" t="s">
        <v>2052</v>
      </c>
      <c r="G152" s="7" t="s">
        <v>3028</v>
      </c>
      <c r="H152" s="53" t="n">
        <f aca="false">'03 MASTER RATE LIBRARY'!S157</f>
        <v>34925</v>
      </c>
      <c r="I152" s="7" t="str">
        <f aca="false">'03 MASTER RATE LIBRARY'!U157</f>
        <v>Market-derived + assumptions</v>
      </c>
    </row>
    <row r="153" customFormat="false" ht="27.75" hidden="false" customHeight="true" outlineLevel="0" collapsed="false">
      <c r="A153" s="7" t="s">
        <v>3025</v>
      </c>
      <c r="B153" s="7" t="s">
        <v>693</v>
      </c>
      <c r="C153" s="7" t="s">
        <v>694</v>
      </c>
      <c r="D153" s="7" t="s">
        <v>368</v>
      </c>
      <c r="E153" s="7" t="s">
        <v>3027</v>
      </c>
      <c r="F153" s="7" t="s">
        <v>2052</v>
      </c>
      <c r="G153" s="7" t="s">
        <v>3034</v>
      </c>
      <c r="H153" s="53" t="n">
        <f aca="false">'03 MASTER RATE LIBRARY'!S139</f>
        <v>54573</v>
      </c>
      <c r="I153" s="7" t="str">
        <f aca="false">'03 MASTER RATE LIBRARY'!U139</f>
        <v>INCOMPLETE – 1 blank/old input(s)</v>
      </c>
    </row>
    <row r="154" customFormat="false" ht="27.75" hidden="false" customHeight="true" outlineLevel="0" collapsed="false">
      <c r="A154" s="7" t="s">
        <v>3025</v>
      </c>
      <c r="B154" s="7" t="s">
        <v>770</v>
      </c>
      <c r="C154" s="7" t="s">
        <v>771</v>
      </c>
      <c r="D154" s="7" t="s">
        <v>386</v>
      </c>
      <c r="E154" s="7" t="s">
        <v>3027</v>
      </c>
      <c r="F154" s="7" t="s">
        <v>2052</v>
      </c>
      <c r="G154" s="7" t="s">
        <v>3028</v>
      </c>
      <c r="H154" s="53" t="n">
        <f aca="false">'03 MASTER RATE LIBRARY'!S160</f>
        <v>413</v>
      </c>
      <c r="I154" s="7" t="str">
        <f aca="false">'03 MASTER RATE LIBRARY'!U160</f>
        <v>Market-derived + assumptions</v>
      </c>
    </row>
    <row r="155" customFormat="false" ht="27.75" hidden="false" customHeight="true" outlineLevel="0" collapsed="false">
      <c r="A155" s="7" t="s">
        <v>3025</v>
      </c>
      <c r="B155" s="7" t="s">
        <v>767</v>
      </c>
      <c r="C155" s="7" t="s">
        <v>768</v>
      </c>
      <c r="D155" s="7" t="s">
        <v>368</v>
      </c>
      <c r="E155" s="7" t="s">
        <v>3027</v>
      </c>
      <c r="F155" s="7" t="s">
        <v>2052</v>
      </c>
      <c r="G155" s="7" t="s">
        <v>3028</v>
      </c>
      <c r="H155" s="53" t="n">
        <f aca="false">'03 MASTER RATE LIBRARY'!S159</f>
        <v>100300</v>
      </c>
      <c r="I155" s="7" t="str">
        <f aca="false">'03 MASTER RATE LIBRARY'!U159</f>
        <v>Market-derived + assumptions</v>
      </c>
    </row>
    <row r="156" customFormat="false" ht="27.75" hidden="false" customHeight="true" outlineLevel="0" collapsed="false">
      <c r="A156" s="7" t="s">
        <v>3025</v>
      </c>
      <c r="B156" s="7" t="s">
        <v>783</v>
      </c>
      <c r="C156" s="7" t="s">
        <v>3048</v>
      </c>
      <c r="D156" s="7" t="s">
        <v>368</v>
      </c>
      <c r="E156" s="7" t="s">
        <v>3027</v>
      </c>
      <c r="F156" s="7" t="s">
        <v>2052</v>
      </c>
      <c r="G156" s="7" t="s">
        <v>3028</v>
      </c>
      <c r="H156" s="53" t="n">
        <f aca="false">'03 MASTER RATE LIBRARY'!S164</f>
        <v>2360000</v>
      </c>
      <c r="I156" s="7" t="str">
        <f aca="false">'03 MASTER RATE LIBRARY'!U164</f>
        <v>Market-derived + assumptions</v>
      </c>
    </row>
    <row r="157" customFormat="false" ht="27.75" hidden="false" customHeight="true" outlineLevel="0" collapsed="false">
      <c r="A157" s="7" t="s">
        <v>3025</v>
      </c>
      <c r="B157" s="7" t="s">
        <v>779</v>
      </c>
      <c r="C157" s="7" t="s">
        <v>3049</v>
      </c>
      <c r="D157" s="7" t="s">
        <v>782</v>
      </c>
      <c r="E157" s="7" t="s">
        <v>3027</v>
      </c>
      <c r="F157" s="7" t="s">
        <v>2052</v>
      </c>
      <c r="G157" s="7" t="s">
        <v>3028</v>
      </c>
      <c r="H157" s="53" t="n">
        <f aca="false">'03 MASTER RATE LIBRARY'!S163</f>
        <v>354000</v>
      </c>
      <c r="I157" s="7" t="str">
        <f aca="false">'03 MASTER RATE LIBRARY'!U163</f>
        <v>Market-derived + assumptions</v>
      </c>
    </row>
    <row r="158" customFormat="false" ht="27.75" hidden="false" customHeight="true" outlineLevel="0" collapsed="false">
      <c r="A158" s="7" t="s">
        <v>3025</v>
      </c>
      <c r="B158" s="7" t="s">
        <v>773</v>
      </c>
      <c r="C158" s="7" t="s">
        <v>774</v>
      </c>
      <c r="D158" s="7" t="s">
        <v>368</v>
      </c>
      <c r="E158" s="7" t="s">
        <v>3027</v>
      </c>
      <c r="F158" s="7" t="s">
        <v>2052</v>
      </c>
      <c r="G158" s="7" t="s">
        <v>3028</v>
      </c>
      <c r="H158" s="53" t="n">
        <f aca="false">'03 MASTER RATE LIBRARY'!S161</f>
        <v>25960000</v>
      </c>
      <c r="I158" s="7" t="str">
        <f aca="false">'03 MASTER RATE LIBRARY'!U161</f>
        <v>Market-derived + assumptions</v>
      </c>
    </row>
    <row r="159" customFormat="false" ht="27.75" hidden="false" customHeight="true" outlineLevel="0" collapsed="false">
      <c r="A159" s="7" t="s">
        <v>3025</v>
      </c>
      <c r="B159" s="7" t="s">
        <v>776</v>
      </c>
      <c r="C159" s="7" t="s">
        <v>777</v>
      </c>
      <c r="D159" s="7" t="s">
        <v>212</v>
      </c>
      <c r="E159" s="7" t="s">
        <v>3027</v>
      </c>
      <c r="F159" s="7" t="s">
        <v>2052</v>
      </c>
      <c r="G159" s="7" t="s">
        <v>3028</v>
      </c>
      <c r="H159" s="53" t="n">
        <f aca="false">'03 MASTER RATE LIBRARY'!S162</f>
        <v>94</v>
      </c>
      <c r="I159" s="7" t="str">
        <f aca="false">'03 MASTER RATE LIBRARY'!U162</f>
        <v>Market-derived + assumptions</v>
      </c>
    </row>
    <row r="160" customFormat="false" ht="27.75" hidden="false" customHeight="true" outlineLevel="0" collapsed="false">
      <c r="A160" s="7" t="s">
        <v>3025</v>
      </c>
      <c r="B160" s="7" t="s">
        <v>698</v>
      </c>
      <c r="C160" s="7" t="s">
        <v>699</v>
      </c>
      <c r="D160" s="7" t="s">
        <v>212</v>
      </c>
      <c r="E160" s="7" t="s">
        <v>3027</v>
      </c>
      <c r="F160" s="7" t="s">
        <v>2052</v>
      </c>
      <c r="G160" s="7" t="s">
        <v>3034</v>
      </c>
      <c r="H160" s="53" t="n">
        <f aca="false">'03 MASTER RATE LIBRARY'!S140</f>
        <v>2449</v>
      </c>
      <c r="I160" s="7" t="str">
        <f aca="false">'03 MASTER RATE LIBRARY'!U140</f>
        <v>INCOMPLETE – 1 blank/old input(s)</v>
      </c>
    </row>
  </sheetData>
  <autoFilter ref="A4:M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9"/>
    <col collapsed="false" customWidth="true" hidden="false" outlineLevel="0" max="7" min="7" style="0" width="7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60"/>
    <col collapsed="false" customWidth="true" hidden="false" outlineLevel="0" max="14" min="14" style="0" width="16"/>
  </cols>
  <sheetData>
    <row r="1" customFormat="false" ht="16.15" hidden="false" customHeight="false" outlineLevel="0" collapsed="false">
      <c r="A1" s="56" t="s">
        <v>3050</v>
      </c>
    </row>
    <row r="2" customFormat="false" ht="15" hidden="false" customHeight="false" outlineLevel="0" collapsed="false">
      <c r="A2" s="0" t="s">
        <v>3051</v>
      </c>
    </row>
    <row r="4" customFormat="false" ht="68.65" hidden="false" customHeight="false" outlineLevel="0" collapsed="false">
      <c r="A4" s="52" t="s">
        <v>2898</v>
      </c>
      <c r="B4" s="52" t="s">
        <v>3052</v>
      </c>
      <c r="C4" s="52" t="s">
        <v>3053</v>
      </c>
      <c r="D4" s="52" t="s">
        <v>3054</v>
      </c>
      <c r="E4" s="52" t="s">
        <v>3055</v>
      </c>
      <c r="F4" s="52" t="s">
        <v>3056</v>
      </c>
      <c r="G4" s="52" t="s">
        <v>3057</v>
      </c>
      <c r="H4" s="52" t="s">
        <v>3058</v>
      </c>
      <c r="I4" s="52" t="s">
        <v>3059</v>
      </c>
      <c r="J4" s="52" t="s">
        <v>3060</v>
      </c>
      <c r="K4" s="52" t="s">
        <v>3061</v>
      </c>
      <c r="L4" s="52" t="s">
        <v>3062</v>
      </c>
      <c r="M4" s="52" t="s">
        <v>3063</v>
      </c>
      <c r="N4" s="52" t="s">
        <v>2747</v>
      </c>
    </row>
    <row r="5" customFormat="false" ht="15" hidden="false" customHeight="false" outlineLevel="0" collapsed="false">
      <c r="A5" s="0" t="s">
        <v>103</v>
      </c>
      <c r="B5" s="0" t="s">
        <v>2912</v>
      </c>
      <c r="C5" s="0" t="s">
        <v>2912</v>
      </c>
      <c r="D5" s="0" t="s">
        <v>3064</v>
      </c>
      <c r="E5" s="0" t="n">
        <v>11</v>
      </c>
      <c r="F5" s="0" t="n">
        <v>11</v>
      </c>
      <c r="G5" s="0" t="s">
        <v>3064</v>
      </c>
      <c r="H5" s="54" t="n">
        <v>993.898457829118</v>
      </c>
      <c r="I5" s="54" t="n">
        <v>1172.80018023836</v>
      </c>
      <c r="J5" s="54" t="n">
        <v>1172.80017929922</v>
      </c>
      <c r="K5" s="54" t="n">
        <v>-9.39136725719436E-007</v>
      </c>
      <c r="L5" s="54" t="n">
        <v>1173</v>
      </c>
      <c r="M5" s="0" t="s">
        <v>3065</v>
      </c>
      <c r="N5" s="57" t="s">
        <v>3066</v>
      </c>
    </row>
    <row r="6" customFormat="false" ht="15" hidden="false" customHeight="false" outlineLevel="0" collapsed="false">
      <c r="A6" s="0" t="s">
        <v>116</v>
      </c>
      <c r="B6" s="0" t="s">
        <v>2912</v>
      </c>
      <c r="C6" s="0" t="s">
        <v>2912</v>
      </c>
      <c r="D6" s="0" t="s">
        <v>3064</v>
      </c>
      <c r="E6" s="0" t="n">
        <v>10</v>
      </c>
      <c r="F6" s="0" t="n">
        <v>10</v>
      </c>
      <c r="G6" s="0" t="s">
        <v>3064</v>
      </c>
      <c r="H6" s="54" t="n">
        <v>673.326321780447</v>
      </c>
      <c r="I6" s="54" t="n">
        <v>794.525059700927</v>
      </c>
      <c r="J6" s="54" t="n">
        <v>794.525052674232</v>
      </c>
      <c r="K6" s="54" t="n">
        <v>-7.02669524343946E-006</v>
      </c>
      <c r="L6" s="54" t="n">
        <v>795</v>
      </c>
      <c r="M6" s="0" t="s">
        <v>3067</v>
      </c>
      <c r="N6" s="57" t="s">
        <v>3066</v>
      </c>
    </row>
    <row r="7" customFormat="false" ht="15" hidden="false" customHeight="false" outlineLevel="0" collapsed="false">
      <c r="A7" s="0" t="s">
        <v>122</v>
      </c>
      <c r="B7" s="0" t="s">
        <v>2912</v>
      </c>
      <c r="C7" s="0" t="s">
        <v>2912</v>
      </c>
      <c r="D7" s="0" t="s">
        <v>3064</v>
      </c>
      <c r="E7" s="0" t="n">
        <v>11</v>
      </c>
      <c r="F7" s="0" t="n">
        <v>11</v>
      </c>
      <c r="G7" s="0" t="s">
        <v>3064</v>
      </c>
      <c r="H7" s="54" t="n">
        <v>966.88545552215</v>
      </c>
      <c r="I7" s="54" t="n">
        <v>1140.92483751614</v>
      </c>
      <c r="J7" s="54" t="n">
        <v>1140.92483691949</v>
      </c>
      <c r="K7" s="54" t="n">
        <v>-5.96646486883401E-007</v>
      </c>
      <c r="L7" s="54" t="n">
        <v>1141</v>
      </c>
      <c r="M7" s="0" t="s">
        <v>3068</v>
      </c>
      <c r="N7" s="57" t="s">
        <v>3066</v>
      </c>
    </row>
    <row r="8" customFormat="false" ht="15" hidden="false" customHeight="false" outlineLevel="0" collapsed="false">
      <c r="A8" s="0" t="s">
        <v>127</v>
      </c>
      <c r="B8" s="0" t="s">
        <v>2912</v>
      </c>
      <c r="C8" s="0" t="s">
        <v>2912</v>
      </c>
      <c r="D8" s="0" t="s">
        <v>3064</v>
      </c>
      <c r="E8" s="0" t="n">
        <v>10</v>
      </c>
      <c r="F8" s="0" t="n">
        <v>10</v>
      </c>
      <c r="G8" s="0" t="s">
        <v>3064</v>
      </c>
      <c r="H8" s="54" t="n">
        <v>620.543694834723</v>
      </c>
      <c r="I8" s="54" t="n">
        <v>732.241559904973</v>
      </c>
      <c r="J8" s="54" t="n">
        <v>732.241550058672</v>
      </c>
      <c r="K8" s="54" t="n">
        <v>-9.84630082712101E-006</v>
      </c>
      <c r="L8" s="54" t="n">
        <v>732</v>
      </c>
      <c r="M8" s="0" t="s">
        <v>3069</v>
      </c>
      <c r="N8" s="57" t="s">
        <v>3066</v>
      </c>
    </row>
    <row r="9" customFormat="false" ht="15" hidden="false" customHeight="false" outlineLevel="0" collapsed="false">
      <c r="A9" s="0" t="s">
        <v>132</v>
      </c>
      <c r="B9" s="0" t="s">
        <v>2912</v>
      </c>
      <c r="C9" s="0" t="s">
        <v>2912</v>
      </c>
      <c r="D9" s="0" t="s">
        <v>3064</v>
      </c>
      <c r="E9" s="0" t="n">
        <v>11</v>
      </c>
      <c r="F9" s="0" t="n">
        <v>11</v>
      </c>
      <c r="G9" s="0" t="s">
        <v>3064</v>
      </c>
      <c r="H9" s="54" t="n">
        <v>909.14167392626</v>
      </c>
      <c r="I9" s="54" t="n">
        <v>1072.78717523299</v>
      </c>
      <c r="J9" s="54" t="n">
        <v>1072.78716638488</v>
      </c>
      <c r="K9" s="54" t="n">
        <v>-8.84811515788897E-006</v>
      </c>
      <c r="L9" s="54" t="n">
        <v>1073</v>
      </c>
      <c r="M9" s="0" t="s">
        <v>3068</v>
      </c>
      <c r="N9" s="57" t="s">
        <v>3066</v>
      </c>
    </row>
    <row r="10" customFormat="false" ht="15" hidden="false" customHeight="false" outlineLevel="0" collapsed="false">
      <c r="A10" s="0" t="s">
        <v>137</v>
      </c>
      <c r="B10" s="0" t="s">
        <v>2912</v>
      </c>
      <c r="C10" s="0" t="s">
        <v>2912</v>
      </c>
      <c r="D10" s="0" t="s">
        <v>3064</v>
      </c>
      <c r="E10" s="0" t="n">
        <v>11</v>
      </c>
      <c r="F10" s="0" t="n">
        <v>11</v>
      </c>
      <c r="G10" s="0" t="s">
        <v>3064</v>
      </c>
      <c r="H10" s="54" t="n">
        <v>888.660235444029</v>
      </c>
      <c r="I10" s="54" t="n">
        <v>1048.61907782395</v>
      </c>
      <c r="J10" s="54" t="n">
        <v>1048.61908146552</v>
      </c>
      <c r="K10" s="54" t="n">
        <v>3.64156835530594E-006</v>
      </c>
      <c r="L10" s="54" t="n">
        <v>1049</v>
      </c>
      <c r="M10" s="0" t="s">
        <v>3068</v>
      </c>
      <c r="N10" s="57" t="s">
        <v>3066</v>
      </c>
    </row>
    <row r="11" customFormat="false" ht="15" hidden="false" customHeight="false" outlineLevel="0" collapsed="false">
      <c r="A11" s="0" t="s">
        <v>142</v>
      </c>
      <c r="B11" s="0" t="s">
        <v>2912</v>
      </c>
      <c r="C11" s="0" t="s">
        <v>2912</v>
      </c>
      <c r="D11" s="0" t="s">
        <v>3064</v>
      </c>
      <c r="E11" s="0" t="n">
        <v>9</v>
      </c>
      <c r="F11" s="0" t="n">
        <v>9</v>
      </c>
      <c r="G11" s="0" t="s">
        <v>3064</v>
      </c>
      <c r="H11" s="54" t="n">
        <v>667.093243018714</v>
      </c>
      <c r="I11" s="54" t="n">
        <v>787.170026762082</v>
      </c>
      <c r="J11" s="54" t="n">
        <v>787.170028882974</v>
      </c>
      <c r="K11" s="54" t="n">
        <v>2.1208923044469E-006</v>
      </c>
      <c r="L11" s="54" t="n">
        <v>787</v>
      </c>
      <c r="M11" s="0" t="s">
        <v>3067</v>
      </c>
      <c r="N11" s="57" t="s">
        <v>3066</v>
      </c>
    </row>
    <row r="12" customFormat="false" ht="15" hidden="false" customHeight="false" outlineLevel="0" collapsed="false">
      <c r="A12" s="0" t="s">
        <v>147</v>
      </c>
      <c r="B12" s="0" t="s">
        <v>2912</v>
      </c>
      <c r="C12" s="0" t="s">
        <v>2912</v>
      </c>
      <c r="D12" s="0" t="s">
        <v>3064</v>
      </c>
      <c r="E12" s="0" t="n">
        <v>12</v>
      </c>
      <c r="F12" s="0" t="n">
        <v>12</v>
      </c>
      <c r="G12" s="0" t="s">
        <v>3064</v>
      </c>
      <c r="H12" s="54" t="n">
        <v>819.837818707265</v>
      </c>
      <c r="I12" s="54" t="n">
        <v>967.408626074573</v>
      </c>
      <c r="J12" s="54" t="n">
        <v>967.408629254596</v>
      </c>
      <c r="K12" s="54" t="n">
        <v>3.18002287258423E-006</v>
      </c>
      <c r="L12" s="54" t="n">
        <v>967</v>
      </c>
      <c r="M12" s="0" t="s">
        <v>3068</v>
      </c>
      <c r="N12" s="57" t="s">
        <v>3066</v>
      </c>
    </row>
    <row r="13" customFormat="false" ht="15" hidden="false" customHeight="false" outlineLevel="0" collapsed="false">
      <c r="A13" s="0" t="s">
        <v>151</v>
      </c>
      <c r="B13" s="0" t="s">
        <v>2912</v>
      </c>
      <c r="C13" s="0" t="s">
        <v>2912</v>
      </c>
      <c r="D13" s="0" t="s">
        <v>3064</v>
      </c>
      <c r="E13" s="0" t="n">
        <v>12</v>
      </c>
      <c r="F13" s="0" t="n">
        <v>12</v>
      </c>
      <c r="G13" s="0" t="s">
        <v>3064</v>
      </c>
      <c r="H13" s="54" t="n">
        <v>859.328080302488</v>
      </c>
      <c r="I13" s="54" t="n">
        <v>1014.00713475694</v>
      </c>
      <c r="J13" s="54" t="n">
        <v>1014.00714046093</v>
      </c>
      <c r="K13" s="54" t="n">
        <v>5.70398822219431E-006</v>
      </c>
      <c r="L13" s="54" t="n">
        <v>1014</v>
      </c>
      <c r="M13" s="0" t="s">
        <v>3068</v>
      </c>
      <c r="N13" s="57" t="s">
        <v>3066</v>
      </c>
    </row>
    <row r="14" customFormat="false" ht="15" hidden="false" customHeight="false" outlineLevel="0" collapsed="false">
      <c r="A14" s="0" t="s">
        <v>154</v>
      </c>
      <c r="B14" s="0" t="s">
        <v>2912</v>
      </c>
      <c r="C14" s="0" t="s">
        <v>2912</v>
      </c>
      <c r="D14" s="0" t="s">
        <v>3064</v>
      </c>
      <c r="E14" s="0" t="n">
        <v>12</v>
      </c>
      <c r="F14" s="0" t="n">
        <v>12</v>
      </c>
      <c r="G14" s="0" t="s">
        <v>3064</v>
      </c>
      <c r="H14" s="54" t="n">
        <v>959.590891472545</v>
      </c>
      <c r="I14" s="54" t="n">
        <v>1132.3172519376</v>
      </c>
      <c r="J14" s="54" t="n">
        <v>1132.31724309071</v>
      </c>
      <c r="K14" s="54" t="n">
        <v>-8.84688779478893E-006</v>
      </c>
      <c r="L14" s="54" t="n">
        <v>1132</v>
      </c>
      <c r="M14" s="0" t="s">
        <v>3068</v>
      </c>
      <c r="N14" s="57" t="s">
        <v>3066</v>
      </c>
    </row>
    <row r="15" customFormat="false" ht="15" hidden="false" customHeight="false" outlineLevel="0" collapsed="false">
      <c r="A15" s="0" t="s">
        <v>157</v>
      </c>
      <c r="B15" s="0" t="s">
        <v>2912</v>
      </c>
      <c r="C15" s="0" t="s">
        <v>2912</v>
      </c>
      <c r="D15" s="0" t="s">
        <v>3064</v>
      </c>
      <c r="E15" s="0" t="n">
        <v>12</v>
      </c>
      <c r="F15" s="0" t="n">
        <v>12</v>
      </c>
      <c r="G15" s="0" t="s">
        <v>3064</v>
      </c>
      <c r="H15" s="54" t="n">
        <v>780.65511680589</v>
      </c>
      <c r="I15" s="54" t="n">
        <v>921.17303783095</v>
      </c>
      <c r="J15" s="54" t="n">
        <v>921.173036175115</v>
      </c>
      <c r="K15" s="54" t="n">
        <v>-1.6558348079343E-006</v>
      </c>
      <c r="L15" s="54" t="n">
        <v>921</v>
      </c>
      <c r="M15" s="0" t="s">
        <v>3068</v>
      </c>
      <c r="N15" s="57" t="s">
        <v>3066</v>
      </c>
    </row>
    <row r="16" customFormat="false" ht="15" hidden="false" customHeight="false" outlineLevel="0" collapsed="false">
      <c r="A16" s="0" t="s">
        <v>162</v>
      </c>
      <c r="B16" s="0" t="s">
        <v>2912</v>
      </c>
      <c r="C16" s="0" t="s">
        <v>2912</v>
      </c>
      <c r="D16" s="0" t="s">
        <v>3064</v>
      </c>
      <c r="E16" s="0" t="n">
        <v>12</v>
      </c>
      <c r="F16" s="0" t="n">
        <v>12</v>
      </c>
      <c r="G16" s="0" t="s">
        <v>3064</v>
      </c>
      <c r="H16" s="54" t="n">
        <v>870.133582047289</v>
      </c>
      <c r="I16" s="54" t="n">
        <v>1026.7576268158</v>
      </c>
      <c r="J16" s="54" t="n">
        <v>1026.75762068612</v>
      </c>
      <c r="K16" s="54" t="n">
        <v>-6.12968483437726E-006</v>
      </c>
      <c r="L16" s="54" t="n">
        <v>1027</v>
      </c>
      <c r="M16" s="0" t="s">
        <v>3068</v>
      </c>
      <c r="N16" s="57" t="s">
        <v>3066</v>
      </c>
    </row>
    <row r="17" customFormat="false" ht="15" hidden="false" customHeight="false" outlineLevel="0" collapsed="false">
      <c r="A17" s="0" t="s">
        <v>166</v>
      </c>
      <c r="B17" s="0" t="s">
        <v>2912</v>
      </c>
      <c r="C17" s="0" t="s">
        <v>2912</v>
      </c>
      <c r="D17" s="0" t="s">
        <v>3064</v>
      </c>
      <c r="E17" s="0" t="n">
        <v>12</v>
      </c>
      <c r="F17" s="0" t="n">
        <v>12</v>
      </c>
      <c r="G17" s="0" t="s">
        <v>3064</v>
      </c>
      <c r="H17" s="54" t="n">
        <v>907.729900891973</v>
      </c>
      <c r="I17" s="54" t="n">
        <v>1071.12128305253</v>
      </c>
      <c r="J17" s="54" t="n">
        <v>1071.12128041805</v>
      </c>
      <c r="K17" s="54" t="n">
        <v>-2.63448532678012E-006</v>
      </c>
      <c r="L17" s="54" t="n">
        <v>1071</v>
      </c>
      <c r="M17" s="0" t="s">
        <v>3068</v>
      </c>
      <c r="N17" s="57" t="s">
        <v>3066</v>
      </c>
    </row>
    <row r="18" customFormat="false" ht="15" hidden="false" customHeight="false" outlineLevel="0" collapsed="false">
      <c r="A18" s="0" t="s">
        <v>170</v>
      </c>
      <c r="B18" s="0" t="s">
        <v>2912</v>
      </c>
      <c r="C18" s="0" t="s">
        <v>2912</v>
      </c>
      <c r="D18" s="0" t="s">
        <v>3064</v>
      </c>
      <c r="E18" s="0" t="n">
        <v>12</v>
      </c>
      <c r="F18" s="0" t="n">
        <v>12</v>
      </c>
      <c r="G18" s="0" t="s">
        <v>3064</v>
      </c>
      <c r="H18" s="54" t="n">
        <v>948.60533625938</v>
      </c>
      <c r="I18" s="54" t="n">
        <v>1119.35429678607</v>
      </c>
      <c r="J18" s="54" t="n">
        <v>1119.35429238394</v>
      </c>
      <c r="K18" s="54" t="n">
        <v>-4.40213307228987E-006</v>
      </c>
      <c r="L18" s="54" t="n">
        <v>1119</v>
      </c>
      <c r="M18" s="0" t="s">
        <v>3068</v>
      </c>
      <c r="N18" s="57" t="s">
        <v>3066</v>
      </c>
    </row>
    <row r="19" customFormat="false" ht="15" hidden="false" customHeight="false" outlineLevel="0" collapsed="false">
      <c r="A19" s="0" t="s">
        <v>174</v>
      </c>
      <c r="B19" s="0" t="s">
        <v>2912</v>
      </c>
      <c r="C19" s="0" t="s">
        <v>2912</v>
      </c>
      <c r="D19" s="0" t="s">
        <v>3064</v>
      </c>
      <c r="E19" s="0" t="n">
        <v>12</v>
      </c>
      <c r="F19" s="0" t="n">
        <v>12</v>
      </c>
      <c r="G19" s="0" t="s">
        <v>3064</v>
      </c>
      <c r="H19" s="54" t="n">
        <v>961.154592949172</v>
      </c>
      <c r="I19" s="54" t="n">
        <v>1134.16241968002</v>
      </c>
      <c r="J19" s="54" t="n">
        <v>1134.16242821094</v>
      </c>
      <c r="K19" s="54" t="n">
        <v>8.53091682984086E-006</v>
      </c>
      <c r="L19" s="54" t="n">
        <v>1134</v>
      </c>
      <c r="M19" s="0" t="s">
        <v>3068</v>
      </c>
      <c r="N19" s="57" t="s">
        <v>3066</v>
      </c>
    </row>
    <row r="20" customFormat="false" ht="15" hidden="false" customHeight="false" outlineLevel="0" collapsed="false">
      <c r="A20" s="0" t="s">
        <v>179</v>
      </c>
      <c r="B20" s="0" t="s">
        <v>2912</v>
      </c>
      <c r="C20" s="0" t="s">
        <v>2912</v>
      </c>
      <c r="D20" s="0" t="s">
        <v>3064</v>
      </c>
      <c r="E20" s="0" t="n">
        <v>8</v>
      </c>
      <c r="F20" s="0" t="n">
        <v>8</v>
      </c>
      <c r="G20" s="0" t="s">
        <v>3064</v>
      </c>
      <c r="H20" s="54" t="n">
        <v>562.226484615385</v>
      </c>
      <c r="I20" s="54" t="n">
        <v>663.427251846154</v>
      </c>
      <c r="J20" s="54" t="n">
        <v>663.4272596257</v>
      </c>
      <c r="K20" s="54" t="n">
        <v>7.77954551267612E-006</v>
      </c>
      <c r="L20" s="54" t="n">
        <v>663</v>
      </c>
      <c r="M20" s="0" t="s">
        <v>3070</v>
      </c>
      <c r="N20" s="57" t="s">
        <v>3066</v>
      </c>
    </row>
    <row r="21" customFormat="false" ht="15" hidden="false" customHeight="false" outlineLevel="0" collapsed="false">
      <c r="A21" s="0" t="s">
        <v>185</v>
      </c>
      <c r="B21" s="0" t="s">
        <v>2912</v>
      </c>
      <c r="C21" s="0" t="s">
        <v>2912</v>
      </c>
      <c r="D21" s="0" t="s">
        <v>3064</v>
      </c>
      <c r="E21" s="0" t="n">
        <v>8</v>
      </c>
      <c r="F21" s="0" t="n">
        <v>8</v>
      </c>
      <c r="G21" s="0" t="s">
        <v>3064</v>
      </c>
      <c r="H21" s="54" t="n">
        <v>671.3524</v>
      </c>
      <c r="I21" s="54" t="n">
        <v>792.195832</v>
      </c>
      <c r="J21" s="54" t="n">
        <v>792.195832</v>
      </c>
      <c r="K21" s="54" t="n">
        <v>0</v>
      </c>
      <c r="L21" s="54" t="n">
        <v>792</v>
      </c>
      <c r="M21" s="0" t="s">
        <v>3070</v>
      </c>
      <c r="N21" s="57" t="s">
        <v>3066</v>
      </c>
    </row>
    <row r="22" customFormat="false" ht="15" hidden="false" customHeight="false" outlineLevel="0" collapsed="false">
      <c r="A22" s="0" t="s">
        <v>189</v>
      </c>
      <c r="B22" s="0" t="s">
        <v>2912</v>
      </c>
      <c r="C22" s="0" t="s">
        <v>2912</v>
      </c>
      <c r="D22" s="0" t="s">
        <v>3064</v>
      </c>
      <c r="E22" s="0" t="n">
        <v>8</v>
      </c>
      <c r="F22" s="0" t="n">
        <v>8</v>
      </c>
      <c r="G22" s="0" t="s">
        <v>3064</v>
      </c>
      <c r="H22" s="54" t="n">
        <v>740.0476</v>
      </c>
      <c r="I22" s="54" t="n">
        <v>873.256168</v>
      </c>
      <c r="J22" s="54" t="n">
        <v>873.256168</v>
      </c>
      <c r="K22" s="54" t="n">
        <v>-1.13686837721616E-013</v>
      </c>
      <c r="L22" s="54" t="n">
        <v>873</v>
      </c>
      <c r="M22" s="0" t="s">
        <v>3070</v>
      </c>
      <c r="N22" s="57" t="s">
        <v>3066</v>
      </c>
    </row>
    <row r="23" customFormat="false" ht="15" hidden="false" customHeight="false" outlineLevel="0" collapsed="false">
      <c r="A23" s="0" t="s">
        <v>193</v>
      </c>
      <c r="B23" s="0" t="s">
        <v>2930</v>
      </c>
      <c r="C23" s="0" t="s">
        <v>2930</v>
      </c>
      <c r="D23" s="0" t="s">
        <v>3064</v>
      </c>
      <c r="E23" s="0" t="n">
        <v>4</v>
      </c>
      <c r="F23" s="0" t="n">
        <v>4</v>
      </c>
      <c r="G23" s="0" t="s">
        <v>3064</v>
      </c>
      <c r="H23" s="54" t="n">
        <v>263.787777777778</v>
      </c>
      <c r="I23" s="54" t="n">
        <v>311.269577777778</v>
      </c>
      <c r="J23" s="54" t="n">
        <v>311.2695882352</v>
      </c>
      <c r="K23" s="54" t="n">
        <v>1.045742203587E-005</v>
      </c>
      <c r="L23" s="54" t="n">
        <v>311</v>
      </c>
      <c r="M23" s="0" t="s">
        <v>3071</v>
      </c>
      <c r="N23" s="57" t="s">
        <v>3066</v>
      </c>
    </row>
    <row r="24" customFormat="false" ht="15" hidden="false" customHeight="false" outlineLevel="0" collapsed="false">
      <c r="A24" s="0" t="s">
        <v>200</v>
      </c>
      <c r="B24" s="0" t="s">
        <v>2912</v>
      </c>
      <c r="C24" s="0" t="s">
        <v>2912</v>
      </c>
      <c r="D24" s="0" t="s">
        <v>3064</v>
      </c>
      <c r="E24" s="0" t="n">
        <v>5</v>
      </c>
      <c r="F24" s="0" t="n">
        <v>5</v>
      </c>
      <c r="G24" s="0" t="s">
        <v>3064</v>
      </c>
      <c r="H24" s="54" t="n">
        <v>421.2725</v>
      </c>
      <c r="I24" s="54" t="n">
        <v>497.10155</v>
      </c>
      <c r="J24" s="54" t="n">
        <v>497.101542035</v>
      </c>
      <c r="K24" s="54" t="n">
        <v>-7.96500000888045E-006</v>
      </c>
      <c r="L24" s="54" t="n">
        <v>497</v>
      </c>
      <c r="M24" s="0" t="s">
        <v>3072</v>
      </c>
      <c r="N24" s="57" t="s">
        <v>3066</v>
      </c>
    </row>
    <row r="25" customFormat="false" ht="15" hidden="false" customHeight="false" outlineLevel="0" collapsed="false">
      <c r="A25" s="0" t="s">
        <v>206</v>
      </c>
      <c r="B25" s="0" t="s">
        <v>212</v>
      </c>
      <c r="C25" s="0" t="s">
        <v>212</v>
      </c>
      <c r="D25" s="0" t="s">
        <v>3064</v>
      </c>
      <c r="E25" s="0" t="n">
        <v>4</v>
      </c>
      <c r="F25" s="0" t="n">
        <v>4</v>
      </c>
      <c r="G25" s="0" t="s">
        <v>3064</v>
      </c>
      <c r="H25" s="54" t="n">
        <v>57.9556</v>
      </c>
      <c r="I25" s="54" t="n">
        <v>68.387608</v>
      </c>
      <c r="J25" s="54" t="n">
        <v>68.387608</v>
      </c>
      <c r="K25" s="54" t="n">
        <v>0</v>
      </c>
      <c r="L25" s="54" t="n">
        <v>68</v>
      </c>
      <c r="M25" s="0" t="s">
        <v>3073</v>
      </c>
      <c r="N25" s="57" t="s">
        <v>3066</v>
      </c>
    </row>
    <row r="26" customFormat="false" ht="15" hidden="false" customHeight="false" outlineLevel="0" collapsed="false">
      <c r="A26" s="0" t="s">
        <v>214</v>
      </c>
      <c r="B26" s="0" t="s">
        <v>212</v>
      </c>
      <c r="C26" s="0" t="s">
        <v>212</v>
      </c>
      <c r="D26" s="0" t="s">
        <v>3064</v>
      </c>
      <c r="E26" s="0" t="n">
        <v>4</v>
      </c>
      <c r="F26" s="0" t="n">
        <v>4</v>
      </c>
      <c r="G26" s="0" t="s">
        <v>3064</v>
      </c>
      <c r="H26" s="54" t="n">
        <v>71.021</v>
      </c>
      <c r="I26" s="54" t="n">
        <v>83.80478</v>
      </c>
      <c r="J26" s="54" t="n">
        <v>83.804772035</v>
      </c>
      <c r="K26" s="54" t="n">
        <v>-7.9649999946696E-006</v>
      </c>
      <c r="L26" s="54" t="n">
        <v>84</v>
      </c>
      <c r="M26" s="0" t="s">
        <v>3073</v>
      </c>
      <c r="N26" s="57" t="s">
        <v>3066</v>
      </c>
    </row>
    <row r="27" customFormat="false" ht="15" hidden="false" customHeight="false" outlineLevel="0" collapsed="false">
      <c r="A27" s="0" t="s">
        <v>218</v>
      </c>
      <c r="B27" s="0" t="s">
        <v>212</v>
      </c>
      <c r="C27" s="0" t="s">
        <v>212</v>
      </c>
      <c r="D27" s="0" t="s">
        <v>3064</v>
      </c>
      <c r="E27" s="0" t="n">
        <v>7</v>
      </c>
      <c r="F27" s="0" t="n">
        <v>7</v>
      </c>
      <c r="G27" s="0" t="s">
        <v>3064</v>
      </c>
      <c r="H27" s="54" t="n">
        <v>89.95375</v>
      </c>
      <c r="I27" s="54" t="n">
        <v>106.145425</v>
      </c>
      <c r="J27" s="54" t="n">
        <v>106.1454621228</v>
      </c>
      <c r="K27" s="54" t="n">
        <v>3.71228000091151E-005</v>
      </c>
      <c r="L27" s="54" t="n">
        <v>106</v>
      </c>
      <c r="M27" s="0" t="s">
        <v>3074</v>
      </c>
      <c r="N27" s="57" t="s">
        <v>3066</v>
      </c>
    </row>
    <row r="28" customFormat="false" ht="15" hidden="false" customHeight="false" outlineLevel="0" collapsed="false">
      <c r="A28" s="0" t="s">
        <v>224</v>
      </c>
      <c r="B28" s="0" t="s">
        <v>212</v>
      </c>
      <c r="C28" s="0" t="s">
        <v>212</v>
      </c>
      <c r="D28" s="0" t="s">
        <v>3064</v>
      </c>
      <c r="E28" s="0" t="n">
        <v>7</v>
      </c>
      <c r="F28" s="0" t="n">
        <v>7</v>
      </c>
      <c r="G28" s="0" t="s">
        <v>3064</v>
      </c>
      <c r="H28" s="54" t="n">
        <v>106.760416666667</v>
      </c>
      <c r="I28" s="54" t="n">
        <v>125.977291666667</v>
      </c>
      <c r="J28" s="54" t="n">
        <v>125.9773133</v>
      </c>
      <c r="K28" s="54" t="n">
        <v>2.1633333005866E-005</v>
      </c>
      <c r="L28" s="54" t="n">
        <v>126</v>
      </c>
      <c r="M28" s="0" t="s">
        <v>3074</v>
      </c>
      <c r="N28" s="57" t="s">
        <v>3066</v>
      </c>
    </row>
    <row r="29" customFormat="false" ht="15" hidden="false" customHeight="false" outlineLevel="0" collapsed="false">
      <c r="A29" s="0" t="s">
        <v>227</v>
      </c>
      <c r="B29" s="0" t="s">
        <v>212</v>
      </c>
      <c r="C29" s="0" t="s">
        <v>212</v>
      </c>
      <c r="D29" s="0" t="s">
        <v>3064</v>
      </c>
      <c r="E29" s="0" t="n">
        <v>6</v>
      </c>
      <c r="F29" s="0" t="n">
        <v>6</v>
      </c>
      <c r="G29" s="0" t="s">
        <v>3064</v>
      </c>
      <c r="H29" s="54" t="n">
        <v>88.3570833333333</v>
      </c>
      <c r="I29" s="54" t="n">
        <v>104.261358333333</v>
      </c>
      <c r="J29" s="54" t="n">
        <v>104.2613644772</v>
      </c>
      <c r="K29" s="54" t="n">
        <v>6.14386698316594E-006</v>
      </c>
      <c r="L29" s="54" t="n">
        <v>104</v>
      </c>
      <c r="M29" s="0" t="s">
        <v>3075</v>
      </c>
      <c r="N29" s="57" t="s">
        <v>3066</v>
      </c>
    </row>
    <row r="30" customFormat="false" ht="15" hidden="false" customHeight="false" outlineLevel="0" collapsed="false">
      <c r="A30" s="0" t="s">
        <v>230</v>
      </c>
      <c r="B30" s="0" t="s">
        <v>212</v>
      </c>
      <c r="C30" s="0" t="s">
        <v>212</v>
      </c>
      <c r="D30" s="0" t="s">
        <v>3064</v>
      </c>
      <c r="E30" s="0" t="n">
        <v>6</v>
      </c>
      <c r="F30" s="0" t="n">
        <v>6</v>
      </c>
      <c r="G30" s="0" t="s">
        <v>3064</v>
      </c>
      <c r="H30" s="54" t="n">
        <v>87.6727243589744</v>
      </c>
      <c r="I30" s="54" t="n">
        <v>103.45381474359</v>
      </c>
      <c r="J30" s="54" t="n">
        <v>103.4538471004</v>
      </c>
      <c r="K30" s="54" t="n">
        <v>3.23568099958038E-005</v>
      </c>
      <c r="L30" s="54" t="n">
        <v>103</v>
      </c>
      <c r="M30" s="0" t="s">
        <v>3075</v>
      </c>
      <c r="N30" s="57" t="s">
        <v>3066</v>
      </c>
    </row>
    <row r="31" customFormat="false" ht="15" hidden="false" customHeight="false" outlineLevel="0" collapsed="false">
      <c r="A31" s="0" t="s">
        <v>233</v>
      </c>
      <c r="B31" s="0" t="s">
        <v>212</v>
      </c>
      <c r="C31" s="0" t="s">
        <v>212</v>
      </c>
      <c r="D31" s="0" t="s">
        <v>3064</v>
      </c>
      <c r="E31" s="0" t="n">
        <v>5</v>
      </c>
      <c r="F31" s="0" t="n">
        <v>5</v>
      </c>
      <c r="G31" s="0" t="s">
        <v>3064</v>
      </c>
      <c r="H31" s="54" t="n">
        <v>283.673403212943</v>
      </c>
      <c r="I31" s="54" t="n">
        <v>334.734615791273</v>
      </c>
      <c r="J31" s="54" t="n">
        <v>334.734608342</v>
      </c>
      <c r="K31" s="54" t="n">
        <v>-7.44927297091635E-006</v>
      </c>
      <c r="L31" s="54" t="n">
        <v>335</v>
      </c>
      <c r="M31" s="0" t="s">
        <v>3076</v>
      </c>
      <c r="N31" s="57" t="s">
        <v>3066</v>
      </c>
    </row>
    <row r="32" customFormat="false" ht="15" hidden="false" customHeight="false" outlineLevel="0" collapsed="false">
      <c r="A32" s="0" t="s">
        <v>238</v>
      </c>
      <c r="B32" s="0" t="s">
        <v>212</v>
      </c>
      <c r="C32" s="0" t="s">
        <v>212</v>
      </c>
      <c r="D32" s="0" t="s">
        <v>3064</v>
      </c>
      <c r="E32" s="0" t="n">
        <v>5</v>
      </c>
      <c r="F32" s="0" t="n">
        <v>5</v>
      </c>
      <c r="G32" s="0" t="s">
        <v>3064</v>
      </c>
      <c r="H32" s="54" t="n">
        <v>224.138936994417</v>
      </c>
      <c r="I32" s="54" t="n">
        <v>264.483945653412</v>
      </c>
      <c r="J32" s="54" t="n">
        <v>264.4839343792</v>
      </c>
      <c r="K32" s="54" t="n">
        <v>-1.12742119426912E-005</v>
      </c>
      <c r="L32" s="54" t="n">
        <v>264</v>
      </c>
      <c r="M32" s="0" t="s">
        <v>3077</v>
      </c>
      <c r="N32" s="57" t="s">
        <v>3066</v>
      </c>
    </row>
    <row r="33" customFormat="false" ht="15" hidden="false" customHeight="false" outlineLevel="0" collapsed="false">
      <c r="A33" s="0" t="s">
        <v>242</v>
      </c>
      <c r="B33" s="0" t="s">
        <v>212</v>
      </c>
      <c r="C33" s="0" t="s">
        <v>212</v>
      </c>
      <c r="D33" s="0" t="s">
        <v>3064</v>
      </c>
      <c r="E33" s="0" t="n">
        <v>5</v>
      </c>
      <c r="F33" s="0" t="n">
        <v>5</v>
      </c>
      <c r="G33" s="0" t="s">
        <v>3064</v>
      </c>
      <c r="H33" s="54" t="n">
        <v>237.329715061058</v>
      </c>
      <c r="I33" s="54" t="n">
        <v>280.049063772049</v>
      </c>
      <c r="J33" s="54" t="n">
        <v>280.0490801138</v>
      </c>
      <c r="K33" s="54" t="n">
        <v>1.63417510634645E-005</v>
      </c>
      <c r="L33" s="54" t="n">
        <v>280</v>
      </c>
      <c r="M33" s="0" t="s">
        <v>3078</v>
      </c>
      <c r="N33" s="57" t="s">
        <v>3066</v>
      </c>
    </row>
    <row r="34" customFormat="false" ht="15" hidden="false" customHeight="false" outlineLevel="0" collapsed="false">
      <c r="A34" s="0" t="s">
        <v>246</v>
      </c>
      <c r="B34" s="0" t="s">
        <v>212</v>
      </c>
      <c r="C34" s="0" t="s">
        <v>212</v>
      </c>
      <c r="D34" s="0" t="s">
        <v>3064</v>
      </c>
      <c r="E34" s="0" t="n">
        <v>5</v>
      </c>
      <c r="F34" s="0" t="n">
        <v>5</v>
      </c>
      <c r="G34" s="0" t="s">
        <v>3064</v>
      </c>
      <c r="H34" s="54" t="n">
        <v>163.6901875</v>
      </c>
      <c r="I34" s="54" t="n">
        <v>193.15442125</v>
      </c>
      <c r="J34" s="54" t="n">
        <v>193.1544065472</v>
      </c>
      <c r="K34" s="54" t="n">
        <v>-1.47028000299088E-005</v>
      </c>
      <c r="L34" s="54" t="n">
        <v>193</v>
      </c>
      <c r="M34" s="0" t="s">
        <v>3072</v>
      </c>
      <c r="N34" s="57" t="s">
        <v>3066</v>
      </c>
    </row>
    <row r="35" customFormat="false" ht="15" hidden="false" customHeight="false" outlineLevel="0" collapsed="false">
      <c r="A35" s="0" t="s">
        <v>250</v>
      </c>
      <c r="B35" s="0" t="s">
        <v>212</v>
      </c>
      <c r="C35" s="0" t="s">
        <v>212</v>
      </c>
      <c r="D35" s="0" t="s">
        <v>3064</v>
      </c>
      <c r="E35" s="0" t="n">
        <v>4</v>
      </c>
      <c r="F35" s="0" t="n">
        <v>4</v>
      </c>
      <c r="G35" s="0" t="s">
        <v>3064</v>
      </c>
      <c r="H35" s="54" t="n">
        <v>110.860292105263</v>
      </c>
      <c r="I35" s="54" t="n">
        <v>130.815144684211</v>
      </c>
      <c r="J35" s="54" t="n">
        <v>130.8151527492</v>
      </c>
      <c r="K35" s="54" t="n">
        <v>8.06498900374209E-006</v>
      </c>
      <c r="L35" s="54" t="n">
        <v>131</v>
      </c>
      <c r="M35" s="0" t="s">
        <v>3079</v>
      </c>
      <c r="N35" s="57" t="s">
        <v>3066</v>
      </c>
    </row>
    <row r="36" customFormat="false" ht="15" hidden="false" customHeight="false" outlineLevel="0" collapsed="false">
      <c r="A36" s="0" t="s">
        <v>256</v>
      </c>
      <c r="B36" s="0" t="s">
        <v>212</v>
      </c>
      <c r="C36" s="0" t="s">
        <v>212</v>
      </c>
      <c r="D36" s="0" t="s">
        <v>3064</v>
      </c>
      <c r="E36" s="0" t="n">
        <v>4</v>
      </c>
      <c r="F36" s="0" t="n">
        <v>4</v>
      </c>
      <c r="G36" s="0" t="s">
        <v>3064</v>
      </c>
      <c r="H36" s="54" t="n">
        <v>139.7146</v>
      </c>
      <c r="I36" s="54" t="n">
        <v>164.863228</v>
      </c>
      <c r="J36" s="54" t="n">
        <v>164.863228</v>
      </c>
      <c r="K36" s="54" t="n">
        <v>2.8421709430404E-014</v>
      </c>
      <c r="L36" s="54" t="n">
        <v>165</v>
      </c>
      <c r="M36" s="0" t="s">
        <v>3079</v>
      </c>
      <c r="N36" s="57" t="s">
        <v>3066</v>
      </c>
    </row>
    <row r="37" customFormat="false" ht="15" hidden="false" customHeight="false" outlineLevel="0" collapsed="false">
      <c r="A37" s="0" t="s">
        <v>260</v>
      </c>
      <c r="B37" s="0" t="s">
        <v>212</v>
      </c>
      <c r="C37" s="0" t="s">
        <v>212</v>
      </c>
      <c r="D37" s="0" t="s">
        <v>3064</v>
      </c>
      <c r="E37" s="0" t="n">
        <v>4</v>
      </c>
      <c r="F37" s="0" t="n">
        <v>4</v>
      </c>
      <c r="G37" s="0" t="s">
        <v>3064</v>
      </c>
      <c r="H37" s="54" t="n">
        <v>212.311605769231</v>
      </c>
      <c r="I37" s="54" t="n">
        <v>250.527694807692</v>
      </c>
      <c r="J37" s="54" t="n">
        <v>250.5277058652</v>
      </c>
      <c r="K37" s="54" t="n">
        <v>1.10575080043418E-005</v>
      </c>
      <c r="L37" s="54" t="n">
        <v>251</v>
      </c>
      <c r="M37" s="0" t="s">
        <v>3079</v>
      </c>
      <c r="N37" s="57" t="s">
        <v>3066</v>
      </c>
    </row>
    <row r="38" customFormat="false" ht="15" hidden="false" customHeight="false" outlineLevel="0" collapsed="false">
      <c r="A38" s="0" t="s">
        <v>264</v>
      </c>
      <c r="B38" s="0" t="s">
        <v>212</v>
      </c>
      <c r="C38" s="0" t="s">
        <v>212</v>
      </c>
      <c r="D38" s="0" t="s">
        <v>3064</v>
      </c>
      <c r="E38" s="0" t="n">
        <v>6</v>
      </c>
      <c r="F38" s="0" t="n">
        <v>6</v>
      </c>
      <c r="G38" s="0" t="s">
        <v>3064</v>
      </c>
      <c r="H38" s="54" t="n">
        <v>137.557611111111</v>
      </c>
      <c r="I38" s="54" t="n">
        <v>162.317981111111</v>
      </c>
      <c r="J38" s="54" t="n">
        <v>162.3180049104</v>
      </c>
      <c r="K38" s="54" t="n">
        <v>2.37992890106398E-005</v>
      </c>
      <c r="L38" s="54" t="n">
        <v>162</v>
      </c>
      <c r="M38" s="0" t="s">
        <v>3080</v>
      </c>
      <c r="N38" s="57" t="s">
        <v>3066</v>
      </c>
    </row>
    <row r="39" customFormat="false" ht="15" hidden="false" customHeight="false" outlineLevel="0" collapsed="false">
      <c r="A39" s="0" t="s">
        <v>270</v>
      </c>
      <c r="B39" s="0" t="s">
        <v>212</v>
      </c>
      <c r="C39" s="0" t="s">
        <v>212</v>
      </c>
      <c r="D39" s="0" t="s">
        <v>3064</v>
      </c>
      <c r="E39" s="0" t="n">
        <v>3</v>
      </c>
      <c r="F39" s="0" t="n">
        <v>3</v>
      </c>
      <c r="G39" s="0" t="s">
        <v>3064</v>
      </c>
      <c r="H39" s="54" t="n">
        <v>61.81</v>
      </c>
      <c r="I39" s="54" t="n">
        <v>72.9358</v>
      </c>
      <c r="J39" s="54" t="n">
        <v>72.9357852972</v>
      </c>
      <c r="K39" s="54" t="n">
        <v>-1.47028000014871E-005</v>
      </c>
      <c r="L39" s="54" t="n">
        <v>73</v>
      </c>
      <c r="M39" s="0" t="s">
        <v>3081</v>
      </c>
      <c r="N39" s="57" t="s">
        <v>3066</v>
      </c>
    </row>
    <row r="40" customFormat="false" ht="15" hidden="false" customHeight="false" outlineLevel="0" collapsed="false">
      <c r="A40" s="0" t="s">
        <v>274</v>
      </c>
      <c r="B40" s="0" t="s">
        <v>212</v>
      </c>
      <c r="C40" s="0" t="s">
        <v>212</v>
      </c>
      <c r="D40" s="0" t="s">
        <v>3064</v>
      </c>
      <c r="E40" s="0" t="n">
        <v>6</v>
      </c>
      <c r="F40" s="0" t="n">
        <v>6</v>
      </c>
      <c r="G40" s="0" t="s">
        <v>3064</v>
      </c>
      <c r="H40" s="54" t="n">
        <v>122.711</v>
      </c>
      <c r="I40" s="54" t="n">
        <v>144.79898</v>
      </c>
      <c r="J40" s="54" t="n">
        <v>144.79898</v>
      </c>
      <c r="K40" s="54" t="n">
        <v>0</v>
      </c>
      <c r="L40" s="54" t="n">
        <v>145</v>
      </c>
      <c r="M40" s="0" t="s">
        <v>3082</v>
      </c>
      <c r="N40" s="57" t="s">
        <v>3066</v>
      </c>
    </row>
    <row r="41" customFormat="false" ht="15" hidden="false" customHeight="false" outlineLevel="0" collapsed="false">
      <c r="A41" s="0" t="s">
        <v>278</v>
      </c>
      <c r="B41" s="0" t="s">
        <v>212</v>
      </c>
      <c r="C41" s="0" t="s">
        <v>212</v>
      </c>
      <c r="D41" s="0" t="s">
        <v>3064</v>
      </c>
      <c r="E41" s="0" t="n">
        <v>5</v>
      </c>
      <c r="F41" s="0" t="n">
        <v>5</v>
      </c>
      <c r="G41" s="0" t="s">
        <v>3064</v>
      </c>
      <c r="H41" s="54" t="n">
        <v>274.655</v>
      </c>
      <c r="I41" s="54" t="n">
        <v>324.0929</v>
      </c>
      <c r="J41" s="54" t="n">
        <v>324.0928841172</v>
      </c>
      <c r="K41" s="54" t="n">
        <v>-1.5882799971223E-005</v>
      </c>
      <c r="L41" s="54" t="n">
        <v>324</v>
      </c>
      <c r="M41" s="0" t="s">
        <v>3083</v>
      </c>
      <c r="N41" s="57" t="s">
        <v>3066</v>
      </c>
    </row>
    <row r="42" customFormat="false" ht="15" hidden="false" customHeight="false" outlineLevel="0" collapsed="false">
      <c r="A42" s="0" t="s">
        <v>284</v>
      </c>
      <c r="B42" s="0" t="s">
        <v>212</v>
      </c>
      <c r="C42" s="0" t="s">
        <v>212</v>
      </c>
      <c r="D42" s="0" t="s">
        <v>3064</v>
      </c>
      <c r="E42" s="0" t="n">
        <v>5</v>
      </c>
      <c r="F42" s="0" t="n">
        <v>5</v>
      </c>
      <c r="G42" s="0" t="s">
        <v>3064</v>
      </c>
      <c r="H42" s="54" t="n">
        <v>184.775</v>
      </c>
      <c r="I42" s="54" t="n">
        <v>218.0345</v>
      </c>
      <c r="J42" s="54" t="n">
        <v>218.0344841172</v>
      </c>
      <c r="K42" s="54" t="n">
        <v>-1.58828000280664E-005</v>
      </c>
      <c r="L42" s="54" t="n">
        <v>218</v>
      </c>
      <c r="M42" s="0" t="s">
        <v>3084</v>
      </c>
      <c r="N42" s="57" t="s">
        <v>3066</v>
      </c>
    </row>
    <row r="43" customFormat="false" ht="15" hidden="false" customHeight="false" outlineLevel="0" collapsed="false">
      <c r="A43" s="0" t="s">
        <v>287</v>
      </c>
      <c r="B43" s="0" t="s">
        <v>212</v>
      </c>
      <c r="C43" s="0" t="s">
        <v>212</v>
      </c>
      <c r="D43" s="0" t="s">
        <v>3064</v>
      </c>
      <c r="E43" s="0" t="n">
        <v>5</v>
      </c>
      <c r="F43" s="0" t="n">
        <v>5</v>
      </c>
      <c r="G43" s="0" t="s">
        <v>3064</v>
      </c>
      <c r="H43" s="54" t="n">
        <v>187.713333333333</v>
      </c>
      <c r="I43" s="54" t="n">
        <v>221.501733333333</v>
      </c>
      <c r="J43" s="54" t="n">
        <v>221.50173589</v>
      </c>
      <c r="K43" s="54" t="n">
        <v>2.55666702742019E-006</v>
      </c>
      <c r="L43" s="54" t="n">
        <v>222</v>
      </c>
      <c r="M43" s="0" t="s">
        <v>3084</v>
      </c>
      <c r="N43" s="57" t="s">
        <v>3066</v>
      </c>
    </row>
    <row r="44" customFormat="false" ht="15" hidden="false" customHeight="false" outlineLevel="0" collapsed="false">
      <c r="A44" s="0" t="s">
        <v>292</v>
      </c>
      <c r="B44" s="0" t="s">
        <v>212</v>
      </c>
      <c r="C44" s="0" t="s">
        <v>212</v>
      </c>
      <c r="D44" s="0" t="s">
        <v>3064</v>
      </c>
      <c r="E44" s="0" t="n">
        <v>5</v>
      </c>
      <c r="F44" s="0" t="n">
        <v>5</v>
      </c>
      <c r="G44" s="0" t="s">
        <v>3064</v>
      </c>
      <c r="H44" s="54" t="n">
        <v>277.593333333333</v>
      </c>
      <c r="I44" s="54" t="n">
        <v>327.560133333333</v>
      </c>
      <c r="J44" s="54" t="n">
        <v>327.56013589</v>
      </c>
      <c r="K44" s="54" t="n">
        <v>2.55666702742019E-006</v>
      </c>
      <c r="L44" s="54" t="n">
        <v>328</v>
      </c>
      <c r="M44" s="0" t="s">
        <v>3083</v>
      </c>
      <c r="N44" s="57" t="s">
        <v>3066</v>
      </c>
    </row>
    <row r="45" customFormat="false" ht="15" hidden="false" customHeight="false" outlineLevel="0" collapsed="false">
      <c r="A45" s="0" t="s">
        <v>295</v>
      </c>
      <c r="B45" s="0" t="s">
        <v>212</v>
      </c>
      <c r="C45" s="0" t="s">
        <v>212</v>
      </c>
      <c r="D45" s="0" t="s">
        <v>3064</v>
      </c>
      <c r="E45" s="0" t="n">
        <v>5</v>
      </c>
      <c r="F45" s="0" t="n">
        <v>5</v>
      </c>
      <c r="G45" s="0" t="s">
        <v>3064</v>
      </c>
      <c r="H45" s="54" t="n">
        <v>454.7444496</v>
      </c>
      <c r="I45" s="54" t="n">
        <v>536.598450528</v>
      </c>
      <c r="J45" s="54" t="n">
        <v>536.598454245</v>
      </c>
      <c r="K45" s="54" t="n">
        <v>3.71700002688158E-006</v>
      </c>
      <c r="L45" s="54" t="n">
        <v>537</v>
      </c>
      <c r="M45" s="0" t="s">
        <v>3085</v>
      </c>
      <c r="N45" s="57" t="s">
        <v>3066</v>
      </c>
    </row>
    <row r="46" customFormat="false" ht="15" hidden="false" customHeight="false" outlineLevel="0" collapsed="false">
      <c r="A46" s="0" t="s">
        <v>300</v>
      </c>
      <c r="B46" s="0" t="s">
        <v>212</v>
      </c>
      <c r="C46" s="0" t="s">
        <v>212</v>
      </c>
      <c r="D46" s="0" t="s">
        <v>3064</v>
      </c>
      <c r="E46" s="0" t="n">
        <v>5</v>
      </c>
      <c r="F46" s="0" t="n">
        <v>5</v>
      </c>
      <c r="G46" s="0" t="s">
        <v>3064</v>
      </c>
      <c r="H46" s="54" t="n">
        <v>192.5944496</v>
      </c>
      <c r="I46" s="54" t="n">
        <v>227.261450528</v>
      </c>
      <c r="J46" s="54" t="n">
        <v>227.261454245</v>
      </c>
      <c r="K46" s="54" t="n">
        <v>3.71699997003816E-006</v>
      </c>
      <c r="L46" s="54" t="n">
        <v>227</v>
      </c>
      <c r="M46" s="0" t="s">
        <v>3086</v>
      </c>
      <c r="N46" s="57" t="s">
        <v>3066</v>
      </c>
    </row>
    <row r="47" customFormat="false" ht="15" hidden="false" customHeight="false" outlineLevel="0" collapsed="false">
      <c r="A47" s="0" t="s">
        <v>303</v>
      </c>
      <c r="B47" s="0" t="s">
        <v>212</v>
      </c>
      <c r="C47" s="0" t="s">
        <v>212</v>
      </c>
      <c r="D47" s="0" t="s">
        <v>3064</v>
      </c>
      <c r="E47" s="0" t="n">
        <v>3</v>
      </c>
      <c r="F47" s="0" t="n">
        <v>3</v>
      </c>
      <c r="G47" s="0" t="s">
        <v>3064</v>
      </c>
      <c r="H47" s="54" t="n">
        <v>215.686666666667</v>
      </c>
      <c r="I47" s="54" t="n">
        <v>254.510266666667</v>
      </c>
      <c r="J47" s="54" t="n">
        <v>254.5102640628</v>
      </c>
      <c r="K47" s="54" t="n">
        <v>-2.60386698869297E-006</v>
      </c>
      <c r="L47" s="54" t="n">
        <v>255</v>
      </c>
      <c r="M47" s="0" t="s">
        <v>3087</v>
      </c>
      <c r="N47" s="57" t="s">
        <v>3066</v>
      </c>
    </row>
    <row r="48" customFormat="false" ht="15" hidden="false" customHeight="false" outlineLevel="0" collapsed="false">
      <c r="A48" s="0" t="s">
        <v>309</v>
      </c>
      <c r="B48" s="0" t="s">
        <v>212</v>
      </c>
      <c r="C48" s="0" t="s">
        <v>212</v>
      </c>
      <c r="D48" s="0" t="s">
        <v>3064</v>
      </c>
      <c r="E48" s="0" t="n">
        <v>3</v>
      </c>
      <c r="F48" s="0" t="n">
        <v>3</v>
      </c>
      <c r="G48" s="0" t="s">
        <v>3064</v>
      </c>
      <c r="H48" s="54" t="n">
        <v>251.776666666667</v>
      </c>
      <c r="I48" s="54" t="n">
        <v>297.096466666667</v>
      </c>
      <c r="J48" s="54" t="n">
        <v>297.0964640628</v>
      </c>
      <c r="K48" s="54" t="n">
        <v>-2.60386701711468E-006</v>
      </c>
      <c r="L48" s="54" t="n">
        <v>297</v>
      </c>
      <c r="M48" s="0" t="s">
        <v>3088</v>
      </c>
      <c r="N48" s="57" t="s">
        <v>3066</v>
      </c>
    </row>
    <row r="49" customFormat="false" ht="15" hidden="false" customHeight="false" outlineLevel="0" collapsed="false">
      <c r="A49" s="0" t="s">
        <v>312</v>
      </c>
      <c r="B49" s="0" t="s">
        <v>212</v>
      </c>
      <c r="C49" s="0" t="s">
        <v>212</v>
      </c>
      <c r="D49" s="0" t="s">
        <v>3064</v>
      </c>
      <c r="E49" s="0" t="n">
        <v>5</v>
      </c>
      <c r="F49" s="0" t="n">
        <v>5</v>
      </c>
      <c r="G49" s="0" t="s">
        <v>3064</v>
      </c>
      <c r="H49" s="54" t="n">
        <v>49.0596466666667</v>
      </c>
      <c r="I49" s="54" t="n">
        <v>57.8903830666667</v>
      </c>
      <c r="J49" s="54" t="n">
        <v>57.8903852772</v>
      </c>
      <c r="K49" s="54" t="n">
        <v>2.21053329596543E-006</v>
      </c>
      <c r="L49" s="54" t="n">
        <v>58</v>
      </c>
      <c r="M49" s="0" t="s">
        <v>3089</v>
      </c>
      <c r="N49" s="57" t="s">
        <v>3066</v>
      </c>
    </row>
    <row r="50" customFormat="false" ht="15" hidden="false" customHeight="false" outlineLevel="0" collapsed="false">
      <c r="A50" s="0" t="s">
        <v>318</v>
      </c>
      <c r="B50" s="0" t="s">
        <v>212</v>
      </c>
      <c r="C50" s="0" t="s">
        <v>212</v>
      </c>
      <c r="D50" s="0" t="s">
        <v>3064</v>
      </c>
      <c r="E50" s="0" t="n">
        <v>4</v>
      </c>
      <c r="F50" s="0" t="n">
        <v>4</v>
      </c>
      <c r="G50" s="0" t="s">
        <v>3064</v>
      </c>
      <c r="H50" s="54" t="n">
        <v>85.9336442857143</v>
      </c>
      <c r="I50" s="54" t="n">
        <v>101.401700257143</v>
      </c>
      <c r="J50" s="54" t="n">
        <v>101.4016948224</v>
      </c>
      <c r="K50" s="54" t="n">
        <v>-5.43474300229718E-006</v>
      </c>
      <c r="L50" s="54" t="n">
        <v>101</v>
      </c>
      <c r="M50" s="0" t="s">
        <v>3090</v>
      </c>
      <c r="N50" s="57" t="s">
        <v>3066</v>
      </c>
    </row>
    <row r="51" customFormat="false" ht="15" hidden="false" customHeight="false" outlineLevel="0" collapsed="false">
      <c r="A51" s="0" t="s">
        <v>323</v>
      </c>
      <c r="B51" s="0" t="s">
        <v>212</v>
      </c>
      <c r="C51" s="0" t="s">
        <v>212</v>
      </c>
      <c r="D51" s="0" t="s">
        <v>3064</v>
      </c>
      <c r="E51" s="0" t="n">
        <v>3</v>
      </c>
      <c r="F51" s="0" t="n">
        <v>3</v>
      </c>
      <c r="G51" s="0" t="s">
        <v>3064</v>
      </c>
      <c r="H51" s="54" t="n">
        <v>75</v>
      </c>
      <c r="I51" s="54" t="n">
        <v>88.5</v>
      </c>
      <c r="J51" s="54" t="n">
        <v>88.5</v>
      </c>
      <c r="K51" s="54" t="n">
        <v>0</v>
      </c>
      <c r="L51" s="54" t="n">
        <v>89</v>
      </c>
      <c r="M51" s="0" t="s">
        <v>3091</v>
      </c>
      <c r="N51" s="57" t="s">
        <v>3066</v>
      </c>
    </row>
    <row r="52" customFormat="false" ht="15" hidden="false" customHeight="false" outlineLevel="0" collapsed="false">
      <c r="A52" s="0" t="s">
        <v>329</v>
      </c>
      <c r="B52" s="0" t="s">
        <v>2912</v>
      </c>
      <c r="C52" s="0" t="s">
        <v>2912</v>
      </c>
      <c r="D52" s="0" t="s">
        <v>3064</v>
      </c>
      <c r="E52" s="0" t="n">
        <v>2</v>
      </c>
      <c r="F52" s="0" t="n">
        <v>2</v>
      </c>
      <c r="G52" s="0" t="s">
        <v>3064</v>
      </c>
      <c r="H52" s="54" t="n">
        <v>65.5066666666667</v>
      </c>
      <c r="I52" s="54" t="n">
        <v>77.2978666666667</v>
      </c>
      <c r="J52" s="54" t="n">
        <v>77.2978606172</v>
      </c>
      <c r="K52" s="54" t="n">
        <v>-6.04946670534901E-006</v>
      </c>
      <c r="L52" s="54" t="n">
        <v>77</v>
      </c>
      <c r="M52" s="0" t="s">
        <v>3092</v>
      </c>
      <c r="N52" s="57" t="s">
        <v>3066</v>
      </c>
    </row>
    <row r="53" customFormat="false" ht="15" hidden="false" customHeight="false" outlineLevel="0" collapsed="false">
      <c r="A53" s="0" t="s">
        <v>334</v>
      </c>
      <c r="B53" s="0" t="s">
        <v>2912</v>
      </c>
      <c r="C53" s="0" t="s">
        <v>2912</v>
      </c>
      <c r="D53" s="0" t="s">
        <v>3064</v>
      </c>
      <c r="E53" s="0" t="n">
        <v>2</v>
      </c>
      <c r="F53" s="0" t="n">
        <v>2</v>
      </c>
      <c r="G53" s="0" t="s">
        <v>3064</v>
      </c>
      <c r="H53" s="54" t="n">
        <v>9.523</v>
      </c>
      <c r="I53" s="54" t="n">
        <v>11.23714</v>
      </c>
      <c r="J53" s="54" t="n">
        <v>11.23714</v>
      </c>
      <c r="K53" s="54" t="n">
        <v>-1.77635683940025E-015</v>
      </c>
      <c r="L53" s="54" t="n">
        <v>11</v>
      </c>
      <c r="M53" s="0" t="s">
        <v>3093</v>
      </c>
      <c r="N53" s="57" t="s">
        <v>3066</v>
      </c>
    </row>
    <row r="54" customFormat="false" ht="15" hidden="false" customHeight="false" outlineLevel="0" collapsed="false">
      <c r="A54" s="0" t="s">
        <v>339</v>
      </c>
      <c r="B54" s="0" t="s">
        <v>2912</v>
      </c>
      <c r="C54" s="0" t="s">
        <v>2912</v>
      </c>
      <c r="D54" s="0" t="s">
        <v>3064</v>
      </c>
      <c r="E54" s="0" t="n">
        <v>2</v>
      </c>
      <c r="F54" s="0" t="n">
        <v>2</v>
      </c>
      <c r="G54" s="0" t="s">
        <v>3064</v>
      </c>
      <c r="H54" s="54" t="n">
        <v>11.164</v>
      </c>
      <c r="I54" s="54" t="n">
        <v>13.17352</v>
      </c>
      <c r="J54" s="54" t="n">
        <v>13.17352</v>
      </c>
      <c r="K54" s="54" t="n">
        <v>0</v>
      </c>
      <c r="L54" s="54" t="n">
        <v>13</v>
      </c>
      <c r="M54" s="0" t="s">
        <v>3094</v>
      </c>
      <c r="N54" s="57" t="s">
        <v>3066</v>
      </c>
    </row>
    <row r="55" customFormat="false" ht="15" hidden="false" customHeight="false" outlineLevel="0" collapsed="false">
      <c r="A55" s="0" t="s">
        <v>343</v>
      </c>
      <c r="B55" s="0" t="s">
        <v>2912</v>
      </c>
      <c r="C55" s="0" t="s">
        <v>2912</v>
      </c>
      <c r="D55" s="0" t="s">
        <v>3064</v>
      </c>
      <c r="E55" s="0" t="n">
        <v>1</v>
      </c>
      <c r="F55" s="0" t="n">
        <v>1</v>
      </c>
      <c r="G55" s="0" t="s">
        <v>3064</v>
      </c>
      <c r="H55" s="54" t="n">
        <v>19.225</v>
      </c>
      <c r="I55" s="54" t="n">
        <v>22.6855</v>
      </c>
      <c r="J55" s="54" t="n">
        <v>22.6855</v>
      </c>
      <c r="K55" s="54" t="n">
        <v>0</v>
      </c>
      <c r="L55" s="54" t="n">
        <v>23</v>
      </c>
      <c r="M55" s="0" t="s">
        <v>3095</v>
      </c>
      <c r="N55" s="57" t="s">
        <v>3066</v>
      </c>
    </row>
    <row r="56" customFormat="false" ht="15" hidden="false" customHeight="false" outlineLevel="0" collapsed="false">
      <c r="A56" s="0" t="s">
        <v>347</v>
      </c>
      <c r="B56" s="0" t="s">
        <v>2912</v>
      </c>
      <c r="C56" s="0" t="s">
        <v>2912</v>
      </c>
      <c r="D56" s="0" t="s">
        <v>3064</v>
      </c>
      <c r="E56" s="0" t="n">
        <v>3</v>
      </c>
      <c r="F56" s="0" t="n">
        <v>3</v>
      </c>
      <c r="G56" s="0" t="s">
        <v>3064</v>
      </c>
      <c r="H56" s="54" t="n">
        <v>10.8996666666667</v>
      </c>
      <c r="I56" s="54" t="n">
        <v>12.8616066666667</v>
      </c>
      <c r="J56" s="54" t="n">
        <v>12.8616006172</v>
      </c>
      <c r="K56" s="54" t="n">
        <v>-6.04946670001993E-006</v>
      </c>
      <c r="L56" s="54" t="n">
        <v>13</v>
      </c>
      <c r="M56" s="0" t="s">
        <v>3096</v>
      </c>
      <c r="N56" s="57" t="s">
        <v>3066</v>
      </c>
    </row>
    <row r="57" customFormat="false" ht="15" hidden="false" customHeight="false" outlineLevel="0" collapsed="false">
      <c r="A57" s="0" t="s">
        <v>351</v>
      </c>
      <c r="B57" s="0" t="s">
        <v>2912</v>
      </c>
      <c r="C57" s="0" t="s">
        <v>2912</v>
      </c>
      <c r="D57" s="0" t="s">
        <v>3064</v>
      </c>
      <c r="E57" s="0" t="n">
        <v>4</v>
      </c>
      <c r="F57" s="0" t="n">
        <v>4</v>
      </c>
      <c r="G57" s="0" t="s">
        <v>3064</v>
      </c>
      <c r="H57" s="54" t="n">
        <v>71.9325555555556</v>
      </c>
      <c r="I57" s="54" t="n">
        <v>84.8804155555556</v>
      </c>
      <c r="J57" s="54" t="n">
        <v>84.8804074896</v>
      </c>
      <c r="K57" s="54" t="n">
        <v>-8.0659555976581E-006</v>
      </c>
      <c r="L57" s="54" t="n">
        <v>85</v>
      </c>
      <c r="M57" s="0" t="s">
        <v>3097</v>
      </c>
      <c r="N57" s="57" t="s">
        <v>3066</v>
      </c>
    </row>
    <row r="58" customFormat="false" ht="15" hidden="false" customHeight="false" outlineLevel="0" collapsed="false">
      <c r="A58" s="0" t="s">
        <v>355</v>
      </c>
      <c r="B58" s="0" t="s">
        <v>2912</v>
      </c>
      <c r="C58" s="0" t="s">
        <v>2912</v>
      </c>
      <c r="D58" s="0" t="s">
        <v>3064</v>
      </c>
      <c r="E58" s="0" t="n">
        <v>2</v>
      </c>
      <c r="F58" s="0" t="n">
        <v>2</v>
      </c>
      <c r="G58" s="0" t="s">
        <v>3064</v>
      </c>
      <c r="H58" s="54" t="n">
        <v>45</v>
      </c>
      <c r="I58" s="54" t="n">
        <v>53.1</v>
      </c>
      <c r="J58" s="54" t="n">
        <v>53.1</v>
      </c>
      <c r="K58" s="54" t="n">
        <v>0</v>
      </c>
      <c r="L58" s="54" t="n">
        <v>53</v>
      </c>
      <c r="M58" s="0" t="s">
        <v>3098</v>
      </c>
      <c r="N58" s="57" t="s">
        <v>3066</v>
      </c>
    </row>
    <row r="59" customFormat="false" ht="15" hidden="false" customHeight="false" outlineLevel="0" collapsed="false">
      <c r="A59" s="0" t="s">
        <v>359</v>
      </c>
      <c r="B59" s="0" t="s">
        <v>212</v>
      </c>
      <c r="C59" s="0" t="s">
        <v>212</v>
      </c>
      <c r="D59" s="0" t="s">
        <v>3064</v>
      </c>
      <c r="E59" s="0" t="n">
        <v>2</v>
      </c>
      <c r="F59" s="0" t="n">
        <v>2</v>
      </c>
      <c r="G59" s="0" t="s">
        <v>3064</v>
      </c>
      <c r="H59" s="54" t="n">
        <v>9.038</v>
      </c>
      <c r="I59" s="54" t="n">
        <v>10.66484</v>
      </c>
      <c r="J59" s="54" t="n">
        <v>10.66484</v>
      </c>
      <c r="K59" s="54" t="n">
        <v>0</v>
      </c>
      <c r="L59" s="54" t="n">
        <v>11</v>
      </c>
      <c r="M59" s="0" t="s">
        <v>3099</v>
      </c>
      <c r="N59" s="57" t="s">
        <v>3066</v>
      </c>
    </row>
    <row r="60" customFormat="false" ht="15" hidden="false" customHeight="false" outlineLevel="0" collapsed="false">
      <c r="A60" s="0" t="s">
        <v>363</v>
      </c>
      <c r="B60" s="0" t="s">
        <v>368</v>
      </c>
      <c r="C60" s="0" t="s">
        <v>368</v>
      </c>
      <c r="D60" s="0" t="s">
        <v>3064</v>
      </c>
      <c r="E60" s="0" t="n">
        <v>9</v>
      </c>
      <c r="F60" s="0" t="n">
        <v>9</v>
      </c>
      <c r="G60" s="0" t="s">
        <v>3064</v>
      </c>
      <c r="H60" s="54" t="n">
        <v>47736.0274</v>
      </c>
      <c r="I60" s="54" t="n">
        <v>56328.512332</v>
      </c>
      <c r="J60" s="54" t="n">
        <v>56328.512332</v>
      </c>
      <c r="K60" s="54" t="n">
        <v>0</v>
      </c>
      <c r="L60" s="54" t="n">
        <v>56329</v>
      </c>
      <c r="M60" s="0" t="s">
        <v>3100</v>
      </c>
      <c r="N60" s="57" t="s">
        <v>3066</v>
      </c>
    </row>
    <row r="61" customFormat="false" ht="15" hidden="false" customHeight="false" outlineLevel="0" collapsed="false">
      <c r="A61" s="0" t="s">
        <v>369</v>
      </c>
      <c r="B61" s="0" t="s">
        <v>368</v>
      </c>
      <c r="C61" s="0" t="s">
        <v>368</v>
      </c>
      <c r="D61" s="0" t="s">
        <v>3064</v>
      </c>
      <c r="E61" s="0" t="n">
        <v>3</v>
      </c>
      <c r="F61" s="0" t="n">
        <v>3</v>
      </c>
      <c r="G61" s="0" t="s">
        <v>3064</v>
      </c>
      <c r="H61" s="54" t="n">
        <v>60969</v>
      </c>
      <c r="I61" s="54" t="n">
        <v>71943.42</v>
      </c>
      <c r="J61" s="54" t="n">
        <v>71943.42</v>
      </c>
      <c r="K61" s="54" t="n">
        <v>0</v>
      </c>
      <c r="L61" s="54" t="n">
        <v>71943</v>
      </c>
      <c r="M61" s="0" t="s">
        <v>3101</v>
      </c>
      <c r="N61" s="57" t="s">
        <v>3066</v>
      </c>
    </row>
    <row r="62" customFormat="false" ht="15" hidden="false" customHeight="false" outlineLevel="0" collapsed="false">
      <c r="A62" s="0" t="s">
        <v>373</v>
      </c>
      <c r="B62" s="0" t="s">
        <v>212</v>
      </c>
      <c r="C62" s="0" t="s">
        <v>212</v>
      </c>
      <c r="D62" s="0" t="s">
        <v>3064</v>
      </c>
      <c r="E62" s="0" t="n">
        <v>4</v>
      </c>
      <c r="F62" s="0" t="n">
        <v>4</v>
      </c>
      <c r="G62" s="0" t="s">
        <v>3064</v>
      </c>
      <c r="H62" s="54" t="n">
        <v>1405.93333333333</v>
      </c>
      <c r="I62" s="54" t="n">
        <v>1659.00133333333</v>
      </c>
      <c r="J62" s="54" t="n">
        <v>1659.001331583</v>
      </c>
      <c r="K62" s="54" t="n">
        <v>-1.75032982951962E-006</v>
      </c>
      <c r="L62" s="54" t="n">
        <v>1659</v>
      </c>
      <c r="M62" s="0" t="s">
        <v>3102</v>
      </c>
      <c r="N62" s="57" t="s">
        <v>3066</v>
      </c>
    </row>
    <row r="63" customFormat="false" ht="15" hidden="false" customHeight="false" outlineLevel="0" collapsed="false">
      <c r="A63" s="0" t="s">
        <v>378</v>
      </c>
      <c r="B63" s="0" t="s">
        <v>212</v>
      </c>
      <c r="C63" s="0" t="s">
        <v>212</v>
      </c>
      <c r="D63" s="0" t="s">
        <v>3064</v>
      </c>
      <c r="E63" s="0" t="n">
        <v>4</v>
      </c>
      <c r="F63" s="0" t="n">
        <v>4</v>
      </c>
      <c r="G63" s="0" t="s">
        <v>3064</v>
      </c>
      <c r="H63" s="54" t="n">
        <v>2855.93333333333</v>
      </c>
      <c r="I63" s="54" t="n">
        <v>3370.00133333333</v>
      </c>
      <c r="J63" s="54" t="n">
        <v>3370.001331583</v>
      </c>
      <c r="K63" s="54" t="n">
        <v>-1.75032982951962E-006</v>
      </c>
      <c r="L63" s="54" t="n">
        <v>3370</v>
      </c>
      <c r="M63" s="0" t="s">
        <v>3103</v>
      </c>
      <c r="N63" s="57" t="s">
        <v>3066</v>
      </c>
    </row>
    <row r="64" customFormat="false" ht="15" hidden="false" customHeight="false" outlineLevel="0" collapsed="false">
      <c r="A64" s="0" t="s">
        <v>381</v>
      </c>
      <c r="B64" s="0" t="s">
        <v>386</v>
      </c>
      <c r="C64" s="0" t="s">
        <v>386</v>
      </c>
      <c r="D64" s="0" t="s">
        <v>3064</v>
      </c>
      <c r="E64" s="0" t="n">
        <v>4</v>
      </c>
      <c r="F64" s="0" t="n">
        <v>4</v>
      </c>
      <c r="G64" s="0" t="s">
        <v>3064</v>
      </c>
      <c r="H64" s="54" t="n">
        <v>6034.2</v>
      </c>
      <c r="I64" s="54" t="n">
        <v>7120.356</v>
      </c>
      <c r="J64" s="54" t="n">
        <v>7120.356</v>
      </c>
      <c r="K64" s="54" t="n">
        <v>0</v>
      </c>
      <c r="L64" s="54" t="n">
        <v>7120</v>
      </c>
      <c r="M64" s="0" t="s">
        <v>3104</v>
      </c>
      <c r="N64" s="57" t="s">
        <v>3066</v>
      </c>
    </row>
    <row r="65" customFormat="false" ht="15" hidden="false" customHeight="false" outlineLevel="0" collapsed="false">
      <c r="A65" s="0" t="s">
        <v>387</v>
      </c>
      <c r="B65" s="0" t="s">
        <v>212</v>
      </c>
      <c r="C65" s="0" t="s">
        <v>212</v>
      </c>
      <c r="D65" s="0" t="s">
        <v>3064</v>
      </c>
      <c r="E65" s="0" t="n">
        <v>3</v>
      </c>
      <c r="F65" s="0" t="n">
        <v>3</v>
      </c>
      <c r="G65" s="0" t="s">
        <v>3064</v>
      </c>
      <c r="H65" s="54" t="n">
        <v>4538.75</v>
      </c>
      <c r="I65" s="54" t="n">
        <v>5355.725</v>
      </c>
      <c r="J65" s="54" t="n">
        <v>5355.725</v>
      </c>
      <c r="K65" s="54" t="n">
        <v>0</v>
      </c>
      <c r="L65" s="54" t="n">
        <v>5356</v>
      </c>
      <c r="M65" s="0" t="s">
        <v>3105</v>
      </c>
      <c r="N65" s="57" t="s">
        <v>3066</v>
      </c>
    </row>
    <row r="66" customFormat="false" ht="15" hidden="false" customHeight="false" outlineLevel="0" collapsed="false">
      <c r="A66" s="0" t="s">
        <v>393</v>
      </c>
      <c r="B66" s="0" t="s">
        <v>212</v>
      </c>
      <c r="C66" s="0" t="s">
        <v>212</v>
      </c>
      <c r="D66" s="0" t="s">
        <v>3064</v>
      </c>
      <c r="E66" s="0" t="n">
        <v>7</v>
      </c>
      <c r="F66" s="0" t="n">
        <v>7</v>
      </c>
      <c r="G66" s="0" t="s">
        <v>3064</v>
      </c>
      <c r="H66" s="54" t="n">
        <v>1810.825</v>
      </c>
      <c r="I66" s="54" t="n">
        <v>2136.7735</v>
      </c>
      <c r="J66" s="54" t="n">
        <v>2136.7735</v>
      </c>
      <c r="K66" s="54" t="n">
        <v>4.54747350886464E-013</v>
      </c>
      <c r="L66" s="54" t="n">
        <v>2137</v>
      </c>
      <c r="M66" s="0" t="s">
        <v>3106</v>
      </c>
      <c r="N66" s="57" t="s">
        <v>3066</v>
      </c>
    </row>
    <row r="67" customFormat="false" ht="15" hidden="false" customHeight="false" outlineLevel="0" collapsed="false">
      <c r="A67" s="0" t="s">
        <v>398</v>
      </c>
      <c r="B67" s="0" t="s">
        <v>212</v>
      </c>
      <c r="C67" s="0" t="s">
        <v>212</v>
      </c>
      <c r="D67" s="0" t="s">
        <v>3064</v>
      </c>
      <c r="E67" s="0" t="n">
        <v>6</v>
      </c>
      <c r="F67" s="0" t="n">
        <v>6</v>
      </c>
      <c r="G67" s="0" t="s">
        <v>3064</v>
      </c>
      <c r="H67" s="54" t="n">
        <v>1714.83066666667</v>
      </c>
      <c r="I67" s="54" t="n">
        <v>2023.50018666667</v>
      </c>
      <c r="J67" s="54" t="n">
        <v>2023.5001737142</v>
      </c>
      <c r="K67" s="54" t="n">
        <v>-1.29524698877503E-005</v>
      </c>
      <c r="L67" s="54" t="n">
        <v>2024</v>
      </c>
      <c r="M67" s="0" t="s">
        <v>3107</v>
      </c>
      <c r="N67" s="57" t="s">
        <v>3066</v>
      </c>
    </row>
    <row r="68" customFormat="false" ht="15" hidden="false" customHeight="false" outlineLevel="0" collapsed="false">
      <c r="A68" s="0" t="s">
        <v>402</v>
      </c>
      <c r="B68" s="0" t="s">
        <v>212</v>
      </c>
      <c r="C68" s="0" t="s">
        <v>212</v>
      </c>
      <c r="D68" s="0" t="s">
        <v>3064</v>
      </c>
      <c r="E68" s="0" t="n">
        <v>5</v>
      </c>
      <c r="F68" s="0" t="n">
        <v>5</v>
      </c>
      <c r="G68" s="0" t="s">
        <v>3064</v>
      </c>
      <c r="H68" s="54" t="n">
        <v>188.823980366667</v>
      </c>
      <c r="I68" s="54" t="n">
        <v>222.812296832667</v>
      </c>
      <c r="J68" s="54" t="n">
        <v>222.8122942288</v>
      </c>
      <c r="K68" s="54" t="n">
        <v>-2.60386696027126E-006</v>
      </c>
      <c r="L68" s="54" t="n">
        <v>223</v>
      </c>
      <c r="M68" s="0" t="s">
        <v>3108</v>
      </c>
      <c r="N68" s="57" t="s">
        <v>3066</v>
      </c>
    </row>
    <row r="69" customFormat="false" ht="15" hidden="false" customHeight="false" outlineLevel="0" collapsed="false">
      <c r="A69" s="0" t="s">
        <v>408</v>
      </c>
      <c r="B69" s="0" t="s">
        <v>386</v>
      </c>
      <c r="C69" s="0" t="s">
        <v>386</v>
      </c>
      <c r="D69" s="0" t="s">
        <v>3064</v>
      </c>
      <c r="E69" s="0" t="n">
        <v>6</v>
      </c>
      <c r="F69" s="0" t="n">
        <v>6</v>
      </c>
      <c r="G69" s="0" t="s">
        <v>3064</v>
      </c>
      <c r="H69" s="54" t="n">
        <v>579.858333333333</v>
      </c>
      <c r="I69" s="54" t="n">
        <v>684.232833333333</v>
      </c>
      <c r="J69" s="54" t="n">
        <v>684.2328359372</v>
      </c>
      <c r="K69" s="54" t="n">
        <v>2.60386696027126E-006</v>
      </c>
      <c r="L69" s="54" t="n">
        <v>684</v>
      </c>
      <c r="M69" s="0" t="s">
        <v>3109</v>
      </c>
      <c r="N69" s="57" t="s">
        <v>3066</v>
      </c>
    </row>
    <row r="70" customFormat="false" ht="15" hidden="false" customHeight="false" outlineLevel="0" collapsed="false">
      <c r="A70" s="0" t="s">
        <v>413</v>
      </c>
      <c r="B70" s="0" t="s">
        <v>2912</v>
      </c>
      <c r="C70" s="0" t="s">
        <v>2912</v>
      </c>
      <c r="D70" s="0" t="s">
        <v>3064</v>
      </c>
      <c r="E70" s="0" t="n">
        <v>4</v>
      </c>
      <c r="F70" s="0" t="n">
        <v>4</v>
      </c>
      <c r="G70" s="0" t="s">
        <v>3064</v>
      </c>
      <c r="H70" s="54" t="n">
        <v>129.578</v>
      </c>
      <c r="I70" s="54" t="n">
        <v>152.90204</v>
      </c>
      <c r="J70" s="54" t="n">
        <v>152.90204</v>
      </c>
      <c r="K70" s="54" t="n">
        <v>0</v>
      </c>
      <c r="L70" s="54" t="n">
        <v>153</v>
      </c>
      <c r="M70" s="0" t="s">
        <v>3110</v>
      </c>
      <c r="N70" s="57" t="s">
        <v>3066</v>
      </c>
    </row>
    <row r="71" customFormat="false" ht="15" hidden="false" customHeight="false" outlineLevel="0" collapsed="false">
      <c r="A71" s="0" t="s">
        <v>418</v>
      </c>
      <c r="B71" s="0" t="s">
        <v>212</v>
      </c>
      <c r="C71" s="0" t="s">
        <v>212</v>
      </c>
      <c r="D71" s="0" t="s">
        <v>3064</v>
      </c>
      <c r="E71" s="0" t="n">
        <v>1</v>
      </c>
      <c r="F71" s="0" t="n">
        <v>1</v>
      </c>
      <c r="G71" s="0" t="s">
        <v>3064</v>
      </c>
      <c r="H71" s="54" t="n">
        <v>142.31</v>
      </c>
      <c r="I71" s="54" t="n">
        <v>167.9258</v>
      </c>
      <c r="J71" s="54" t="n">
        <v>167.9258</v>
      </c>
      <c r="K71" s="54" t="n">
        <v>0</v>
      </c>
      <c r="L71" s="54" t="n">
        <v>168</v>
      </c>
      <c r="M71" s="0" t="s">
        <v>1111</v>
      </c>
      <c r="N71" s="57" t="s">
        <v>3066</v>
      </c>
    </row>
    <row r="72" customFormat="false" ht="15" hidden="false" customHeight="false" outlineLevel="0" collapsed="false">
      <c r="A72" s="0" t="s">
        <v>422</v>
      </c>
      <c r="B72" s="0" t="s">
        <v>368</v>
      </c>
      <c r="C72" s="0" t="s">
        <v>368</v>
      </c>
      <c r="D72" s="0" t="s">
        <v>3064</v>
      </c>
      <c r="E72" s="0" t="n">
        <v>7</v>
      </c>
      <c r="F72" s="0" t="n">
        <v>7</v>
      </c>
      <c r="G72" s="0" t="s">
        <v>3064</v>
      </c>
      <c r="H72" s="54" t="n">
        <v>47382.274305</v>
      </c>
      <c r="I72" s="54" t="n">
        <v>55911.0836799</v>
      </c>
      <c r="J72" s="54" t="n">
        <v>55911.083682555</v>
      </c>
      <c r="K72" s="54" t="n">
        <v>2.65499693341553E-006</v>
      </c>
      <c r="L72" s="54" t="n">
        <v>55911</v>
      </c>
      <c r="M72" s="0" t="s">
        <v>3111</v>
      </c>
      <c r="N72" s="57" t="s">
        <v>3066</v>
      </c>
    </row>
    <row r="73" customFormat="false" ht="15" hidden="false" customHeight="false" outlineLevel="0" collapsed="false">
      <c r="A73" s="0" t="s">
        <v>427</v>
      </c>
      <c r="B73" s="0" t="s">
        <v>212</v>
      </c>
      <c r="C73" s="0" t="s">
        <v>212</v>
      </c>
      <c r="D73" s="0" t="s">
        <v>3064</v>
      </c>
      <c r="E73" s="0" t="n">
        <v>2</v>
      </c>
      <c r="F73" s="0" t="n">
        <v>2</v>
      </c>
      <c r="G73" s="0" t="s">
        <v>3064</v>
      </c>
      <c r="H73" s="54" t="n">
        <v>12.526</v>
      </c>
      <c r="I73" s="54" t="n">
        <v>14.78068</v>
      </c>
      <c r="J73" s="54" t="n">
        <v>14.78068</v>
      </c>
      <c r="K73" s="54" t="n">
        <v>0</v>
      </c>
      <c r="L73" s="54" t="n">
        <v>15</v>
      </c>
      <c r="M73" s="0" t="s">
        <v>3112</v>
      </c>
      <c r="N73" s="57" t="s">
        <v>3066</v>
      </c>
    </row>
    <row r="74" customFormat="false" ht="15" hidden="false" customHeight="false" outlineLevel="0" collapsed="false">
      <c r="A74" s="0" t="s">
        <v>432</v>
      </c>
      <c r="B74" s="0" t="s">
        <v>386</v>
      </c>
      <c r="C74" s="0" t="s">
        <v>386</v>
      </c>
      <c r="D74" s="0" t="s">
        <v>3064</v>
      </c>
      <c r="E74" s="0" t="n">
        <v>7</v>
      </c>
      <c r="F74" s="0" t="n">
        <v>7</v>
      </c>
      <c r="G74" s="0" t="s">
        <v>3064</v>
      </c>
      <c r="H74" s="54" t="n">
        <v>248.434315718157</v>
      </c>
      <c r="I74" s="54" t="n">
        <v>293.152492547425</v>
      </c>
      <c r="J74" s="54" t="n">
        <v>293.15248114254</v>
      </c>
      <c r="K74" s="54" t="n">
        <v>-1.14048850150539E-005</v>
      </c>
      <c r="L74" s="54" t="n">
        <v>293</v>
      </c>
      <c r="M74" s="0" t="s">
        <v>3113</v>
      </c>
      <c r="N74" s="57" t="s">
        <v>3066</v>
      </c>
    </row>
    <row r="75" customFormat="false" ht="15" hidden="false" customHeight="false" outlineLevel="0" collapsed="false">
      <c r="A75" s="0" t="s">
        <v>438</v>
      </c>
      <c r="B75" s="0" t="s">
        <v>386</v>
      </c>
      <c r="C75" s="0" t="s">
        <v>386</v>
      </c>
      <c r="D75" s="0" t="s">
        <v>3064</v>
      </c>
      <c r="E75" s="0" t="n">
        <v>7</v>
      </c>
      <c r="F75" s="0" t="n">
        <v>7</v>
      </c>
      <c r="G75" s="0" t="s">
        <v>3064</v>
      </c>
      <c r="H75" s="54" t="n">
        <v>302.467340108401</v>
      </c>
      <c r="I75" s="54" t="n">
        <v>356.911461327913</v>
      </c>
      <c r="J75" s="54" t="n">
        <v>356.91144989324</v>
      </c>
      <c r="K75" s="54" t="n">
        <v>-1.14346730697434E-005</v>
      </c>
      <c r="L75" s="54" t="n">
        <v>357</v>
      </c>
      <c r="M75" s="0" t="s">
        <v>3114</v>
      </c>
      <c r="N75" s="57" t="s">
        <v>3066</v>
      </c>
    </row>
    <row r="76" customFormat="false" ht="15" hidden="false" customHeight="false" outlineLevel="0" collapsed="false">
      <c r="A76" s="0" t="s">
        <v>441</v>
      </c>
      <c r="B76" s="0" t="s">
        <v>386</v>
      </c>
      <c r="C76" s="0" t="s">
        <v>386</v>
      </c>
      <c r="D76" s="0" t="s">
        <v>3064</v>
      </c>
      <c r="E76" s="0" t="n">
        <v>7</v>
      </c>
      <c r="F76" s="0" t="n">
        <v>7</v>
      </c>
      <c r="G76" s="0" t="s">
        <v>3064</v>
      </c>
      <c r="H76" s="54" t="n">
        <v>417.715547425474</v>
      </c>
      <c r="I76" s="54" t="n">
        <v>492.90434596206</v>
      </c>
      <c r="J76" s="54" t="n">
        <v>492.90433446004</v>
      </c>
      <c r="K76" s="54" t="n">
        <v>-1.15020199586979E-005</v>
      </c>
      <c r="L76" s="54" t="n">
        <v>493</v>
      </c>
      <c r="M76" s="0" t="s">
        <v>3115</v>
      </c>
      <c r="N76" s="57" t="s">
        <v>3066</v>
      </c>
    </row>
    <row r="77" customFormat="false" ht="15" hidden="false" customHeight="false" outlineLevel="0" collapsed="false">
      <c r="A77" s="0" t="s">
        <v>444</v>
      </c>
      <c r="B77" s="0" t="s">
        <v>386</v>
      </c>
      <c r="C77" s="0" t="s">
        <v>386</v>
      </c>
      <c r="D77" s="0" t="s">
        <v>3064</v>
      </c>
      <c r="E77" s="0" t="n">
        <v>7</v>
      </c>
      <c r="F77" s="0" t="n">
        <v>7</v>
      </c>
      <c r="G77" s="0" t="s">
        <v>3064</v>
      </c>
      <c r="H77" s="54" t="n">
        <v>593.270270615563</v>
      </c>
      <c r="I77" s="54" t="n">
        <v>700.058919326365</v>
      </c>
      <c r="J77" s="54" t="n">
        <v>700.05892553014</v>
      </c>
      <c r="K77" s="54" t="n">
        <v>6.20377500126779E-006</v>
      </c>
      <c r="L77" s="54" t="n">
        <v>700</v>
      </c>
      <c r="M77" s="0" t="s">
        <v>3116</v>
      </c>
      <c r="N77" s="57" t="s">
        <v>3066</v>
      </c>
    </row>
    <row r="78" customFormat="false" ht="15" hidden="false" customHeight="false" outlineLevel="0" collapsed="false">
      <c r="A78" s="0" t="s">
        <v>447</v>
      </c>
      <c r="B78" s="0" t="s">
        <v>386</v>
      </c>
      <c r="C78" s="0" t="s">
        <v>386</v>
      </c>
      <c r="D78" s="0" t="s">
        <v>3064</v>
      </c>
      <c r="E78" s="0" t="n">
        <v>7</v>
      </c>
      <c r="F78" s="0" t="n">
        <v>7</v>
      </c>
      <c r="G78" s="0" t="s">
        <v>3064</v>
      </c>
      <c r="H78" s="54" t="n">
        <v>886.086599883856</v>
      </c>
      <c r="I78" s="54" t="n">
        <v>1045.58218786295</v>
      </c>
      <c r="J78" s="54" t="n">
        <v>1045.58219369114</v>
      </c>
      <c r="K78" s="54" t="n">
        <v>5.82819006922364E-006</v>
      </c>
      <c r="L78" s="54" t="n">
        <v>1046</v>
      </c>
      <c r="M78" s="0" t="s">
        <v>3117</v>
      </c>
      <c r="N78" s="57" t="s">
        <v>3066</v>
      </c>
    </row>
    <row r="79" customFormat="false" ht="15" hidden="false" customHeight="false" outlineLevel="0" collapsed="false">
      <c r="A79" s="0" t="s">
        <v>450</v>
      </c>
      <c r="B79" s="0" t="s">
        <v>386</v>
      </c>
      <c r="C79" s="0" t="s">
        <v>386</v>
      </c>
      <c r="D79" s="0" t="s">
        <v>3064</v>
      </c>
      <c r="E79" s="0" t="n">
        <v>7</v>
      </c>
      <c r="F79" s="0" t="n">
        <v>7</v>
      </c>
      <c r="G79" s="0" t="s">
        <v>3064</v>
      </c>
      <c r="H79" s="54" t="n">
        <v>1367.18803890825</v>
      </c>
      <c r="I79" s="54" t="n">
        <v>1613.28188591173</v>
      </c>
      <c r="J79" s="54" t="n">
        <v>1613.28189130994</v>
      </c>
      <c r="K79" s="54" t="n">
        <v>5.39821007805585E-006</v>
      </c>
      <c r="L79" s="54" t="n">
        <v>1613</v>
      </c>
      <c r="M79" s="0" t="s">
        <v>3118</v>
      </c>
      <c r="N79" s="57" t="s">
        <v>3066</v>
      </c>
    </row>
    <row r="80" customFormat="false" ht="15" hidden="false" customHeight="false" outlineLevel="0" collapsed="false">
      <c r="A80" s="0" t="s">
        <v>453</v>
      </c>
      <c r="B80" s="0" t="s">
        <v>386</v>
      </c>
      <c r="C80" s="0" t="s">
        <v>386</v>
      </c>
      <c r="D80" s="0" t="s">
        <v>3064</v>
      </c>
      <c r="E80" s="0" t="n">
        <v>7</v>
      </c>
      <c r="F80" s="0" t="n">
        <v>7</v>
      </c>
      <c r="G80" s="0" t="s">
        <v>3064</v>
      </c>
      <c r="H80" s="54" t="n">
        <v>1989.50290650406</v>
      </c>
      <c r="I80" s="54" t="n">
        <v>2347.6134296748</v>
      </c>
      <c r="J80" s="54" t="n">
        <v>2347.61342787994</v>
      </c>
      <c r="K80" s="54" t="n">
        <v>-1.79486005436047E-006</v>
      </c>
      <c r="L80" s="54" t="n">
        <v>2348</v>
      </c>
      <c r="M80" s="0" t="s">
        <v>3119</v>
      </c>
      <c r="N80" s="57" t="s">
        <v>3066</v>
      </c>
    </row>
    <row r="81" customFormat="false" ht="15" hidden="false" customHeight="false" outlineLevel="0" collapsed="false">
      <c r="A81" s="0" t="s">
        <v>456</v>
      </c>
      <c r="B81" s="0" t="s">
        <v>386</v>
      </c>
      <c r="C81" s="0" t="s">
        <v>386</v>
      </c>
      <c r="D81" s="0" t="s">
        <v>3064</v>
      </c>
      <c r="E81" s="0" t="n">
        <v>7</v>
      </c>
      <c r="F81" s="0" t="n">
        <v>7</v>
      </c>
      <c r="G81" s="0" t="s">
        <v>3064</v>
      </c>
      <c r="H81" s="54" t="n">
        <v>2987.24918699187</v>
      </c>
      <c r="I81" s="54" t="n">
        <v>3524.95404065041</v>
      </c>
      <c r="J81" s="54" t="n">
        <v>3524.95403726514</v>
      </c>
      <c r="K81" s="54" t="n">
        <v>-3.38526979248854E-006</v>
      </c>
      <c r="L81" s="54" t="n">
        <v>3525</v>
      </c>
      <c r="M81" s="0" t="s">
        <v>3120</v>
      </c>
      <c r="N81" s="57" t="s">
        <v>3066</v>
      </c>
    </row>
    <row r="82" customFormat="false" ht="15" hidden="false" customHeight="false" outlineLevel="0" collapsed="false">
      <c r="A82" s="0" t="s">
        <v>459</v>
      </c>
      <c r="B82" s="0" t="s">
        <v>386</v>
      </c>
      <c r="C82" s="0" t="s">
        <v>386</v>
      </c>
      <c r="D82" s="0" t="s">
        <v>3064</v>
      </c>
      <c r="E82" s="0" t="n">
        <v>7</v>
      </c>
      <c r="F82" s="0" t="n">
        <v>7</v>
      </c>
      <c r="G82" s="0" t="s">
        <v>3064</v>
      </c>
      <c r="H82" s="54" t="n">
        <v>4511.09601267336</v>
      </c>
      <c r="I82" s="54" t="n">
        <v>5323.09329495457</v>
      </c>
      <c r="J82" s="54" t="n">
        <v>5323.09329147314</v>
      </c>
      <c r="K82" s="54" t="n">
        <v>-3.48143203154905E-006</v>
      </c>
      <c r="L82" s="54" t="n">
        <v>5323</v>
      </c>
      <c r="M82" s="0" t="s">
        <v>3121</v>
      </c>
      <c r="N82" s="57" t="s">
        <v>3066</v>
      </c>
    </row>
    <row r="83" customFormat="false" ht="15" hidden="false" customHeight="false" outlineLevel="0" collapsed="false">
      <c r="A83" s="0" t="s">
        <v>462</v>
      </c>
      <c r="B83" s="0" t="s">
        <v>386</v>
      </c>
      <c r="C83" s="0" t="s">
        <v>386</v>
      </c>
      <c r="D83" s="0" t="s">
        <v>3064</v>
      </c>
      <c r="E83" s="0" t="n">
        <v>7</v>
      </c>
      <c r="F83" s="0" t="n">
        <v>7</v>
      </c>
      <c r="G83" s="0" t="s">
        <v>3064</v>
      </c>
      <c r="H83" s="54" t="n">
        <v>345.784171428571</v>
      </c>
      <c r="I83" s="54" t="n">
        <v>408.025322285714</v>
      </c>
      <c r="J83" s="54" t="n">
        <v>408.0253292612</v>
      </c>
      <c r="K83" s="54" t="n">
        <v>6.97548597372588E-006</v>
      </c>
      <c r="L83" s="54" t="n">
        <v>408</v>
      </c>
      <c r="M83" s="0" t="s">
        <v>3122</v>
      </c>
      <c r="N83" s="57" t="s">
        <v>3066</v>
      </c>
    </row>
    <row r="84" customFormat="false" ht="15" hidden="false" customHeight="false" outlineLevel="0" collapsed="false">
      <c r="A84" s="0" t="s">
        <v>466</v>
      </c>
      <c r="B84" s="0" t="s">
        <v>386</v>
      </c>
      <c r="C84" s="0" t="s">
        <v>386</v>
      </c>
      <c r="D84" s="0" t="s">
        <v>3064</v>
      </c>
      <c r="E84" s="0" t="n">
        <v>7</v>
      </c>
      <c r="F84" s="0" t="n">
        <v>7</v>
      </c>
      <c r="G84" s="0" t="s">
        <v>3064</v>
      </c>
      <c r="H84" s="54" t="n">
        <v>637.3806</v>
      </c>
      <c r="I84" s="54" t="n">
        <v>752.109108</v>
      </c>
      <c r="J84" s="54" t="n">
        <v>752.109108</v>
      </c>
      <c r="K84" s="54" t="n">
        <v>0</v>
      </c>
      <c r="L84" s="54" t="n">
        <v>752</v>
      </c>
      <c r="M84" s="0" t="s">
        <v>3123</v>
      </c>
      <c r="N84" s="57" t="s">
        <v>3066</v>
      </c>
    </row>
    <row r="85" customFormat="false" ht="15" hidden="false" customHeight="false" outlineLevel="0" collapsed="false">
      <c r="A85" s="0" t="s">
        <v>469</v>
      </c>
      <c r="B85" s="0" t="s">
        <v>386</v>
      </c>
      <c r="C85" s="0" t="s">
        <v>386</v>
      </c>
      <c r="D85" s="0" t="s">
        <v>3064</v>
      </c>
      <c r="E85" s="0" t="n">
        <v>7</v>
      </c>
      <c r="F85" s="0" t="n">
        <v>7</v>
      </c>
      <c r="G85" s="0" t="s">
        <v>3064</v>
      </c>
      <c r="H85" s="54" t="n">
        <v>975.291666666667</v>
      </c>
      <c r="I85" s="54" t="n">
        <v>1150.84416666667</v>
      </c>
      <c r="J85" s="54" t="n">
        <v>1150.8441829428</v>
      </c>
      <c r="K85" s="54" t="n">
        <v>1.62761300543934E-005</v>
      </c>
      <c r="L85" s="54" t="n">
        <v>1151</v>
      </c>
      <c r="M85" s="0" t="s">
        <v>3124</v>
      </c>
      <c r="N85" s="57" t="s">
        <v>3066</v>
      </c>
    </row>
    <row r="86" customFormat="false" ht="15" hidden="false" customHeight="false" outlineLevel="0" collapsed="false">
      <c r="A86" s="0" t="s">
        <v>472</v>
      </c>
      <c r="B86" s="0" t="s">
        <v>368</v>
      </c>
      <c r="C86" s="0" t="s">
        <v>368</v>
      </c>
      <c r="D86" s="0" t="s">
        <v>3064</v>
      </c>
      <c r="E86" s="0" t="n">
        <v>4</v>
      </c>
      <c r="F86" s="0" t="n">
        <v>4</v>
      </c>
      <c r="G86" s="0" t="s">
        <v>3064</v>
      </c>
      <c r="H86" s="54" t="n">
        <v>36881.5421686747</v>
      </c>
      <c r="I86" s="54" t="n">
        <v>43520.2197590362</v>
      </c>
      <c r="J86" s="54" t="n">
        <v>43520.2197731552</v>
      </c>
      <c r="K86" s="54" t="n">
        <v>1.41190030262806E-005</v>
      </c>
      <c r="L86" s="54" t="n">
        <v>43520</v>
      </c>
      <c r="M86" s="0" t="s">
        <v>3125</v>
      </c>
      <c r="N86" s="57" t="s">
        <v>3066</v>
      </c>
    </row>
    <row r="87" customFormat="false" ht="15" hidden="false" customHeight="false" outlineLevel="0" collapsed="false">
      <c r="A87" s="0" t="s">
        <v>477</v>
      </c>
      <c r="B87" s="0" t="s">
        <v>368</v>
      </c>
      <c r="C87" s="0" t="s">
        <v>368</v>
      </c>
      <c r="D87" s="0" t="s">
        <v>3064</v>
      </c>
      <c r="E87" s="0" t="n">
        <v>4</v>
      </c>
      <c r="F87" s="0" t="n">
        <v>4</v>
      </c>
      <c r="G87" s="0" t="s">
        <v>3064</v>
      </c>
      <c r="H87" s="54" t="n">
        <v>20961.7777777778</v>
      </c>
      <c r="I87" s="54" t="n">
        <v>24734.8977777778</v>
      </c>
      <c r="J87" s="54" t="n">
        <v>24734.8977723524</v>
      </c>
      <c r="K87" s="54" t="n">
        <v>-5.42539783054963E-006</v>
      </c>
      <c r="L87" s="54" t="n">
        <v>24735</v>
      </c>
      <c r="M87" s="0" t="s">
        <v>3126</v>
      </c>
      <c r="N87" s="57" t="s">
        <v>3066</v>
      </c>
    </row>
    <row r="88" customFormat="false" ht="15" hidden="false" customHeight="false" outlineLevel="0" collapsed="false">
      <c r="A88" s="0" t="s">
        <v>480</v>
      </c>
      <c r="B88" s="0" t="s">
        <v>386</v>
      </c>
      <c r="C88" s="0" t="s">
        <v>386</v>
      </c>
      <c r="D88" s="0" t="s">
        <v>3064</v>
      </c>
      <c r="E88" s="0" t="n">
        <v>6</v>
      </c>
      <c r="F88" s="0" t="n">
        <v>6</v>
      </c>
      <c r="G88" s="0" t="s">
        <v>3064</v>
      </c>
      <c r="H88" s="54" t="n">
        <v>684.490543478261</v>
      </c>
      <c r="I88" s="54" t="n">
        <v>807.698841304348</v>
      </c>
      <c r="J88" s="54" t="n">
        <v>807.6988370584</v>
      </c>
      <c r="K88" s="54" t="n">
        <v>-4.24594804826484E-006</v>
      </c>
      <c r="L88" s="54" t="n">
        <v>808</v>
      </c>
      <c r="M88" s="0" t="s">
        <v>3127</v>
      </c>
      <c r="N88" s="57" t="s">
        <v>3066</v>
      </c>
    </row>
    <row r="89" customFormat="false" ht="15" hidden="false" customHeight="false" outlineLevel="0" collapsed="false">
      <c r="A89" s="0" t="s">
        <v>486</v>
      </c>
      <c r="B89" s="0" t="s">
        <v>386</v>
      </c>
      <c r="C89" s="0" t="s">
        <v>386</v>
      </c>
      <c r="D89" s="0" t="s">
        <v>3064</v>
      </c>
      <c r="E89" s="0" t="n">
        <v>6</v>
      </c>
      <c r="F89" s="0" t="n">
        <v>6</v>
      </c>
      <c r="G89" s="0" t="s">
        <v>3064</v>
      </c>
      <c r="H89" s="54" t="n">
        <v>1324.92492857143</v>
      </c>
      <c r="I89" s="54" t="n">
        <v>1563.41141571429</v>
      </c>
      <c r="J89" s="54" t="n">
        <v>1563.4114087388</v>
      </c>
      <c r="K89" s="54" t="n">
        <v>-6.97548989592178E-006</v>
      </c>
      <c r="L89" s="54" t="n">
        <v>1563</v>
      </c>
      <c r="M89" s="0" t="s">
        <v>3128</v>
      </c>
      <c r="N89" s="57" t="s">
        <v>3066</v>
      </c>
    </row>
    <row r="90" customFormat="false" ht="15" hidden="false" customHeight="false" outlineLevel="0" collapsed="false">
      <c r="A90" s="0" t="s">
        <v>489</v>
      </c>
      <c r="B90" s="0" t="s">
        <v>386</v>
      </c>
      <c r="C90" s="0" t="s">
        <v>386</v>
      </c>
      <c r="D90" s="0" t="s">
        <v>3064</v>
      </c>
      <c r="E90" s="0" t="n">
        <v>6</v>
      </c>
      <c r="F90" s="0" t="n">
        <v>6</v>
      </c>
      <c r="G90" s="0" t="s">
        <v>3064</v>
      </c>
      <c r="H90" s="54" t="n">
        <v>3461.67383333333</v>
      </c>
      <c r="I90" s="54" t="n">
        <v>4084.77512333333</v>
      </c>
      <c r="J90" s="54" t="n">
        <v>4084.7751070572</v>
      </c>
      <c r="K90" s="54" t="n">
        <v>-1.62761298270198E-005</v>
      </c>
      <c r="L90" s="54" t="n">
        <v>4085</v>
      </c>
      <c r="M90" s="0" t="s">
        <v>3129</v>
      </c>
      <c r="N90" s="57" t="s">
        <v>3066</v>
      </c>
    </row>
    <row r="91" customFormat="false" ht="15" hidden="false" customHeight="false" outlineLevel="0" collapsed="false">
      <c r="A91" s="0" t="s">
        <v>492</v>
      </c>
      <c r="B91" s="0" t="s">
        <v>368</v>
      </c>
      <c r="C91" s="0" t="s">
        <v>368</v>
      </c>
      <c r="D91" s="0" t="s">
        <v>3064</v>
      </c>
      <c r="E91" s="0" t="n">
        <v>4</v>
      </c>
      <c r="F91" s="0" t="n">
        <v>4</v>
      </c>
      <c r="G91" s="0" t="s">
        <v>3064</v>
      </c>
      <c r="H91" s="54" t="n">
        <v>3577.24827586207</v>
      </c>
      <c r="I91" s="54" t="n">
        <v>4221.15296551724</v>
      </c>
      <c r="J91" s="54" t="n">
        <v>4221.1529503636</v>
      </c>
      <c r="K91" s="54" t="n">
        <v>-1.51536396515439E-005</v>
      </c>
      <c r="L91" s="54" t="n">
        <v>4221</v>
      </c>
      <c r="M91" s="0" t="s">
        <v>3130</v>
      </c>
      <c r="N91" s="57" t="s">
        <v>3066</v>
      </c>
    </row>
    <row r="92" customFormat="false" ht="15" hidden="false" customHeight="false" outlineLevel="0" collapsed="false">
      <c r="A92" s="0" t="s">
        <v>497</v>
      </c>
      <c r="B92" s="0" t="s">
        <v>368</v>
      </c>
      <c r="C92" s="0" t="s">
        <v>368</v>
      </c>
      <c r="D92" s="0" t="s">
        <v>3064</v>
      </c>
      <c r="E92" s="0" t="n">
        <v>3</v>
      </c>
      <c r="F92" s="0" t="n">
        <v>3</v>
      </c>
      <c r="G92" s="0" t="s">
        <v>3064</v>
      </c>
      <c r="H92" s="54" t="n">
        <v>105154</v>
      </c>
      <c r="I92" s="54" t="n">
        <v>124081.72</v>
      </c>
      <c r="J92" s="54" t="n">
        <v>124081.72</v>
      </c>
      <c r="K92" s="54" t="n">
        <v>0</v>
      </c>
      <c r="L92" s="54" t="n">
        <v>124082</v>
      </c>
      <c r="M92" s="0" t="s">
        <v>3131</v>
      </c>
      <c r="N92" s="57" t="s">
        <v>3066</v>
      </c>
    </row>
    <row r="93" customFormat="false" ht="15" hidden="false" customHeight="false" outlineLevel="0" collapsed="false">
      <c r="A93" s="0" t="s">
        <v>502</v>
      </c>
      <c r="B93" s="0" t="s">
        <v>386</v>
      </c>
      <c r="C93" s="0" t="s">
        <v>386</v>
      </c>
      <c r="D93" s="0" t="s">
        <v>3064</v>
      </c>
      <c r="E93" s="0" t="n">
        <v>5</v>
      </c>
      <c r="F93" s="0" t="n">
        <v>5</v>
      </c>
      <c r="G93" s="0" t="s">
        <v>3064</v>
      </c>
      <c r="H93" s="54" t="n">
        <v>94.16</v>
      </c>
      <c r="I93" s="54" t="n">
        <v>111.1088</v>
      </c>
      <c r="J93" s="54" t="n">
        <v>111.1088</v>
      </c>
      <c r="K93" s="54" t="n">
        <v>-1.4210854715202E-014</v>
      </c>
      <c r="L93" s="54" t="n">
        <v>111</v>
      </c>
      <c r="M93" s="0" t="s">
        <v>3132</v>
      </c>
      <c r="N93" s="57" t="s">
        <v>3066</v>
      </c>
    </row>
    <row r="94" customFormat="false" ht="15" hidden="false" customHeight="false" outlineLevel="0" collapsed="false">
      <c r="A94" s="0" t="s">
        <v>508</v>
      </c>
      <c r="B94" s="0" t="s">
        <v>386</v>
      </c>
      <c r="C94" s="0" t="s">
        <v>386</v>
      </c>
      <c r="D94" s="0" t="s">
        <v>3064</v>
      </c>
      <c r="E94" s="0" t="n">
        <v>5</v>
      </c>
      <c r="F94" s="0" t="n">
        <v>5</v>
      </c>
      <c r="G94" s="0" t="s">
        <v>3064</v>
      </c>
      <c r="H94" s="54" t="n">
        <v>113.5</v>
      </c>
      <c r="I94" s="54" t="n">
        <v>133.93</v>
      </c>
      <c r="J94" s="54" t="n">
        <v>133.93</v>
      </c>
      <c r="K94" s="54" t="n">
        <v>0</v>
      </c>
      <c r="L94" s="54" t="n">
        <v>134</v>
      </c>
      <c r="M94" s="0" t="s">
        <v>3133</v>
      </c>
      <c r="N94" s="57" t="s">
        <v>3066</v>
      </c>
    </row>
    <row r="95" customFormat="false" ht="15" hidden="false" customHeight="false" outlineLevel="0" collapsed="false">
      <c r="A95" s="0" t="s">
        <v>511</v>
      </c>
      <c r="B95" s="0" t="s">
        <v>386</v>
      </c>
      <c r="C95" s="0" t="s">
        <v>386</v>
      </c>
      <c r="D95" s="0" t="s">
        <v>3064</v>
      </c>
      <c r="E95" s="0" t="n">
        <v>3</v>
      </c>
      <c r="F95" s="0" t="n">
        <v>3</v>
      </c>
      <c r="G95" s="0" t="s">
        <v>3064</v>
      </c>
      <c r="H95" s="54" t="n">
        <v>31.7493</v>
      </c>
      <c r="I95" s="54" t="n">
        <v>37.464174</v>
      </c>
      <c r="J95" s="54" t="n">
        <v>37.464174</v>
      </c>
      <c r="K95" s="54" t="n">
        <v>0</v>
      </c>
      <c r="L95" s="54" t="n">
        <v>37</v>
      </c>
      <c r="M95" s="0" t="s">
        <v>3134</v>
      </c>
      <c r="N95" s="57" t="s">
        <v>3066</v>
      </c>
    </row>
    <row r="96" customFormat="false" ht="15" hidden="false" customHeight="false" outlineLevel="0" collapsed="false">
      <c r="A96" s="0" t="s">
        <v>516</v>
      </c>
      <c r="B96" s="0" t="s">
        <v>386</v>
      </c>
      <c r="C96" s="0" t="s">
        <v>386</v>
      </c>
      <c r="D96" s="0" t="s">
        <v>3064</v>
      </c>
      <c r="E96" s="0" t="n">
        <v>3</v>
      </c>
      <c r="F96" s="0" t="n">
        <v>3</v>
      </c>
      <c r="G96" s="0" t="s">
        <v>3064</v>
      </c>
      <c r="H96" s="54" t="n">
        <v>46.2723</v>
      </c>
      <c r="I96" s="54" t="n">
        <v>54.601314</v>
      </c>
      <c r="J96" s="54" t="n">
        <v>54.601314</v>
      </c>
      <c r="K96" s="54" t="n">
        <v>-1.4210854715202E-014</v>
      </c>
      <c r="L96" s="54" t="n">
        <v>55</v>
      </c>
      <c r="M96" s="0" t="s">
        <v>3135</v>
      </c>
      <c r="N96" s="57" t="s">
        <v>3066</v>
      </c>
    </row>
    <row r="97" customFormat="false" ht="15" hidden="false" customHeight="false" outlineLevel="0" collapsed="false">
      <c r="A97" s="0" t="s">
        <v>519</v>
      </c>
      <c r="B97" s="0" t="s">
        <v>386</v>
      </c>
      <c r="C97" s="0" t="s">
        <v>386</v>
      </c>
      <c r="D97" s="0" t="s">
        <v>3064</v>
      </c>
      <c r="E97" s="0" t="n">
        <v>3</v>
      </c>
      <c r="F97" s="0" t="n">
        <v>3</v>
      </c>
      <c r="G97" s="0" t="s">
        <v>3064</v>
      </c>
      <c r="H97" s="54" t="n">
        <v>70.5082</v>
      </c>
      <c r="I97" s="54" t="n">
        <v>83.199676</v>
      </c>
      <c r="J97" s="54" t="n">
        <v>83.199676</v>
      </c>
      <c r="K97" s="54" t="n">
        <v>0</v>
      </c>
      <c r="L97" s="54" t="n">
        <v>83</v>
      </c>
      <c r="M97" s="0" t="s">
        <v>3136</v>
      </c>
      <c r="N97" s="57" t="s">
        <v>3066</v>
      </c>
    </row>
    <row r="98" customFormat="false" ht="15" hidden="false" customHeight="false" outlineLevel="0" collapsed="false">
      <c r="A98" s="0" t="s">
        <v>522</v>
      </c>
      <c r="B98" s="0" t="s">
        <v>368</v>
      </c>
      <c r="C98" s="0" t="s">
        <v>368</v>
      </c>
      <c r="D98" s="0" t="s">
        <v>3064</v>
      </c>
      <c r="E98" s="0" t="n">
        <v>8</v>
      </c>
      <c r="F98" s="0" t="n">
        <v>8</v>
      </c>
      <c r="G98" s="0" t="s">
        <v>3064</v>
      </c>
      <c r="H98" s="54" t="n">
        <v>4847.01</v>
      </c>
      <c r="I98" s="54" t="n">
        <v>5719.4718</v>
      </c>
      <c r="J98" s="54" t="n">
        <v>5719.4718</v>
      </c>
      <c r="K98" s="54" t="n">
        <v>0</v>
      </c>
      <c r="L98" s="54" t="n">
        <v>5719</v>
      </c>
      <c r="M98" s="0" t="s">
        <v>3137</v>
      </c>
      <c r="N98" s="57" t="s">
        <v>3066</v>
      </c>
    </row>
    <row r="99" customFormat="false" ht="15" hidden="false" customHeight="false" outlineLevel="0" collapsed="false">
      <c r="A99" s="0" t="s">
        <v>527</v>
      </c>
      <c r="B99" s="0" t="s">
        <v>368</v>
      </c>
      <c r="C99" s="0" t="s">
        <v>368</v>
      </c>
      <c r="D99" s="0" t="s">
        <v>3064</v>
      </c>
      <c r="E99" s="0" t="n">
        <v>7</v>
      </c>
      <c r="F99" s="0" t="n">
        <v>7</v>
      </c>
      <c r="G99" s="0" t="s">
        <v>3064</v>
      </c>
      <c r="H99" s="54" t="n">
        <v>7544.882</v>
      </c>
      <c r="I99" s="54" t="n">
        <v>8902.96076</v>
      </c>
      <c r="J99" s="54" t="n">
        <v>8902.96076</v>
      </c>
      <c r="K99" s="54" t="n">
        <v>0</v>
      </c>
      <c r="L99" s="54" t="n">
        <v>8903</v>
      </c>
      <c r="M99" s="0" t="s">
        <v>3138</v>
      </c>
      <c r="N99" s="57" t="s">
        <v>3066</v>
      </c>
    </row>
    <row r="100" customFormat="false" ht="15" hidden="false" customHeight="false" outlineLevel="0" collapsed="false">
      <c r="A100" s="0" t="s">
        <v>531</v>
      </c>
      <c r="B100" s="0" t="s">
        <v>368</v>
      </c>
      <c r="C100" s="0" t="s">
        <v>368</v>
      </c>
      <c r="D100" s="0" t="s">
        <v>3064</v>
      </c>
      <c r="E100" s="0" t="n">
        <v>3</v>
      </c>
      <c r="F100" s="0" t="n">
        <v>3</v>
      </c>
      <c r="G100" s="0" t="s">
        <v>3064</v>
      </c>
      <c r="H100" s="54" t="n">
        <v>49607.2</v>
      </c>
      <c r="I100" s="54" t="n">
        <v>58536.496</v>
      </c>
      <c r="J100" s="54" t="n">
        <v>58536.496</v>
      </c>
      <c r="K100" s="54" t="n">
        <v>0</v>
      </c>
      <c r="L100" s="54" t="n">
        <v>58536</v>
      </c>
      <c r="M100" s="0" t="s">
        <v>3139</v>
      </c>
      <c r="N100" s="57" t="s">
        <v>3066</v>
      </c>
    </row>
    <row r="101" customFormat="false" ht="15" hidden="false" customHeight="false" outlineLevel="0" collapsed="false">
      <c r="A101" s="0" t="s">
        <v>536</v>
      </c>
      <c r="B101" s="0" t="s">
        <v>368</v>
      </c>
      <c r="C101" s="0" t="s">
        <v>368</v>
      </c>
      <c r="D101" s="0" t="s">
        <v>3064</v>
      </c>
      <c r="E101" s="0" t="n">
        <v>3</v>
      </c>
      <c r="F101" s="0" t="n">
        <v>3</v>
      </c>
      <c r="G101" s="0" t="s">
        <v>3064</v>
      </c>
      <c r="H101" s="54" t="n">
        <v>64115.62</v>
      </c>
      <c r="I101" s="54" t="n">
        <v>75656.4316</v>
      </c>
      <c r="J101" s="54" t="n">
        <v>75656.4316</v>
      </c>
      <c r="K101" s="54" t="n">
        <v>1.45519152283669E-011</v>
      </c>
      <c r="L101" s="54" t="n">
        <v>75656</v>
      </c>
      <c r="M101" s="0" t="s">
        <v>3140</v>
      </c>
      <c r="N101" s="57" t="s">
        <v>3066</v>
      </c>
    </row>
    <row r="102" customFormat="false" ht="15" hidden="false" customHeight="false" outlineLevel="0" collapsed="false">
      <c r="A102" s="0" t="s">
        <v>540</v>
      </c>
      <c r="B102" s="0" t="s">
        <v>368</v>
      </c>
      <c r="C102" s="0" t="s">
        <v>368</v>
      </c>
      <c r="D102" s="0" t="s">
        <v>3064</v>
      </c>
      <c r="E102" s="0" t="n">
        <v>5</v>
      </c>
      <c r="F102" s="0" t="n">
        <v>5</v>
      </c>
      <c r="G102" s="0" t="s">
        <v>3064</v>
      </c>
      <c r="H102" s="54" t="n">
        <v>21799.23</v>
      </c>
      <c r="I102" s="54" t="n">
        <v>25723.0914</v>
      </c>
      <c r="J102" s="54" t="n">
        <v>25723.0914</v>
      </c>
      <c r="K102" s="54" t="n">
        <v>-3.63797880709171E-012</v>
      </c>
      <c r="L102" s="54" t="n">
        <v>25723</v>
      </c>
      <c r="M102" s="0" t="s">
        <v>3141</v>
      </c>
      <c r="N102" s="57" t="s">
        <v>3066</v>
      </c>
    </row>
    <row r="103" customFormat="false" ht="15" hidden="false" customHeight="false" outlineLevel="0" collapsed="false">
      <c r="A103" s="0" t="s">
        <v>545</v>
      </c>
      <c r="B103" s="0" t="s">
        <v>368</v>
      </c>
      <c r="C103" s="0" t="s">
        <v>368</v>
      </c>
      <c r="D103" s="0" t="s">
        <v>3064</v>
      </c>
      <c r="E103" s="0" t="n">
        <v>5</v>
      </c>
      <c r="F103" s="0" t="n">
        <v>5</v>
      </c>
      <c r="G103" s="0" t="s">
        <v>3064</v>
      </c>
      <c r="H103" s="54" t="n">
        <v>14258.4</v>
      </c>
      <c r="I103" s="54" t="n">
        <v>16824.912</v>
      </c>
      <c r="J103" s="54" t="n">
        <v>16824.912</v>
      </c>
      <c r="K103" s="54" t="n">
        <v>0</v>
      </c>
      <c r="L103" s="54" t="n">
        <v>16825</v>
      </c>
      <c r="M103" s="0" t="s">
        <v>3142</v>
      </c>
      <c r="N103" s="57" t="s">
        <v>3066</v>
      </c>
    </row>
    <row r="104" customFormat="false" ht="15" hidden="false" customHeight="false" outlineLevel="0" collapsed="false">
      <c r="A104" s="0" t="s">
        <v>551</v>
      </c>
      <c r="B104" s="0" t="s">
        <v>212</v>
      </c>
      <c r="C104" s="0" t="s">
        <v>212</v>
      </c>
      <c r="D104" s="0" t="s">
        <v>3064</v>
      </c>
      <c r="E104" s="0" t="n">
        <v>4</v>
      </c>
      <c r="F104" s="0" t="n">
        <v>4</v>
      </c>
      <c r="G104" s="0" t="s">
        <v>3064</v>
      </c>
      <c r="H104" s="54" t="n">
        <v>325.886</v>
      </c>
      <c r="I104" s="54" t="n">
        <v>384.54548</v>
      </c>
      <c r="J104" s="54" t="n">
        <v>384.54548</v>
      </c>
      <c r="K104" s="54" t="n">
        <v>0</v>
      </c>
      <c r="L104" s="54" t="n">
        <v>385</v>
      </c>
      <c r="M104" s="0" t="s">
        <v>3143</v>
      </c>
      <c r="N104" s="57" t="s">
        <v>3066</v>
      </c>
    </row>
    <row r="105" customFormat="false" ht="15" hidden="false" customHeight="false" outlineLevel="0" collapsed="false">
      <c r="A105" s="0" t="s">
        <v>556</v>
      </c>
      <c r="B105" s="0" t="s">
        <v>212</v>
      </c>
      <c r="C105" s="0" t="s">
        <v>212</v>
      </c>
      <c r="D105" s="0" t="s">
        <v>3064</v>
      </c>
      <c r="E105" s="0" t="n">
        <v>3</v>
      </c>
      <c r="F105" s="0" t="n">
        <v>3</v>
      </c>
      <c r="G105" s="0" t="s">
        <v>3064</v>
      </c>
      <c r="H105" s="54" t="n">
        <v>419.311621621622</v>
      </c>
      <c r="I105" s="54" t="n">
        <v>494.787713513514</v>
      </c>
      <c r="J105" s="54" t="n">
        <v>494.7876955284</v>
      </c>
      <c r="K105" s="54" t="n">
        <v>-1.79851140273968E-005</v>
      </c>
      <c r="L105" s="54" t="n">
        <v>495</v>
      </c>
      <c r="M105" s="0" t="s">
        <v>3144</v>
      </c>
      <c r="N105" s="57" t="s">
        <v>3066</v>
      </c>
    </row>
    <row r="106" customFormat="false" ht="15" hidden="false" customHeight="false" outlineLevel="0" collapsed="false">
      <c r="A106" s="0" t="s">
        <v>561</v>
      </c>
      <c r="B106" s="0" t="s">
        <v>368</v>
      </c>
      <c r="C106" s="0" t="s">
        <v>368</v>
      </c>
      <c r="D106" s="0" t="s">
        <v>3064</v>
      </c>
      <c r="E106" s="0" t="n">
        <v>5</v>
      </c>
      <c r="F106" s="0" t="n">
        <v>5</v>
      </c>
      <c r="G106" s="0" t="s">
        <v>3064</v>
      </c>
      <c r="H106" s="54" t="n">
        <v>146637.885</v>
      </c>
      <c r="I106" s="54" t="n">
        <v>173032.7043</v>
      </c>
      <c r="J106" s="54" t="n">
        <v>173032.7043</v>
      </c>
      <c r="K106" s="54" t="n">
        <v>-2.91038304567337E-011</v>
      </c>
      <c r="L106" s="54" t="n">
        <v>173033</v>
      </c>
      <c r="M106" s="0" t="s">
        <v>3145</v>
      </c>
      <c r="N106" s="57" t="s">
        <v>3066</v>
      </c>
    </row>
    <row r="107" customFormat="false" ht="15" hidden="false" customHeight="false" outlineLevel="0" collapsed="false">
      <c r="A107" s="0" t="s">
        <v>566</v>
      </c>
      <c r="B107" s="0" t="s">
        <v>368</v>
      </c>
      <c r="C107" s="0" t="s">
        <v>368</v>
      </c>
      <c r="D107" s="0" t="s">
        <v>3064</v>
      </c>
      <c r="E107" s="0" t="n">
        <v>1</v>
      </c>
      <c r="F107" s="0" t="n">
        <v>1</v>
      </c>
      <c r="G107" s="0" t="s">
        <v>3064</v>
      </c>
      <c r="H107" s="54" t="n">
        <v>8500000</v>
      </c>
      <c r="I107" s="54" t="n">
        <v>10030000</v>
      </c>
      <c r="J107" s="54" t="n">
        <v>10030000</v>
      </c>
      <c r="K107" s="54" t="n">
        <v>0</v>
      </c>
      <c r="L107" s="54" t="n">
        <v>10030000</v>
      </c>
      <c r="M107" s="0" t="s">
        <v>1315</v>
      </c>
      <c r="N107" s="57" t="s">
        <v>3066</v>
      </c>
    </row>
    <row r="108" customFormat="false" ht="15" hidden="false" customHeight="false" outlineLevel="0" collapsed="false">
      <c r="A108" s="0" t="s">
        <v>572</v>
      </c>
      <c r="B108" s="0" t="s">
        <v>386</v>
      </c>
      <c r="C108" s="0" t="s">
        <v>386</v>
      </c>
      <c r="D108" s="0" t="s">
        <v>3064</v>
      </c>
      <c r="E108" s="0" t="n">
        <v>4</v>
      </c>
      <c r="F108" s="0" t="n">
        <v>4</v>
      </c>
      <c r="G108" s="0" t="s">
        <v>3064</v>
      </c>
      <c r="H108" s="54" t="n">
        <v>3169.65</v>
      </c>
      <c r="I108" s="54" t="n">
        <v>3740.187</v>
      </c>
      <c r="J108" s="54" t="n">
        <v>3740.1870147028</v>
      </c>
      <c r="K108" s="54" t="n">
        <v>1.47027994898963E-005</v>
      </c>
      <c r="L108" s="54" t="n">
        <v>3740</v>
      </c>
      <c r="M108" s="0" t="s">
        <v>3146</v>
      </c>
      <c r="N108" s="57" t="s">
        <v>3066</v>
      </c>
    </row>
    <row r="109" customFormat="false" ht="15" hidden="false" customHeight="false" outlineLevel="0" collapsed="false">
      <c r="A109" s="0" t="s">
        <v>578</v>
      </c>
      <c r="B109" s="0" t="s">
        <v>386</v>
      </c>
      <c r="C109" s="0" t="s">
        <v>386</v>
      </c>
      <c r="D109" s="0" t="s">
        <v>3064</v>
      </c>
      <c r="E109" s="0" t="n">
        <v>4</v>
      </c>
      <c r="F109" s="0" t="n">
        <v>4</v>
      </c>
      <c r="G109" s="0" t="s">
        <v>3064</v>
      </c>
      <c r="H109" s="54" t="n">
        <v>6000.015</v>
      </c>
      <c r="I109" s="54" t="n">
        <v>7080.0177</v>
      </c>
      <c r="J109" s="54" t="n">
        <v>7080.0177</v>
      </c>
      <c r="K109" s="54" t="n">
        <v>-9.09494701772928E-013</v>
      </c>
      <c r="L109" s="54" t="n">
        <v>7080</v>
      </c>
      <c r="M109" s="0" t="s">
        <v>3147</v>
      </c>
      <c r="N109" s="57" t="s">
        <v>3066</v>
      </c>
    </row>
    <row r="110" customFormat="false" ht="15" hidden="false" customHeight="false" outlineLevel="0" collapsed="false">
      <c r="A110" s="0" t="s">
        <v>583</v>
      </c>
      <c r="B110" s="0" t="s">
        <v>386</v>
      </c>
      <c r="C110" s="0" t="s">
        <v>386</v>
      </c>
      <c r="D110" s="0" t="s">
        <v>3064</v>
      </c>
      <c r="E110" s="0" t="n">
        <v>5</v>
      </c>
      <c r="F110" s="0" t="n">
        <v>5</v>
      </c>
      <c r="G110" s="0" t="s">
        <v>3064</v>
      </c>
      <c r="H110" s="54" t="n">
        <v>73.51</v>
      </c>
      <c r="I110" s="54" t="n">
        <v>86.7418</v>
      </c>
      <c r="J110" s="54" t="n">
        <v>86.7417829372</v>
      </c>
      <c r="K110" s="54" t="n">
        <v>-1.70627999978024E-005</v>
      </c>
      <c r="L110" s="54" t="n">
        <v>87</v>
      </c>
      <c r="M110" s="0" t="s">
        <v>3148</v>
      </c>
      <c r="N110" s="57" t="s">
        <v>3066</v>
      </c>
    </row>
    <row r="111" customFormat="false" ht="15" hidden="false" customHeight="false" outlineLevel="0" collapsed="false">
      <c r="A111" s="0" t="s">
        <v>587</v>
      </c>
      <c r="B111" s="0" t="s">
        <v>386</v>
      </c>
      <c r="C111" s="0" t="s">
        <v>386</v>
      </c>
      <c r="D111" s="0" t="s">
        <v>3064</v>
      </c>
      <c r="E111" s="0" t="n">
        <v>5</v>
      </c>
      <c r="F111" s="0" t="n">
        <v>5</v>
      </c>
      <c r="G111" s="0" t="s">
        <v>3064</v>
      </c>
      <c r="H111" s="54" t="n">
        <v>166.601428571429</v>
      </c>
      <c r="I111" s="54" t="n">
        <v>196.589685714286</v>
      </c>
      <c r="J111" s="54" t="n">
        <v>196.5896637764</v>
      </c>
      <c r="K111" s="54" t="n">
        <v>-2.19378860037978E-005</v>
      </c>
      <c r="L111" s="54" t="n">
        <v>197</v>
      </c>
      <c r="M111" s="0" t="s">
        <v>3149</v>
      </c>
      <c r="N111" s="57" t="s">
        <v>3066</v>
      </c>
    </row>
    <row r="112" customFormat="false" ht="15" hidden="false" customHeight="false" outlineLevel="0" collapsed="false">
      <c r="A112" s="0" t="s">
        <v>591</v>
      </c>
      <c r="B112" s="0" t="s">
        <v>386</v>
      </c>
      <c r="C112" s="0" t="s">
        <v>386</v>
      </c>
      <c r="D112" s="0" t="s">
        <v>3064</v>
      </c>
      <c r="E112" s="0" t="n">
        <v>5</v>
      </c>
      <c r="F112" s="0" t="n">
        <v>5</v>
      </c>
      <c r="G112" s="0" t="s">
        <v>3064</v>
      </c>
      <c r="H112" s="54" t="n">
        <v>206.421428571429</v>
      </c>
      <c r="I112" s="54" t="n">
        <v>243.577285714286</v>
      </c>
      <c r="J112" s="54" t="n">
        <v>243.5772637764</v>
      </c>
      <c r="K112" s="54" t="n">
        <v>-2.19378859753761E-005</v>
      </c>
      <c r="L112" s="54" t="n">
        <v>244</v>
      </c>
      <c r="M112" s="0" t="s">
        <v>3150</v>
      </c>
      <c r="N112" s="57" t="s">
        <v>3066</v>
      </c>
    </row>
    <row r="113" customFormat="false" ht="15" hidden="false" customHeight="false" outlineLevel="0" collapsed="false">
      <c r="A113" s="0" t="s">
        <v>594</v>
      </c>
      <c r="B113" s="0" t="s">
        <v>386</v>
      </c>
      <c r="C113" s="0" t="s">
        <v>386</v>
      </c>
      <c r="D113" s="0" t="s">
        <v>3064</v>
      </c>
      <c r="E113" s="0" t="n">
        <v>5</v>
      </c>
      <c r="F113" s="0" t="n">
        <v>5</v>
      </c>
      <c r="G113" s="0" t="s">
        <v>3064</v>
      </c>
      <c r="H113" s="54" t="n">
        <v>278.946428571429</v>
      </c>
      <c r="I113" s="54" t="n">
        <v>329.156785714286</v>
      </c>
      <c r="J113" s="54" t="n">
        <v>329.1567637764</v>
      </c>
      <c r="K113" s="54" t="n">
        <v>-2.19378860037978E-005</v>
      </c>
      <c r="L113" s="54" t="n">
        <v>329</v>
      </c>
      <c r="M113" s="0" t="s">
        <v>3151</v>
      </c>
      <c r="N113" s="57" t="s">
        <v>3066</v>
      </c>
    </row>
    <row r="114" customFormat="false" ht="15" hidden="false" customHeight="false" outlineLevel="0" collapsed="false">
      <c r="A114" s="0" t="s">
        <v>597</v>
      </c>
      <c r="B114" s="0" t="s">
        <v>212</v>
      </c>
      <c r="C114" s="0" t="s">
        <v>212</v>
      </c>
      <c r="D114" s="0" t="s">
        <v>3064</v>
      </c>
      <c r="E114" s="0" t="n">
        <v>4</v>
      </c>
      <c r="F114" s="0" t="n">
        <v>4</v>
      </c>
      <c r="G114" s="0" t="s">
        <v>3064</v>
      </c>
      <c r="H114" s="54" t="n">
        <v>277.902</v>
      </c>
      <c r="I114" s="54" t="n">
        <v>327.92436</v>
      </c>
      <c r="J114" s="54" t="n">
        <v>327.92436</v>
      </c>
      <c r="K114" s="54" t="n">
        <v>0</v>
      </c>
      <c r="L114" s="54" t="n">
        <v>328</v>
      </c>
      <c r="M114" s="0" t="s">
        <v>3152</v>
      </c>
      <c r="N114" s="57" t="s">
        <v>3066</v>
      </c>
    </row>
    <row r="115" customFormat="false" ht="15" hidden="false" customHeight="false" outlineLevel="0" collapsed="false">
      <c r="A115" s="0" t="s">
        <v>601</v>
      </c>
      <c r="B115" s="0" t="s">
        <v>212</v>
      </c>
      <c r="C115" s="0" t="s">
        <v>212</v>
      </c>
      <c r="D115" s="0" t="s">
        <v>3064</v>
      </c>
      <c r="E115" s="0" t="n">
        <v>4</v>
      </c>
      <c r="F115" s="0" t="n">
        <v>4</v>
      </c>
      <c r="G115" s="0" t="s">
        <v>3064</v>
      </c>
      <c r="H115" s="54" t="n">
        <v>390.652</v>
      </c>
      <c r="I115" s="54" t="n">
        <v>460.96936</v>
      </c>
      <c r="J115" s="54" t="n">
        <v>460.96936</v>
      </c>
      <c r="K115" s="54" t="n">
        <v>0</v>
      </c>
      <c r="L115" s="54" t="n">
        <v>461</v>
      </c>
      <c r="M115" s="0" t="s">
        <v>3153</v>
      </c>
      <c r="N115" s="57" t="s">
        <v>3066</v>
      </c>
    </row>
    <row r="116" customFormat="false" ht="15" hidden="false" customHeight="false" outlineLevel="0" collapsed="false">
      <c r="A116" s="0" t="s">
        <v>605</v>
      </c>
      <c r="B116" s="0" t="s">
        <v>212</v>
      </c>
      <c r="C116" s="0" t="s">
        <v>212</v>
      </c>
      <c r="D116" s="0" t="s">
        <v>3064</v>
      </c>
      <c r="E116" s="0" t="n">
        <v>3</v>
      </c>
      <c r="F116" s="0" t="n">
        <v>3</v>
      </c>
      <c r="G116" s="0" t="s">
        <v>3064</v>
      </c>
      <c r="H116" s="54" t="n">
        <v>200</v>
      </c>
      <c r="I116" s="54" t="n">
        <v>236</v>
      </c>
      <c r="J116" s="54" t="n">
        <v>236</v>
      </c>
      <c r="K116" s="54" t="n">
        <v>0</v>
      </c>
      <c r="L116" s="54" t="n">
        <v>236</v>
      </c>
      <c r="M116" s="0" t="s">
        <v>3154</v>
      </c>
      <c r="N116" s="57" t="s">
        <v>3066</v>
      </c>
    </row>
    <row r="117" customFormat="false" ht="15" hidden="false" customHeight="false" outlineLevel="0" collapsed="false">
      <c r="A117" s="0" t="s">
        <v>609</v>
      </c>
      <c r="B117" s="0" t="s">
        <v>386</v>
      </c>
      <c r="C117" s="0" t="s">
        <v>386</v>
      </c>
      <c r="D117" s="0" t="s">
        <v>3064</v>
      </c>
      <c r="E117" s="0" t="n">
        <v>5</v>
      </c>
      <c r="F117" s="0" t="n">
        <v>5</v>
      </c>
      <c r="G117" s="0" t="s">
        <v>3064</v>
      </c>
      <c r="H117" s="54" t="n">
        <v>106.796197407407</v>
      </c>
      <c r="I117" s="54" t="n">
        <v>126.019512940741</v>
      </c>
      <c r="J117" s="54" t="n">
        <v>126.0195259828</v>
      </c>
      <c r="K117" s="54" t="n">
        <v>1.30420590096492E-005</v>
      </c>
      <c r="L117" s="54" t="n">
        <v>126</v>
      </c>
      <c r="M117" s="0" t="s">
        <v>3083</v>
      </c>
      <c r="N117" s="57" t="s">
        <v>3066</v>
      </c>
    </row>
    <row r="118" customFormat="false" ht="15" hidden="false" customHeight="false" outlineLevel="0" collapsed="false">
      <c r="A118" s="0" t="s">
        <v>613</v>
      </c>
      <c r="B118" s="0" t="s">
        <v>212</v>
      </c>
      <c r="C118" s="0" t="s">
        <v>212</v>
      </c>
      <c r="D118" s="0" t="s">
        <v>3064</v>
      </c>
      <c r="E118" s="0" t="n">
        <v>4</v>
      </c>
      <c r="F118" s="0" t="n">
        <v>4</v>
      </c>
      <c r="G118" s="0" t="s">
        <v>3064</v>
      </c>
      <c r="H118" s="54" t="n">
        <v>77.7134</v>
      </c>
      <c r="I118" s="54" t="n">
        <v>91.701812</v>
      </c>
      <c r="J118" s="54" t="n">
        <v>91.701812</v>
      </c>
      <c r="K118" s="54" t="n">
        <v>0</v>
      </c>
      <c r="L118" s="54" t="n">
        <v>92</v>
      </c>
      <c r="M118" s="0" t="s">
        <v>3073</v>
      </c>
      <c r="N118" s="57" t="s">
        <v>3066</v>
      </c>
    </row>
    <row r="119" customFormat="false" ht="15" hidden="false" customHeight="false" outlineLevel="0" collapsed="false">
      <c r="A119" s="0" t="s">
        <v>617</v>
      </c>
      <c r="B119" s="0" t="s">
        <v>212</v>
      </c>
      <c r="C119" s="0" t="s">
        <v>212</v>
      </c>
      <c r="D119" s="0" t="s">
        <v>3064</v>
      </c>
      <c r="E119" s="0" t="n">
        <v>4</v>
      </c>
      <c r="F119" s="0" t="n">
        <v>4</v>
      </c>
      <c r="G119" s="0" t="s">
        <v>3064</v>
      </c>
      <c r="H119" s="54" t="n">
        <v>59.7124027777778</v>
      </c>
      <c r="I119" s="54" t="n">
        <v>70.4606352777778</v>
      </c>
      <c r="J119" s="54" t="n">
        <v>70.4606299704</v>
      </c>
      <c r="K119" s="54" t="n">
        <v>-5.3073778047974E-006</v>
      </c>
      <c r="L119" s="54" t="n">
        <v>70</v>
      </c>
      <c r="M119" s="0" t="s">
        <v>3073</v>
      </c>
      <c r="N119" s="57" t="s">
        <v>3066</v>
      </c>
    </row>
    <row r="120" customFormat="false" ht="15" hidden="false" customHeight="false" outlineLevel="0" collapsed="false">
      <c r="A120" s="0" t="s">
        <v>621</v>
      </c>
      <c r="B120" s="0" t="s">
        <v>212</v>
      </c>
      <c r="C120" s="0" t="s">
        <v>212</v>
      </c>
      <c r="D120" s="0" t="s">
        <v>3064</v>
      </c>
      <c r="E120" s="0" t="n">
        <v>4</v>
      </c>
      <c r="F120" s="0" t="n">
        <v>4</v>
      </c>
      <c r="G120" s="0" t="s">
        <v>3064</v>
      </c>
      <c r="H120" s="54" t="n">
        <v>89.5749002195652</v>
      </c>
      <c r="I120" s="54" t="n">
        <v>105.698382259087</v>
      </c>
      <c r="J120" s="54" t="n">
        <v>105.698372088</v>
      </c>
      <c r="K120" s="54" t="n">
        <v>-1.01710869984117E-005</v>
      </c>
      <c r="L120" s="54" t="n">
        <v>106</v>
      </c>
      <c r="M120" s="0" t="s">
        <v>3079</v>
      </c>
      <c r="N120" s="57" t="s">
        <v>3066</v>
      </c>
    </row>
    <row r="121" customFormat="false" ht="15" hidden="false" customHeight="false" outlineLevel="0" collapsed="false">
      <c r="A121" s="0" t="s">
        <v>625</v>
      </c>
      <c r="B121" s="0" t="s">
        <v>2912</v>
      </c>
      <c r="C121" s="0" t="s">
        <v>2912</v>
      </c>
      <c r="D121" s="0" t="s">
        <v>3064</v>
      </c>
      <c r="E121" s="0" t="n">
        <v>5</v>
      </c>
      <c r="F121" s="0" t="n">
        <v>5</v>
      </c>
      <c r="G121" s="0" t="s">
        <v>3064</v>
      </c>
      <c r="H121" s="54" t="n">
        <v>435.385954545455</v>
      </c>
      <c r="I121" s="54" t="n">
        <v>513.755426363636</v>
      </c>
      <c r="J121" s="54" t="n">
        <v>513.7554360332</v>
      </c>
      <c r="K121" s="54" t="n">
        <v>9.66956406500685E-006</v>
      </c>
      <c r="L121" s="54" t="n">
        <v>514</v>
      </c>
      <c r="M121" s="0" t="s">
        <v>3072</v>
      </c>
      <c r="N121" s="57" t="s">
        <v>3066</v>
      </c>
    </row>
    <row r="122" customFormat="false" ht="15" hidden="false" customHeight="false" outlineLevel="0" collapsed="false">
      <c r="A122" s="0" t="s">
        <v>629</v>
      </c>
      <c r="B122" s="0" t="s">
        <v>2912</v>
      </c>
      <c r="C122" s="0" t="s">
        <v>2912</v>
      </c>
      <c r="D122" s="0" t="s">
        <v>3064</v>
      </c>
      <c r="E122" s="0" t="n">
        <v>7</v>
      </c>
      <c r="F122" s="0" t="n">
        <v>7</v>
      </c>
      <c r="G122" s="0" t="s">
        <v>3064</v>
      </c>
      <c r="H122" s="54" t="n">
        <v>580.083589333333</v>
      </c>
      <c r="I122" s="54" t="n">
        <v>684.498635413333</v>
      </c>
      <c r="J122" s="54" t="n">
        <v>684.49864918</v>
      </c>
      <c r="K122" s="54" t="n">
        <v>1.37666669388636E-005</v>
      </c>
      <c r="L122" s="54" t="n">
        <v>684</v>
      </c>
      <c r="M122" s="0" t="s">
        <v>3155</v>
      </c>
      <c r="N122" s="57" t="s">
        <v>3066</v>
      </c>
    </row>
    <row r="123" customFormat="false" ht="15" hidden="false" customHeight="false" outlineLevel="0" collapsed="false">
      <c r="A123" s="0" t="s">
        <v>633</v>
      </c>
      <c r="B123" s="0" t="s">
        <v>212</v>
      </c>
      <c r="C123" s="0" t="s">
        <v>212</v>
      </c>
      <c r="D123" s="0" t="s">
        <v>3064</v>
      </c>
      <c r="E123" s="0" t="n">
        <v>7</v>
      </c>
      <c r="F123" s="0" t="n">
        <v>7</v>
      </c>
      <c r="G123" s="0" t="s">
        <v>3064</v>
      </c>
      <c r="H123" s="54" t="n">
        <v>106.760416666667</v>
      </c>
      <c r="I123" s="54" t="n">
        <v>125.977291666667</v>
      </c>
      <c r="J123" s="54" t="n">
        <v>125.9773133</v>
      </c>
      <c r="K123" s="54" t="n">
        <v>2.1633333005866E-005</v>
      </c>
      <c r="L123" s="54" t="n">
        <v>126</v>
      </c>
      <c r="M123" s="0" t="s">
        <v>3074</v>
      </c>
      <c r="N123" s="57" t="s">
        <v>3066</v>
      </c>
    </row>
    <row r="124" customFormat="false" ht="15" hidden="false" customHeight="false" outlineLevel="0" collapsed="false">
      <c r="A124" s="0" t="s">
        <v>637</v>
      </c>
      <c r="B124" s="0" t="s">
        <v>212</v>
      </c>
      <c r="C124" s="0" t="s">
        <v>212</v>
      </c>
      <c r="D124" s="0" t="s">
        <v>3064</v>
      </c>
      <c r="E124" s="0" t="n">
        <v>6</v>
      </c>
      <c r="F124" s="0" t="n">
        <v>6</v>
      </c>
      <c r="G124" s="0" t="s">
        <v>3064</v>
      </c>
      <c r="H124" s="54" t="n">
        <v>87.6727243589744</v>
      </c>
      <c r="I124" s="54" t="n">
        <v>103.45381474359</v>
      </c>
      <c r="J124" s="54" t="n">
        <v>103.4538471004</v>
      </c>
      <c r="K124" s="54" t="n">
        <v>3.23568099958038E-005</v>
      </c>
      <c r="L124" s="54" t="n">
        <v>103</v>
      </c>
      <c r="M124" s="0" t="s">
        <v>3075</v>
      </c>
      <c r="N124" s="57" t="s">
        <v>3066</v>
      </c>
    </row>
    <row r="125" customFormat="false" ht="15" hidden="false" customHeight="false" outlineLevel="0" collapsed="false">
      <c r="A125" s="0" t="s">
        <v>640</v>
      </c>
      <c r="B125" s="0" t="s">
        <v>3156</v>
      </c>
      <c r="C125" s="0" t="s">
        <v>3156</v>
      </c>
      <c r="D125" s="0" t="s">
        <v>3064</v>
      </c>
      <c r="E125" s="0" t="n">
        <v>4</v>
      </c>
      <c r="F125" s="0" t="n">
        <v>4</v>
      </c>
      <c r="G125" s="0" t="s">
        <v>3064</v>
      </c>
      <c r="H125" s="54" t="n">
        <v>263787.777777778</v>
      </c>
      <c r="I125" s="54" t="n">
        <v>311269.577777778</v>
      </c>
      <c r="J125" s="54" t="n">
        <v>311269.577788235</v>
      </c>
      <c r="K125" s="54" t="n">
        <v>1.04572391137481E-005</v>
      </c>
      <c r="L125" s="54" t="n">
        <v>311270</v>
      </c>
      <c r="M125" s="0" t="s">
        <v>3071</v>
      </c>
      <c r="N125" s="57" t="s">
        <v>3066</v>
      </c>
    </row>
    <row r="126" customFormat="false" ht="15" hidden="false" customHeight="false" outlineLevel="0" collapsed="false">
      <c r="A126" s="0" t="s">
        <v>645</v>
      </c>
      <c r="B126" s="0" t="s">
        <v>2912</v>
      </c>
      <c r="C126" s="0" t="s">
        <v>2912</v>
      </c>
      <c r="D126" s="0" t="s">
        <v>3064</v>
      </c>
      <c r="E126" s="0" t="n">
        <v>5</v>
      </c>
      <c r="F126" s="0" t="n">
        <v>5</v>
      </c>
      <c r="G126" s="0" t="s">
        <v>3064</v>
      </c>
      <c r="H126" s="54" t="n">
        <v>467.353709677419</v>
      </c>
      <c r="I126" s="54" t="n">
        <v>551.477377419355</v>
      </c>
      <c r="J126" s="54" t="n">
        <v>551.4773632506</v>
      </c>
      <c r="K126" s="54" t="n">
        <v>-1.41687550012648E-005</v>
      </c>
      <c r="L126" s="54" t="n">
        <v>551</v>
      </c>
      <c r="M126" s="0" t="s">
        <v>3157</v>
      </c>
      <c r="N126" s="57" t="s">
        <v>3066</v>
      </c>
    </row>
    <row r="127" customFormat="false" ht="15" hidden="false" customHeight="false" outlineLevel="0" collapsed="false">
      <c r="A127" s="0" t="s">
        <v>651</v>
      </c>
      <c r="B127" s="0" t="s">
        <v>2912</v>
      </c>
      <c r="C127" s="0" t="s">
        <v>2912</v>
      </c>
      <c r="D127" s="0" t="s">
        <v>3064</v>
      </c>
      <c r="E127" s="0" t="n">
        <v>5</v>
      </c>
      <c r="F127" s="0" t="n">
        <v>5</v>
      </c>
      <c r="G127" s="0" t="s">
        <v>3064</v>
      </c>
      <c r="H127" s="54" t="n">
        <v>461.294909677419</v>
      </c>
      <c r="I127" s="54" t="n">
        <v>544.327993419355</v>
      </c>
      <c r="J127" s="54" t="n">
        <v>544.3279792506</v>
      </c>
      <c r="K127" s="54" t="n">
        <v>-1.41687551149516E-005</v>
      </c>
      <c r="L127" s="54" t="n">
        <v>544</v>
      </c>
      <c r="M127" s="0" t="s">
        <v>3158</v>
      </c>
      <c r="N127" s="57" t="s">
        <v>3066</v>
      </c>
    </row>
    <row r="128" customFormat="false" ht="15" hidden="false" customHeight="false" outlineLevel="0" collapsed="false">
      <c r="A128" s="0" t="s">
        <v>654</v>
      </c>
      <c r="B128" s="0" t="s">
        <v>2912</v>
      </c>
      <c r="C128" s="0" t="s">
        <v>2912</v>
      </c>
      <c r="D128" s="0" t="s">
        <v>3064</v>
      </c>
      <c r="E128" s="0" t="n">
        <v>5</v>
      </c>
      <c r="F128" s="0" t="n">
        <v>5</v>
      </c>
      <c r="G128" s="0" t="s">
        <v>3064</v>
      </c>
      <c r="H128" s="54" t="n">
        <v>559.490309677419</v>
      </c>
      <c r="I128" s="54" t="n">
        <v>660.198565419355</v>
      </c>
      <c r="J128" s="54" t="n">
        <v>660.1985512506</v>
      </c>
      <c r="K128" s="54" t="n">
        <v>-1.41687551149516E-005</v>
      </c>
      <c r="L128" s="54" t="n">
        <v>660</v>
      </c>
      <c r="M128" s="0" t="s">
        <v>3159</v>
      </c>
      <c r="N128" s="57" t="s">
        <v>3066</v>
      </c>
    </row>
    <row r="129" customFormat="false" ht="15" hidden="false" customHeight="false" outlineLevel="0" collapsed="false">
      <c r="A129" s="0" t="s">
        <v>657</v>
      </c>
      <c r="B129" s="0" t="s">
        <v>2912</v>
      </c>
      <c r="C129" s="0" t="s">
        <v>2912</v>
      </c>
      <c r="D129" s="0" t="s">
        <v>3064</v>
      </c>
      <c r="E129" s="0" t="n">
        <v>5</v>
      </c>
      <c r="F129" s="0" t="n">
        <v>5</v>
      </c>
      <c r="G129" s="0" t="s">
        <v>3064</v>
      </c>
      <c r="H129" s="54" t="n">
        <v>398.789309677419</v>
      </c>
      <c r="I129" s="54" t="n">
        <v>470.571385419355</v>
      </c>
      <c r="J129" s="54" t="n">
        <v>470.5713712506</v>
      </c>
      <c r="K129" s="54" t="n">
        <v>-1.41687550581082E-005</v>
      </c>
      <c r="L129" s="54" t="n">
        <v>471</v>
      </c>
      <c r="M129" s="0" t="s">
        <v>3160</v>
      </c>
      <c r="N129" s="57" t="s">
        <v>3066</v>
      </c>
    </row>
    <row r="130" customFormat="false" ht="15" hidden="false" customHeight="false" outlineLevel="0" collapsed="false">
      <c r="A130" s="0" t="s">
        <v>660</v>
      </c>
      <c r="B130" s="0" t="s">
        <v>2912</v>
      </c>
      <c r="C130" s="0" t="s">
        <v>2912</v>
      </c>
      <c r="D130" s="0" t="s">
        <v>3064</v>
      </c>
      <c r="E130" s="0" t="n">
        <v>1</v>
      </c>
      <c r="F130" s="0" t="n">
        <v>1</v>
      </c>
      <c r="G130" s="0" t="s">
        <v>3064</v>
      </c>
      <c r="H130" s="54" t="n">
        <v>60.9</v>
      </c>
      <c r="I130" s="54" t="n">
        <v>71.862</v>
      </c>
      <c r="J130" s="54" t="n">
        <v>71.862</v>
      </c>
      <c r="K130" s="54" t="n">
        <v>0</v>
      </c>
      <c r="L130" s="54" t="n">
        <v>72</v>
      </c>
      <c r="M130" s="0" t="s">
        <v>1404</v>
      </c>
      <c r="N130" s="57" t="s">
        <v>3066</v>
      </c>
    </row>
    <row r="131" customFormat="false" ht="15" hidden="false" customHeight="false" outlineLevel="0" collapsed="false">
      <c r="A131" s="0" t="s">
        <v>666</v>
      </c>
      <c r="B131" s="0" t="s">
        <v>2912</v>
      </c>
      <c r="C131" s="0" t="s">
        <v>2912</v>
      </c>
      <c r="D131" s="0" t="s">
        <v>3064</v>
      </c>
      <c r="E131" s="0" t="n">
        <v>1</v>
      </c>
      <c r="F131" s="0" t="n">
        <v>1</v>
      </c>
      <c r="G131" s="0" t="s">
        <v>3064</v>
      </c>
      <c r="H131" s="54" t="n">
        <v>17.9345</v>
      </c>
      <c r="I131" s="54" t="n">
        <v>21.16271</v>
      </c>
      <c r="J131" s="54" t="n">
        <v>21.16271</v>
      </c>
      <c r="K131" s="54" t="n">
        <v>0</v>
      </c>
      <c r="L131" s="54" t="n">
        <v>21</v>
      </c>
      <c r="M131" s="0" t="s">
        <v>1406</v>
      </c>
      <c r="N131" s="57" t="s">
        <v>3066</v>
      </c>
    </row>
    <row r="132" customFormat="false" ht="15" hidden="false" customHeight="false" outlineLevel="0" collapsed="false">
      <c r="A132" s="0" t="s">
        <v>669</v>
      </c>
      <c r="B132" s="0" t="s">
        <v>2912</v>
      </c>
      <c r="C132" s="0" t="s">
        <v>2912</v>
      </c>
      <c r="D132" s="0" t="s">
        <v>3064</v>
      </c>
      <c r="E132" s="0" t="n">
        <v>1</v>
      </c>
      <c r="F132" s="0" t="n">
        <v>1</v>
      </c>
      <c r="G132" s="0" t="s">
        <v>3064</v>
      </c>
      <c r="H132" s="54" t="n">
        <v>40.269</v>
      </c>
      <c r="I132" s="54" t="n">
        <v>47.51742</v>
      </c>
      <c r="J132" s="54" t="n">
        <v>47.51742</v>
      </c>
      <c r="K132" s="54" t="n">
        <v>-7.105427357601E-015</v>
      </c>
      <c r="L132" s="54" t="n">
        <v>48</v>
      </c>
      <c r="M132" s="0" t="s">
        <v>1407</v>
      </c>
      <c r="N132" s="57" t="s">
        <v>3066</v>
      </c>
    </row>
    <row r="133" customFormat="false" ht="15" hidden="false" customHeight="false" outlineLevel="0" collapsed="false">
      <c r="A133" s="0" t="s">
        <v>672</v>
      </c>
      <c r="B133" s="0" t="s">
        <v>2912</v>
      </c>
      <c r="C133" s="0" t="s">
        <v>2912</v>
      </c>
      <c r="D133" s="0" t="s">
        <v>3064</v>
      </c>
      <c r="E133" s="0" t="n">
        <v>1</v>
      </c>
      <c r="F133" s="0" t="n">
        <v>1</v>
      </c>
      <c r="G133" s="0" t="s">
        <v>3064</v>
      </c>
      <c r="H133" s="54" t="n">
        <v>62.603</v>
      </c>
      <c r="I133" s="54" t="n">
        <v>73.87154</v>
      </c>
      <c r="J133" s="54" t="n">
        <v>73.87154</v>
      </c>
      <c r="K133" s="54" t="n">
        <v>0</v>
      </c>
      <c r="L133" s="54" t="n">
        <v>74</v>
      </c>
      <c r="M133" s="0" t="s">
        <v>1408</v>
      </c>
      <c r="N133" s="57" t="s">
        <v>3066</v>
      </c>
    </row>
    <row r="134" customFormat="false" ht="15" hidden="false" customHeight="false" outlineLevel="0" collapsed="false">
      <c r="A134" s="0" t="s">
        <v>675</v>
      </c>
      <c r="B134" s="0" t="s">
        <v>2912</v>
      </c>
      <c r="C134" s="0" t="s">
        <v>2912</v>
      </c>
      <c r="D134" s="0" t="s">
        <v>3064</v>
      </c>
      <c r="E134" s="0" t="n">
        <v>1</v>
      </c>
      <c r="F134" s="0" t="n">
        <v>1</v>
      </c>
      <c r="G134" s="0" t="s">
        <v>3064</v>
      </c>
      <c r="H134" s="54" t="n">
        <v>100.505</v>
      </c>
      <c r="I134" s="54" t="n">
        <v>118.5959</v>
      </c>
      <c r="J134" s="54" t="n">
        <v>118.5959</v>
      </c>
      <c r="K134" s="54" t="n">
        <v>0</v>
      </c>
      <c r="L134" s="54" t="n">
        <v>119</v>
      </c>
      <c r="M134" s="0" t="s">
        <v>1409</v>
      </c>
      <c r="N134" s="57" t="s">
        <v>3066</v>
      </c>
    </row>
    <row r="135" customFormat="false" ht="15" hidden="false" customHeight="false" outlineLevel="0" collapsed="false">
      <c r="A135" s="0" t="s">
        <v>678</v>
      </c>
      <c r="B135" s="0" t="s">
        <v>2912</v>
      </c>
      <c r="C135" s="0" t="s">
        <v>2912</v>
      </c>
      <c r="D135" s="0" t="s">
        <v>3064</v>
      </c>
      <c r="E135" s="0" t="n">
        <v>1</v>
      </c>
      <c r="F135" s="0" t="n">
        <v>1</v>
      </c>
      <c r="G135" s="0" t="s">
        <v>3064</v>
      </c>
      <c r="H135" s="54" t="n">
        <v>10.7605</v>
      </c>
      <c r="I135" s="54" t="n">
        <v>12.69739</v>
      </c>
      <c r="J135" s="54" t="n">
        <v>12.69739</v>
      </c>
      <c r="K135" s="54" t="n">
        <v>0</v>
      </c>
      <c r="L135" s="54" t="n">
        <v>13</v>
      </c>
      <c r="M135" s="0" t="s">
        <v>1410</v>
      </c>
      <c r="N135" s="57" t="s">
        <v>3066</v>
      </c>
    </row>
    <row r="136" customFormat="false" ht="15" hidden="false" customHeight="false" outlineLevel="0" collapsed="false">
      <c r="A136" s="0" t="s">
        <v>681</v>
      </c>
      <c r="B136" s="0" t="s">
        <v>212</v>
      </c>
      <c r="C136" s="0" t="s">
        <v>212</v>
      </c>
      <c r="D136" s="0" t="s">
        <v>3064</v>
      </c>
      <c r="E136" s="0" t="n">
        <v>1</v>
      </c>
      <c r="F136" s="0" t="n">
        <v>1</v>
      </c>
      <c r="G136" s="0" t="s">
        <v>3064</v>
      </c>
      <c r="H136" s="54" t="n">
        <v>6.5945</v>
      </c>
      <c r="I136" s="54" t="n">
        <v>7.78151</v>
      </c>
      <c r="J136" s="54" t="n">
        <v>7.78151</v>
      </c>
      <c r="K136" s="54" t="n">
        <v>0</v>
      </c>
      <c r="L136" s="54" t="n">
        <v>8</v>
      </c>
      <c r="M136" s="0" t="s">
        <v>1411</v>
      </c>
      <c r="N136" s="57" t="s">
        <v>3066</v>
      </c>
    </row>
    <row r="137" customFormat="false" ht="15" hidden="false" customHeight="false" outlineLevel="0" collapsed="false">
      <c r="A137" s="0" t="s">
        <v>684</v>
      </c>
      <c r="B137" s="0" t="s">
        <v>212</v>
      </c>
      <c r="C137" s="0" t="s">
        <v>212</v>
      </c>
      <c r="D137" s="0" t="s">
        <v>3064</v>
      </c>
      <c r="E137" s="0" t="n">
        <v>1</v>
      </c>
      <c r="F137" s="0" t="n">
        <v>1</v>
      </c>
      <c r="G137" s="0" t="s">
        <v>3064</v>
      </c>
      <c r="H137" s="54" t="n">
        <v>12.181</v>
      </c>
      <c r="I137" s="54" t="n">
        <v>14.37358</v>
      </c>
      <c r="J137" s="54" t="n">
        <v>14.37358</v>
      </c>
      <c r="K137" s="54" t="n">
        <v>-1.77635683940025E-015</v>
      </c>
      <c r="L137" s="54" t="n">
        <v>14</v>
      </c>
      <c r="M137" s="0" t="s">
        <v>1412</v>
      </c>
      <c r="N137" s="57" t="s">
        <v>3066</v>
      </c>
    </row>
    <row r="138" customFormat="false" ht="15" hidden="false" customHeight="false" outlineLevel="0" collapsed="false">
      <c r="A138" s="0" t="s">
        <v>687</v>
      </c>
      <c r="B138" s="0" t="s">
        <v>386</v>
      </c>
      <c r="C138" s="0" t="s">
        <v>386</v>
      </c>
      <c r="D138" s="0" t="s">
        <v>3064</v>
      </c>
      <c r="E138" s="0" t="n">
        <v>6</v>
      </c>
      <c r="F138" s="0" t="n">
        <v>6</v>
      </c>
      <c r="G138" s="0" t="s">
        <v>3064</v>
      </c>
      <c r="H138" s="54" t="n">
        <v>817.586764705882</v>
      </c>
      <c r="I138" s="54" t="n">
        <v>964.752382352941</v>
      </c>
      <c r="J138" s="54" t="n">
        <v>964.7523852252</v>
      </c>
      <c r="K138" s="54" t="n">
        <v>2.87225884676445E-006</v>
      </c>
      <c r="L138" s="54" t="n">
        <v>965</v>
      </c>
      <c r="M138" s="0" t="s">
        <v>3161</v>
      </c>
      <c r="N138" s="57" t="s">
        <v>3066</v>
      </c>
    </row>
    <row r="139" customFormat="false" ht="15" hidden="false" customHeight="false" outlineLevel="0" collapsed="false">
      <c r="A139" s="0" t="s">
        <v>693</v>
      </c>
      <c r="B139" s="0" t="s">
        <v>368</v>
      </c>
      <c r="C139" s="0" t="s">
        <v>368</v>
      </c>
      <c r="D139" s="0" t="s">
        <v>3064</v>
      </c>
      <c r="E139" s="0" t="n">
        <v>3</v>
      </c>
      <c r="F139" s="0" t="n">
        <v>3</v>
      </c>
      <c r="G139" s="0" t="s">
        <v>3064</v>
      </c>
      <c r="H139" s="54" t="n">
        <v>46248</v>
      </c>
      <c r="I139" s="54" t="n">
        <v>54572.64</v>
      </c>
      <c r="J139" s="54" t="n">
        <v>54572.64</v>
      </c>
      <c r="K139" s="54" t="n">
        <v>0</v>
      </c>
      <c r="L139" s="54" t="n">
        <v>54573</v>
      </c>
      <c r="M139" s="0" t="s">
        <v>3162</v>
      </c>
      <c r="N139" s="57" t="s">
        <v>3066</v>
      </c>
    </row>
    <row r="140" customFormat="false" ht="15" hidden="false" customHeight="false" outlineLevel="0" collapsed="false">
      <c r="A140" s="0" t="s">
        <v>698</v>
      </c>
      <c r="B140" s="0" t="s">
        <v>212</v>
      </c>
      <c r="C140" s="0" t="s">
        <v>212</v>
      </c>
      <c r="D140" s="0" t="s">
        <v>3064</v>
      </c>
      <c r="E140" s="0" t="n">
        <v>1</v>
      </c>
      <c r="F140" s="0" t="n">
        <v>1</v>
      </c>
      <c r="G140" s="0" t="s">
        <v>3064</v>
      </c>
      <c r="H140" s="54" t="n">
        <v>2075.00740740741</v>
      </c>
      <c r="I140" s="54" t="n">
        <v>2448.50874074074</v>
      </c>
      <c r="J140" s="54" t="n">
        <v>2448.5079449754</v>
      </c>
      <c r="K140" s="54" t="n">
        <v>-0.000795765340171784</v>
      </c>
      <c r="L140" s="54" t="n">
        <v>2449</v>
      </c>
      <c r="M140" s="0" t="s">
        <v>1424</v>
      </c>
      <c r="N140" s="57" t="s">
        <v>3066</v>
      </c>
    </row>
    <row r="141" customFormat="false" ht="15" hidden="false" customHeight="false" outlineLevel="0" collapsed="false">
      <c r="A141" s="0" t="s">
        <v>704</v>
      </c>
      <c r="B141" s="0" t="s">
        <v>709</v>
      </c>
      <c r="C141" s="0" t="s">
        <v>709</v>
      </c>
      <c r="D141" s="0" t="s">
        <v>3064</v>
      </c>
      <c r="E141" s="0" t="n">
        <v>1</v>
      </c>
      <c r="F141" s="0" t="n">
        <v>1</v>
      </c>
      <c r="G141" s="0" t="s">
        <v>3064</v>
      </c>
      <c r="H141" s="54" t="n">
        <v>500000</v>
      </c>
      <c r="I141" s="54" t="n">
        <v>590000</v>
      </c>
      <c r="J141" s="54" t="n">
        <v>590000</v>
      </c>
      <c r="K141" s="54" t="n">
        <v>0</v>
      </c>
      <c r="L141" s="54" t="n">
        <v>590000</v>
      </c>
      <c r="M141" s="0" t="s">
        <v>1427</v>
      </c>
      <c r="N141" s="57" t="s">
        <v>3066</v>
      </c>
    </row>
    <row r="142" customFormat="false" ht="15" hidden="false" customHeight="false" outlineLevel="0" collapsed="false">
      <c r="A142" s="0" t="s">
        <v>711</v>
      </c>
      <c r="B142" s="0" t="s">
        <v>709</v>
      </c>
      <c r="C142" s="0" t="s">
        <v>709</v>
      </c>
      <c r="D142" s="0" t="s">
        <v>3064</v>
      </c>
      <c r="E142" s="0" t="n">
        <v>1</v>
      </c>
      <c r="F142" s="0" t="n">
        <v>1</v>
      </c>
      <c r="G142" s="0" t="s">
        <v>3064</v>
      </c>
      <c r="H142" s="54" t="n">
        <v>1500000</v>
      </c>
      <c r="I142" s="54" t="n">
        <v>1770000</v>
      </c>
      <c r="J142" s="54" t="n">
        <v>1770000</v>
      </c>
      <c r="K142" s="54" t="n">
        <v>0</v>
      </c>
      <c r="L142" s="54" t="n">
        <v>1770000</v>
      </c>
      <c r="M142" s="0" t="s">
        <v>1430</v>
      </c>
      <c r="N142" s="57" t="s">
        <v>3066</v>
      </c>
    </row>
    <row r="143" customFormat="false" ht="15" hidden="false" customHeight="false" outlineLevel="0" collapsed="false">
      <c r="A143" s="0" t="s">
        <v>714</v>
      </c>
      <c r="B143" s="0" t="s">
        <v>717</v>
      </c>
      <c r="C143" s="0" t="s">
        <v>717</v>
      </c>
      <c r="D143" s="0" t="s">
        <v>3064</v>
      </c>
      <c r="E143" s="0" t="n">
        <v>1</v>
      </c>
      <c r="F143" s="0" t="n">
        <v>1</v>
      </c>
      <c r="G143" s="0" t="s">
        <v>3064</v>
      </c>
      <c r="H143" s="54" t="n">
        <v>150000</v>
      </c>
      <c r="I143" s="54" t="n">
        <v>177000</v>
      </c>
      <c r="J143" s="54" t="n">
        <v>177000</v>
      </c>
      <c r="K143" s="54" t="n">
        <v>0</v>
      </c>
      <c r="L143" s="54" t="n">
        <v>177000</v>
      </c>
      <c r="M143" s="0" t="s">
        <v>1432</v>
      </c>
      <c r="N143" s="57" t="s">
        <v>3066</v>
      </c>
    </row>
    <row r="144" customFormat="false" ht="15" hidden="false" customHeight="false" outlineLevel="0" collapsed="false">
      <c r="A144" s="0" t="s">
        <v>719</v>
      </c>
      <c r="B144" s="0" t="s">
        <v>368</v>
      </c>
      <c r="C144" s="0" t="s">
        <v>368</v>
      </c>
      <c r="D144" s="0" t="s">
        <v>3064</v>
      </c>
      <c r="E144" s="0" t="n">
        <v>1</v>
      </c>
      <c r="F144" s="0" t="n">
        <v>1</v>
      </c>
      <c r="G144" s="0" t="s">
        <v>3064</v>
      </c>
      <c r="H144" s="54" t="n">
        <v>4500</v>
      </c>
      <c r="I144" s="54" t="n">
        <v>5310</v>
      </c>
      <c r="J144" s="54" t="n">
        <v>5310</v>
      </c>
      <c r="K144" s="54" t="n">
        <v>0</v>
      </c>
      <c r="L144" s="54" t="n">
        <v>5310</v>
      </c>
      <c r="M144" s="0" t="s">
        <v>1434</v>
      </c>
      <c r="N144" s="57" t="s">
        <v>3066</v>
      </c>
    </row>
    <row r="145" customFormat="false" ht="15" hidden="false" customHeight="false" outlineLevel="0" collapsed="false">
      <c r="A145" s="0" t="s">
        <v>722</v>
      </c>
      <c r="B145" s="0" t="s">
        <v>212</v>
      </c>
      <c r="C145" s="0" t="s">
        <v>212</v>
      </c>
      <c r="D145" s="0" t="s">
        <v>3064</v>
      </c>
      <c r="E145" s="0" t="n">
        <v>1</v>
      </c>
      <c r="F145" s="0" t="n">
        <v>1</v>
      </c>
      <c r="G145" s="0" t="s">
        <v>3064</v>
      </c>
      <c r="H145" s="54" t="n">
        <v>6</v>
      </c>
      <c r="I145" s="54" t="n">
        <v>7.08</v>
      </c>
      <c r="J145" s="54" t="n">
        <v>7.08</v>
      </c>
      <c r="K145" s="54" t="n">
        <v>0</v>
      </c>
      <c r="L145" s="54" t="n">
        <v>7</v>
      </c>
      <c r="M145" s="0" t="s">
        <v>1435</v>
      </c>
      <c r="N145" s="57" t="s">
        <v>3066</v>
      </c>
    </row>
    <row r="146" customFormat="false" ht="15" hidden="false" customHeight="false" outlineLevel="0" collapsed="false">
      <c r="A146" s="0" t="s">
        <v>725</v>
      </c>
      <c r="B146" s="0" t="s">
        <v>212</v>
      </c>
      <c r="C146" s="0" t="s">
        <v>212</v>
      </c>
      <c r="D146" s="0" t="s">
        <v>3064</v>
      </c>
      <c r="E146" s="0" t="n">
        <v>3</v>
      </c>
      <c r="F146" s="0" t="n">
        <v>3</v>
      </c>
      <c r="G146" s="0" t="s">
        <v>3064</v>
      </c>
      <c r="H146" s="54" t="n">
        <v>264.496666666667</v>
      </c>
      <c r="I146" s="54" t="n">
        <v>312.106066666667</v>
      </c>
      <c r="J146" s="54" t="n">
        <v>312.1060640628</v>
      </c>
      <c r="K146" s="54" t="n">
        <v>-2.6038670739581E-006</v>
      </c>
      <c r="L146" s="54" t="n">
        <v>312</v>
      </c>
      <c r="M146" s="0" t="s">
        <v>3163</v>
      </c>
      <c r="N146" s="57" t="s">
        <v>3066</v>
      </c>
    </row>
    <row r="147" customFormat="false" ht="15" hidden="false" customHeight="false" outlineLevel="0" collapsed="false">
      <c r="A147" s="0" t="s">
        <v>729</v>
      </c>
      <c r="B147" s="0" t="s">
        <v>212</v>
      </c>
      <c r="C147" s="0" t="s">
        <v>212</v>
      </c>
      <c r="D147" s="0" t="s">
        <v>3064</v>
      </c>
      <c r="E147" s="0" t="n">
        <v>1</v>
      </c>
      <c r="F147" s="0" t="n">
        <v>1</v>
      </c>
      <c r="G147" s="0" t="s">
        <v>3064</v>
      </c>
      <c r="H147" s="54" t="n">
        <v>450</v>
      </c>
      <c r="I147" s="54" t="n">
        <v>531</v>
      </c>
      <c r="J147" s="54" t="n">
        <v>531</v>
      </c>
      <c r="K147" s="54" t="n">
        <v>0</v>
      </c>
      <c r="L147" s="54" t="n">
        <v>531</v>
      </c>
      <c r="M147" s="0" t="s">
        <v>1438</v>
      </c>
      <c r="N147" s="57" t="s">
        <v>3066</v>
      </c>
    </row>
    <row r="148" customFormat="false" ht="15" hidden="false" customHeight="false" outlineLevel="0" collapsed="false">
      <c r="A148" s="0" t="s">
        <v>732</v>
      </c>
      <c r="B148" s="0" t="s">
        <v>368</v>
      </c>
      <c r="C148" s="0" t="s">
        <v>368</v>
      </c>
      <c r="D148" s="0" t="s">
        <v>3064</v>
      </c>
      <c r="E148" s="0" t="n">
        <v>1</v>
      </c>
      <c r="F148" s="0" t="n">
        <v>1</v>
      </c>
      <c r="G148" s="0" t="s">
        <v>3064</v>
      </c>
      <c r="H148" s="54" t="n">
        <v>6500</v>
      </c>
      <c r="I148" s="54" t="n">
        <v>7670</v>
      </c>
      <c r="J148" s="54" t="n">
        <v>7670</v>
      </c>
      <c r="K148" s="54" t="n">
        <v>0</v>
      </c>
      <c r="L148" s="54" t="n">
        <v>7670</v>
      </c>
      <c r="M148" s="0" t="s">
        <v>1439</v>
      </c>
      <c r="N148" s="57" t="s">
        <v>3066</v>
      </c>
    </row>
    <row r="149" customFormat="false" ht="15" hidden="false" customHeight="false" outlineLevel="0" collapsed="false">
      <c r="A149" s="0" t="s">
        <v>735</v>
      </c>
      <c r="B149" s="0" t="s">
        <v>212</v>
      </c>
      <c r="C149" s="0" t="s">
        <v>212</v>
      </c>
      <c r="D149" s="0" t="s">
        <v>3064</v>
      </c>
      <c r="E149" s="0" t="n">
        <v>1</v>
      </c>
      <c r="F149" s="0" t="n">
        <v>1</v>
      </c>
      <c r="G149" s="0" t="s">
        <v>3064</v>
      </c>
      <c r="H149" s="54" t="n">
        <v>350</v>
      </c>
      <c r="I149" s="54" t="n">
        <v>413</v>
      </c>
      <c r="J149" s="54" t="n">
        <v>413</v>
      </c>
      <c r="K149" s="54" t="n">
        <v>0</v>
      </c>
      <c r="L149" s="54" t="n">
        <v>413</v>
      </c>
      <c r="M149" s="0" t="s">
        <v>1440</v>
      </c>
      <c r="N149" s="57" t="s">
        <v>3066</v>
      </c>
    </row>
    <row r="150" customFormat="false" ht="15" hidden="false" customHeight="false" outlineLevel="0" collapsed="false">
      <c r="A150" s="0" t="s">
        <v>738</v>
      </c>
      <c r="B150" s="0" t="s">
        <v>212</v>
      </c>
      <c r="C150" s="0" t="s">
        <v>212</v>
      </c>
      <c r="D150" s="0" t="s">
        <v>3064</v>
      </c>
      <c r="E150" s="0" t="n">
        <v>1</v>
      </c>
      <c r="F150" s="0" t="n">
        <v>1</v>
      </c>
      <c r="G150" s="0" t="s">
        <v>3064</v>
      </c>
      <c r="H150" s="54" t="n">
        <v>180</v>
      </c>
      <c r="I150" s="54" t="n">
        <v>212.4</v>
      </c>
      <c r="J150" s="54" t="n">
        <v>212.4</v>
      </c>
      <c r="K150" s="54" t="n">
        <v>0</v>
      </c>
      <c r="L150" s="54" t="n">
        <v>212</v>
      </c>
      <c r="M150" s="0" t="s">
        <v>1441</v>
      </c>
      <c r="N150" s="57" t="s">
        <v>3066</v>
      </c>
    </row>
    <row r="151" customFormat="false" ht="15" hidden="false" customHeight="false" outlineLevel="0" collapsed="false">
      <c r="A151" s="0" t="s">
        <v>741</v>
      </c>
      <c r="B151" s="0" t="s">
        <v>212</v>
      </c>
      <c r="C151" s="0" t="s">
        <v>212</v>
      </c>
      <c r="D151" s="0" t="s">
        <v>3064</v>
      </c>
      <c r="E151" s="0" t="n">
        <v>1</v>
      </c>
      <c r="F151" s="0" t="n">
        <v>1</v>
      </c>
      <c r="G151" s="0" t="s">
        <v>3064</v>
      </c>
      <c r="H151" s="54" t="n">
        <v>900</v>
      </c>
      <c r="I151" s="54" t="n">
        <v>1062</v>
      </c>
      <c r="J151" s="54" t="n">
        <v>1062</v>
      </c>
      <c r="K151" s="54" t="n">
        <v>0</v>
      </c>
      <c r="L151" s="54" t="n">
        <v>1062</v>
      </c>
      <c r="M151" s="0" t="s">
        <v>1442</v>
      </c>
      <c r="N151" s="57" t="s">
        <v>3066</v>
      </c>
    </row>
    <row r="152" customFormat="false" ht="15" hidden="false" customHeight="false" outlineLevel="0" collapsed="false">
      <c r="A152" s="0" t="s">
        <v>744</v>
      </c>
      <c r="B152" s="0" t="s">
        <v>368</v>
      </c>
      <c r="C152" s="0" t="s">
        <v>368</v>
      </c>
      <c r="D152" s="0" t="s">
        <v>3064</v>
      </c>
      <c r="E152" s="0" t="n">
        <v>1</v>
      </c>
      <c r="F152" s="0" t="n">
        <v>1</v>
      </c>
      <c r="G152" s="0" t="s">
        <v>3064</v>
      </c>
      <c r="H152" s="54" t="n">
        <v>120000</v>
      </c>
      <c r="I152" s="54" t="n">
        <v>141600</v>
      </c>
      <c r="J152" s="54" t="n">
        <v>141600</v>
      </c>
      <c r="K152" s="54" t="n">
        <v>0</v>
      </c>
      <c r="L152" s="54" t="n">
        <v>141600</v>
      </c>
      <c r="M152" s="0" t="s">
        <v>1443</v>
      </c>
      <c r="N152" s="57" t="s">
        <v>3066</v>
      </c>
    </row>
    <row r="153" customFormat="false" ht="15" hidden="false" customHeight="false" outlineLevel="0" collapsed="false">
      <c r="A153" s="0" t="s">
        <v>747</v>
      </c>
      <c r="B153" s="0" t="s">
        <v>212</v>
      </c>
      <c r="C153" s="0" t="s">
        <v>212</v>
      </c>
      <c r="D153" s="0" t="s">
        <v>3064</v>
      </c>
      <c r="E153" s="0" t="n">
        <v>1</v>
      </c>
      <c r="F153" s="0" t="n">
        <v>1</v>
      </c>
      <c r="G153" s="0" t="s">
        <v>3064</v>
      </c>
      <c r="H153" s="54" t="n">
        <v>1200</v>
      </c>
      <c r="I153" s="54" t="n">
        <v>1416</v>
      </c>
      <c r="J153" s="54" t="n">
        <v>1416</v>
      </c>
      <c r="K153" s="54" t="n">
        <v>0</v>
      </c>
      <c r="L153" s="54" t="n">
        <v>1416</v>
      </c>
      <c r="M153" s="0" t="s">
        <v>1444</v>
      </c>
      <c r="N153" s="57" t="s">
        <v>3066</v>
      </c>
    </row>
    <row r="154" customFormat="false" ht="15" hidden="false" customHeight="false" outlineLevel="0" collapsed="false">
      <c r="A154" s="0" t="s">
        <v>750</v>
      </c>
      <c r="B154" s="0" t="s">
        <v>212</v>
      </c>
      <c r="C154" s="0" t="s">
        <v>212</v>
      </c>
      <c r="D154" s="0" t="s">
        <v>3064</v>
      </c>
      <c r="E154" s="0" t="n">
        <v>1</v>
      </c>
      <c r="F154" s="0" t="n">
        <v>1</v>
      </c>
      <c r="G154" s="0" t="s">
        <v>3064</v>
      </c>
      <c r="H154" s="54" t="n">
        <v>650</v>
      </c>
      <c r="I154" s="54" t="n">
        <v>767</v>
      </c>
      <c r="J154" s="54" t="n">
        <v>767</v>
      </c>
      <c r="K154" s="54" t="n">
        <v>0</v>
      </c>
      <c r="L154" s="54" t="n">
        <v>767</v>
      </c>
      <c r="M154" s="0" t="s">
        <v>1445</v>
      </c>
      <c r="N154" s="57" t="s">
        <v>3066</v>
      </c>
    </row>
    <row r="155" customFormat="false" ht="15" hidden="false" customHeight="false" outlineLevel="0" collapsed="false">
      <c r="A155" s="0" t="s">
        <v>753</v>
      </c>
      <c r="B155" s="0" t="s">
        <v>212</v>
      </c>
      <c r="C155" s="0" t="s">
        <v>212</v>
      </c>
      <c r="D155" s="0" t="s">
        <v>3064</v>
      </c>
      <c r="E155" s="0" t="n">
        <v>1</v>
      </c>
      <c r="F155" s="0" t="n">
        <v>1</v>
      </c>
      <c r="G155" s="0" t="s">
        <v>3064</v>
      </c>
      <c r="H155" s="54" t="n">
        <v>3500</v>
      </c>
      <c r="I155" s="54" t="n">
        <v>4130</v>
      </c>
      <c r="J155" s="54" t="n">
        <v>4130</v>
      </c>
      <c r="K155" s="54" t="n">
        <v>0</v>
      </c>
      <c r="L155" s="54" t="n">
        <v>4130</v>
      </c>
      <c r="M155" s="0" t="s">
        <v>1446</v>
      </c>
      <c r="N155" s="57" t="s">
        <v>3066</v>
      </c>
    </row>
    <row r="156" customFormat="false" ht="15" hidden="false" customHeight="false" outlineLevel="0" collapsed="false">
      <c r="A156" s="0" t="s">
        <v>756</v>
      </c>
      <c r="B156" s="0" t="s">
        <v>212</v>
      </c>
      <c r="C156" s="0" t="s">
        <v>212</v>
      </c>
      <c r="D156" s="0" t="s">
        <v>3064</v>
      </c>
      <c r="E156" s="0" t="n">
        <v>1</v>
      </c>
      <c r="F156" s="0" t="n">
        <v>1</v>
      </c>
      <c r="G156" s="0" t="s">
        <v>3064</v>
      </c>
      <c r="H156" s="54" t="n">
        <v>2500</v>
      </c>
      <c r="I156" s="54" t="n">
        <v>2950</v>
      </c>
      <c r="J156" s="54" t="n">
        <v>2950</v>
      </c>
      <c r="K156" s="54" t="n">
        <v>0</v>
      </c>
      <c r="L156" s="54" t="n">
        <v>2950</v>
      </c>
      <c r="M156" s="0" t="s">
        <v>1447</v>
      </c>
      <c r="N156" s="57" t="s">
        <v>3066</v>
      </c>
    </row>
    <row r="157" customFormat="false" ht="15" hidden="false" customHeight="false" outlineLevel="0" collapsed="false">
      <c r="A157" s="0" t="s">
        <v>759</v>
      </c>
      <c r="B157" s="0" t="s">
        <v>368</v>
      </c>
      <c r="C157" s="0" t="s">
        <v>368</v>
      </c>
      <c r="D157" s="0" t="s">
        <v>3064</v>
      </c>
      <c r="E157" s="0" t="n">
        <v>3</v>
      </c>
      <c r="F157" s="0" t="n">
        <v>3</v>
      </c>
      <c r="G157" s="0" t="s">
        <v>3064</v>
      </c>
      <c r="H157" s="54" t="n">
        <v>29597.7777777778</v>
      </c>
      <c r="I157" s="54" t="n">
        <v>34925.3777777778</v>
      </c>
      <c r="J157" s="54" t="n">
        <v>34925.3777723524</v>
      </c>
      <c r="K157" s="54" t="n">
        <v>-5.42539783054963E-006</v>
      </c>
      <c r="L157" s="54" t="n">
        <v>34925</v>
      </c>
      <c r="M157" s="0" t="s">
        <v>3164</v>
      </c>
      <c r="N157" s="57" t="s">
        <v>3066</v>
      </c>
    </row>
    <row r="158" customFormat="false" ht="15" hidden="false" customHeight="false" outlineLevel="0" collapsed="false">
      <c r="A158" s="0" t="s">
        <v>763</v>
      </c>
      <c r="B158" s="0" t="s">
        <v>386</v>
      </c>
      <c r="C158" s="0" t="s">
        <v>386</v>
      </c>
      <c r="D158" s="0" t="s">
        <v>3064</v>
      </c>
      <c r="E158" s="0" t="n">
        <v>3</v>
      </c>
      <c r="F158" s="0" t="n">
        <v>3</v>
      </c>
      <c r="G158" s="0" t="s">
        <v>3064</v>
      </c>
      <c r="H158" s="54" t="n">
        <v>271.955555555556</v>
      </c>
      <c r="I158" s="54" t="n">
        <v>320.907555555555</v>
      </c>
      <c r="J158" s="54" t="n">
        <v>320.9075447048</v>
      </c>
      <c r="K158" s="54" t="n">
        <v>-1.08507550180548E-005</v>
      </c>
      <c r="L158" s="54" t="n">
        <v>321</v>
      </c>
      <c r="M158" s="0" t="s">
        <v>3165</v>
      </c>
      <c r="N158" s="57" t="s">
        <v>3066</v>
      </c>
    </row>
    <row r="159" customFormat="false" ht="15" hidden="false" customHeight="false" outlineLevel="0" collapsed="false">
      <c r="A159" s="0" t="s">
        <v>767</v>
      </c>
      <c r="B159" s="0" t="s">
        <v>368</v>
      </c>
      <c r="C159" s="0" t="s">
        <v>368</v>
      </c>
      <c r="D159" s="0" t="s">
        <v>3064</v>
      </c>
      <c r="E159" s="0" t="n">
        <v>1</v>
      </c>
      <c r="F159" s="0" t="n">
        <v>1</v>
      </c>
      <c r="G159" s="0" t="s">
        <v>3064</v>
      </c>
      <c r="H159" s="54" t="n">
        <v>85000</v>
      </c>
      <c r="I159" s="54" t="n">
        <v>100300</v>
      </c>
      <c r="J159" s="54" t="n">
        <v>100300</v>
      </c>
      <c r="K159" s="54" t="n">
        <v>0</v>
      </c>
      <c r="L159" s="54" t="n">
        <v>100300</v>
      </c>
      <c r="M159" s="0" t="s">
        <v>1454</v>
      </c>
      <c r="N159" s="57" t="s">
        <v>3066</v>
      </c>
    </row>
    <row r="160" customFormat="false" ht="15" hidden="false" customHeight="false" outlineLevel="0" collapsed="false">
      <c r="A160" s="0" t="s">
        <v>770</v>
      </c>
      <c r="B160" s="0" t="s">
        <v>386</v>
      </c>
      <c r="C160" s="0" t="s">
        <v>386</v>
      </c>
      <c r="D160" s="0" t="s">
        <v>3064</v>
      </c>
      <c r="E160" s="0" t="n">
        <v>1</v>
      </c>
      <c r="F160" s="0" t="n">
        <v>1</v>
      </c>
      <c r="G160" s="0" t="s">
        <v>3064</v>
      </c>
      <c r="H160" s="54" t="n">
        <v>350</v>
      </c>
      <c r="I160" s="54" t="n">
        <v>413</v>
      </c>
      <c r="J160" s="54" t="n">
        <v>413</v>
      </c>
      <c r="K160" s="54" t="n">
        <v>0</v>
      </c>
      <c r="L160" s="54" t="n">
        <v>413</v>
      </c>
      <c r="M160" s="0" t="s">
        <v>1072</v>
      </c>
      <c r="N160" s="57" t="s">
        <v>3066</v>
      </c>
    </row>
    <row r="161" customFormat="false" ht="15" hidden="false" customHeight="false" outlineLevel="0" collapsed="false">
      <c r="A161" s="0" t="s">
        <v>773</v>
      </c>
      <c r="B161" s="0" t="s">
        <v>368</v>
      </c>
      <c r="C161" s="0" t="s">
        <v>368</v>
      </c>
      <c r="D161" s="0" t="s">
        <v>3064</v>
      </c>
      <c r="E161" s="0" t="n">
        <v>1</v>
      </c>
      <c r="F161" s="0" t="n">
        <v>1</v>
      </c>
      <c r="G161" s="0" t="s">
        <v>3064</v>
      </c>
      <c r="H161" s="54" t="n">
        <v>22000000</v>
      </c>
      <c r="I161" s="54" t="n">
        <v>25960000</v>
      </c>
      <c r="J161" s="54" t="n">
        <v>25960000</v>
      </c>
      <c r="K161" s="54" t="n">
        <v>0</v>
      </c>
      <c r="L161" s="54" t="n">
        <v>25960000</v>
      </c>
      <c r="M161" s="0" t="s">
        <v>1455</v>
      </c>
      <c r="N161" s="57" t="s">
        <v>3066</v>
      </c>
    </row>
    <row r="162" customFormat="false" ht="15" hidden="false" customHeight="false" outlineLevel="0" collapsed="false">
      <c r="A162" s="0" t="s">
        <v>776</v>
      </c>
      <c r="B162" s="0" t="s">
        <v>212</v>
      </c>
      <c r="C162" s="0" t="s">
        <v>212</v>
      </c>
      <c r="D162" s="0" t="s">
        <v>3064</v>
      </c>
      <c r="E162" s="0" t="n">
        <v>1</v>
      </c>
      <c r="F162" s="0" t="n">
        <v>1</v>
      </c>
      <c r="G162" s="0" t="s">
        <v>3064</v>
      </c>
      <c r="H162" s="54" t="n">
        <v>80</v>
      </c>
      <c r="I162" s="54" t="n">
        <v>94.4</v>
      </c>
      <c r="J162" s="54" t="n">
        <v>94.4</v>
      </c>
      <c r="K162" s="54" t="n">
        <v>0</v>
      </c>
      <c r="L162" s="54" t="n">
        <v>94</v>
      </c>
      <c r="M162" s="0" t="s">
        <v>1456</v>
      </c>
      <c r="N162" s="57" t="s">
        <v>3066</v>
      </c>
    </row>
    <row r="163" customFormat="false" ht="15" hidden="false" customHeight="false" outlineLevel="0" collapsed="false">
      <c r="A163" s="0" t="s">
        <v>779</v>
      </c>
      <c r="B163" s="0" t="s">
        <v>782</v>
      </c>
      <c r="C163" s="0" t="s">
        <v>782</v>
      </c>
      <c r="D163" s="0" t="s">
        <v>3064</v>
      </c>
      <c r="E163" s="0" t="n">
        <v>1</v>
      </c>
      <c r="F163" s="0" t="n">
        <v>1</v>
      </c>
      <c r="G163" s="0" t="s">
        <v>3064</v>
      </c>
      <c r="H163" s="54" t="n">
        <v>300000</v>
      </c>
      <c r="I163" s="54" t="n">
        <v>354000</v>
      </c>
      <c r="J163" s="54" t="n">
        <v>354000</v>
      </c>
      <c r="K163" s="54" t="n">
        <v>0</v>
      </c>
      <c r="L163" s="54" t="n">
        <v>354000</v>
      </c>
      <c r="M163" s="0" t="s">
        <v>1458</v>
      </c>
      <c r="N163" s="57" t="s">
        <v>3066</v>
      </c>
    </row>
    <row r="164" customFormat="false" ht="15" hidden="false" customHeight="false" outlineLevel="0" collapsed="false">
      <c r="A164" s="0" t="s">
        <v>783</v>
      </c>
      <c r="B164" s="0" t="s">
        <v>368</v>
      </c>
      <c r="C164" s="0" t="s">
        <v>368</v>
      </c>
      <c r="D164" s="0" t="s">
        <v>3064</v>
      </c>
      <c r="E164" s="0" t="n">
        <v>1</v>
      </c>
      <c r="F164" s="0" t="n">
        <v>1</v>
      </c>
      <c r="G164" s="0" t="s">
        <v>3064</v>
      </c>
      <c r="H164" s="54" t="n">
        <v>2000000</v>
      </c>
      <c r="I164" s="54" t="n">
        <v>2360000</v>
      </c>
      <c r="J164" s="54" t="n">
        <v>2360000</v>
      </c>
      <c r="K164" s="54" t="n">
        <v>0</v>
      </c>
      <c r="L164" s="54" t="n">
        <v>2360000</v>
      </c>
      <c r="M164" s="0" t="s">
        <v>1460</v>
      </c>
      <c r="N164" s="57" t="s">
        <v>3066</v>
      </c>
    </row>
    <row r="166" customFormat="false" ht="15" hidden="false" customHeight="false" outlineLevel="0" collapsed="false">
      <c r="A166" s="58" t="s">
        <v>3166</v>
      </c>
    </row>
    <row r="167" customFormat="false" ht="15" hidden="false" customHeight="false" outlineLevel="0" collapsed="false">
      <c r="A167" s="59" t="s">
        <v>3167</v>
      </c>
      <c r="B167" s="59" t="s">
        <v>3168</v>
      </c>
      <c r="C167" s="59" t="s">
        <v>3169</v>
      </c>
      <c r="D167" s="59" t="s">
        <v>3170</v>
      </c>
      <c r="E167" s="59" t="s">
        <v>3171</v>
      </c>
    </row>
    <row r="168" customFormat="false" ht="15" hidden="false" customHeight="false" outlineLevel="0" collapsed="false">
      <c r="A168" s="0" t="s">
        <v>799</v>
      </c>
      <c r="B168" s="0" t="s">
        <v>3172</v>
      </c>
      <c r="C168" s="0" t="n">
        <v>1575</v>
      </c>
      <c r="D168" s="0" t="n">
        <v>1575</v>
      </c>
      <c r="E168" s="0" t="s">
        <v>3066</v>
      </c>
    </row>
    <row r="169" customFormat="false" ht="15" hidden="false" customHeight="false" outlineLevel="0" collapsed="false">
      <c r="A169" s="0" t="s">
        <v>805</v>
      </c>
      <c r="B169" s="0" t="s">
        <v>3173</v>
      </c>
      <c r="C169" s="0" t="n">
        <v>240</v>
      </c>
      <c r="D169" s="0" t="n">
        <v>240</v>
      </c>
      <c r="E169" s="0" t="s">
        <v>3066</v>
      </c>
    </row>
    <row r="170" customFormat="false" ht="15" hidden="false" customHeight="false" outlineLevel="0" collapsed="false">
      <c r="A170" s="0" t="s">
        <v>864</v>
      </c>
      <c r="B170" s="0" t="s">
        <v>3174</v>
      </c>
      <c r="C170" s="0" t="n">
        <v>80</v>
      </c>
      <c r="D170" s="0" t="n">
        <v>80</v>
      </c>
      <c r="E170" s="0" t="s">
        <v>3066</v>
      </c>
    </row>
    <row r="171" customFormat="false" ht="15" hidden="false" customHeight="false" outlineLevel="0" collapsed="false">
      <c r="A171" s="0" t="s">
        <v>1024</v>
      </c>
      <c r="B171" s="0" t="s">
        <v>3175</v>
      </c>
      <c r="C171" s="0" t="n">
        <v>52</v>
      </c>
      <c r="D171" s="0" t="n">
        <v>52</v>
      </c>
      <c r="E171" s="0" t="s">
        <v>3066</v>
      </c>
    </row>
    <row r="172" customFormat="false" ht="15" hidden="false" customHeight="false" outlineLevel="0" collapsed="false">
      <c r="A172" s="0" t="s">
        <v>802</v>
      </c>
      <c r="B172" s="0" t="s">
        <v>3176</v>
      </c>
      <c r="C172" s="0" t="n">
        <v>185</v>
      </c>
      <c r="D172" s="0" t="n">
        <v>185</v>
      </c>
      <c r="E172" s="0" t="s">
        <v>3066</v>
      </c>
    </row>
    <row r="173" customFormat="false" ht="15" hidden="false" customHeight="false" outlineLevel="0" collapsed="false">
      <c r="A173" s="0" t="s">
        <v>839</v>
      </c>
      <c r="B173" s="0" t="s">
        <v>3177</v>
      </c>
      <c r="C173" s="0" t="n">
        <v>180</v>
      </c>
      <c r="D173" s="0" t="n">
        <v>180</v>
      </c>
      <c r="E173" s="0" t="s">
        <v>3066</v>
      </c>
    </row>
    <row r="174" customFormat="false" ht="15" hidden="false" customHeight="false" outlineLevel="0" collapsed="false">
      <c r="A174" s="0" t="s">
        <v>876</v>
      </c>
      <c r="B174" s="0" t="s">
        <v>3178</v>
      </c>
      <c r="C174" s="0" t="n">
        <v>242</v>
      </c>
      <c r="D174" s="0" t="n">
        <v>242</v>
      </c>
      <c r="E174" s="0" t="s">
        <v>3066</v>
      </c>
    </row>
    <row r="175" customFormat="false" ht="15" hidden="false" customHeight="false" outlineLevel="0" collapsed="false">
      <c r="A175" s="0" t="s">
        <v>878</v>
      </c>
      <c r="B175" s="0" t="s">
        <v>3179</v>
      </c>
      <c r="C175" s="0" t="n">
        <v>345</v>
      </c>
      <c r="D175" s="0" t="n">
        <v>345</v>
      </c>
      <c r="E175" s="0" t="s">
        <v>3066</v>
      </c>
    </row>
    <row r="176" customFormat="false" ht="15" hidden="false" customHeight="false" outlineLevel="0" collapsed="false">
      <c r="A176" s="0" t="s">
        <v>884</v>
      </c>
      <c r="B176" s="0" t="s">
        <v>3180</v>
      </c>
      <c r="C176" s="0" t="n">
        <v>17.5</v>
      </c>
      <c r="D176" s="0" t="n">
        <v>17.5</v>
      </c>
      <c r="E176" s="0" t="s">
        <v>3066</v>
      </c>
    </row>
    <row r="177" customFormat="false" ht="15" hidden="false" customHeight="false" outlineLevel="0" collapsed="false">
      <c r="A177" s="0" t="s">
        <v>920</v>
      </c>
      <c r="B177" s="0" t="s">
        <v>3181</v>
      </c>
      <c r="C177" s="0" t="n">
        <v>210</v>
      </c>
      <c r="D177" s="0" t="n">
        <v>210</v>
      </c>
      <c r="E177" s="0" t="s">
        <v>3066</v>
      </c>
    </row>
    <row r="178" customFormat="false" ht="15" hidden="false" customHeight="false" outlineLevel="0" collapsed="false">
      <c r="A178" s="0" t="s">
        <v>926</v>
      </c>
      <c r="B178" s="0" t="s">
        <v>3182</v>
      </c>
      <c r="C178" s="0" t="n">
        <v>165</v>
      </c>
      <c r="D178" s="0" t="n">
        <v>165</v>
      </c>
      <c r="E178" s="0" t="s">
        <v>3066</v>
      </c>
    </row>
    <row r="179" customFormat="false" ht="15" hidden="false" customHeight="false" outlineLevel="0" collapsed="false">
      <c r="A179" s="0" t="s">
        <v>930</v>
      </c>
      <c r="B179" s="0" t="s">
        <v>3183</v>
      </c>
      <c r="C179" s="0" t="n">
        <v>140</v>
      </c>
      <c r="D179" s="0" t="n">
        <v>140</v>
      </c>
      <c r="E179" s="0" t="s">
        <v>3066</v>
      </c>
    </row>
    <row r="180" customFormat="false" ht="15" hidden="false" customHeight="false" outlineLevel="0" collapsed="false">
      <c r="A180" s="0" t="s">
        <v>901</v>
      </c>
      <c r="B180" s="0" t="s">
        <v>3184</v>
      </c>
      <c r="C180" s="0" t="n">
        <v>3680</v>
      </c>
      <c r="D180" s="0" t="n">
        <v>3680</v>
      </c>
      <c r="E180" s="0" t="s">
        <v>3066</v>
      </c>
    </row>
    <row r="181" customFormat="false" ht="15" hidden="false" customHeight="false" outlineLevel="0" collapsed="false">
      <c r="A181" s="0" t="s">
        <v>903</v>
      </c>
      <c r="B181" s="0" t="s">
        <v>3185</v>
      </c>
      <c r="C181" s="0" t="n">
        <v>715</v>
      </c>
      <c r="D181" s="0" t="n">
        <v>715</v>
      </c>
      <c r="E181" s="0" t="s">
        <v>3066</v>
      </c>
    </row>
    <row r="182" customFormat="false" ht="15" hidden="false" customHeight="false" outlineLevel="0" collapsed="false">
      <c r="A182" s="0" t="s">
        <v>807</v>
      </c>
      <c r="B182" s="0" t="s">
        <v>3186</v>
      </c>
      <c r="C182" s="0" t="n">
        <v>185</v>
      </c>
      <c r="D182" s="0" t="n">
        <v>185</v>
      </c>
      <c r="E182" s="0" t="s">
        <v>3066</v>
      </c>
    </row>
    <row r="183" customFormat="false" ht="15" hidden="false" customHeight="false" outlineLevel="0" collapsed="false">
      <c r="A183" s="0" t="s">
        <v>963</v>
      </c>
      <c r="B183" s="0" t="s">
        <v>3187</v>
      </c>
      <c r="C183" s="0" t="n">
        <v>197.5</v>
      </c>
      <c r="D183" s="0" t="n">
        <v>197.5</v>
      </c>
      <c r="E183" s="0" t="s">
        <v>3066</v>
      </c>
    </row>
    <row r="184" customFormat="false" ht="15" hidden="false" customHeight="false" outlineLevel="0" collapsed="false">
      <c r="A184" s="0" t="s">
        <v>1106</v>
      </c>
      <c r="B184" s="0" t="s">
        <v>3188</v>
      </c>
      <c r="C184" s="0" t="n">
        <v>100</v>
      </c>
      <c r="D184" s="0" t="n">
        <v>100</v>
      </c>
      <c r="E184" s="0" t="s">
        <v>3066</v>
      </c>
    </row>
    <row r="185" customFormat="false" ht="15" hidden="false" customHeight="false" outlineLevel="0" collapsed="false">
      <c r="A185" s="0" t="s">
        <v>1121</v>
      </c>
      <c r="B185" s="0" t="s">
        <v>3189</v>
      </c>
      <c r="C185" s="0" t="n">
        <v>9</v>
      </c>
      <c r="D185" s="0" t="n">
        <v>9</v>
      </c>
      <c r="E185" s="0" t="s">
        <v>3066</v>
      </c>
    </row>
    <row r="186" customFormat="false" ht="15" hidden="false" customHeight="false" outlineLevel="0" collapsed="false">
      <c r="A186" s="0" t="s">
        <v>1060</v>
      </c>
      <c r="B186" s="0" t="s">
        <v>3190</v>
      </c>
      <c r="C186" s="0" t="n">
        <v>2850</v>
      </c>
      <c r="D186" s="0" t="n">
        <v>2850</v>
      </c>
      <c r="E186" s="0" t="s">
        <v>3066</v>
      </c>
    </row>
    <row r="187" customFormat="false" ht="15" hidden="false" customHeight="false" outlineLevel="0" collapsed="false">
      <c r="A187" s="0" t="s">
        <v>1049</v>
      </c>
      <c r="B187" s="0" t="s">
        <v>3191</v>
      </c>
      <c r="C187" s="0" t="n">
        <v>59000</v>
      </c>
      <c r="D187" s="0" t="n">
        <v>59000</v>
      </c>
      <c r="E187" s="0" t="s">
        <v>3066</v>
      </c>
    </row>
    <row r="188" customFormat="false" ht="15" hidden="false" customHeight="false" outlineLevel="0" collapsed="false">
      <c r="A188" s="0" t="s">
        <v>1358</v>
      </c>
      <c r="B188" s="0" t="s">
        <v>3192</v>
      </c>
      <c r="C188" s="0" t="n">
        <v>200</v>
      </c>
      <c r="D188" s="0" t="n">
        <v>200</v>
      </c>
      <c r="E188" s="0" t="s">
        <v>3066</v>
      </c>
    </row>
    <row r="189" customFormat="false" ht="15" hidden="false" customHeight="false" outlineLevel="0" collapsed="false">
      <c r="A189" s="0" t="s">
        <v>1354</v>
      </c>
      <c r="B189" s="0" t="s">
        <v>3193</v>
      </c>
      <c r="C189" s="0" t="n">
        <v>350</v>
      </c>
      <c r="D189" s="0" t="n">
        <v>350</v>
      </c>
      <c r="E189" s="0" t="s">
        <v>3066</v>
      </c>
    </row>
    <row r="190" customFormat="false" ht="15" hidden="false" customHeight="false" outlineLevel="0" collapsed="false">
      <c r="A190" s="0" t="s">
        <v>1395</v>
      </c>
      <c r="B190" s="0" t="s">
        <v>3194</v>
      </c>
      <c r="C190" s="0" t="n">
        <v>337.25</v>
      </c>
      <c r="D190" s="0" t="n">
        <v>337.25</v>
      </c>
      <c r="E190" s="0" t="s">
        <v>3066</v>
      </c>
    </row>
    <row r="191" customFormat="false" ht="15" hidden="false" customHeight="false" outlineLevel="0" collapsed="false">
      <c r="A191" s="0" t="s">
        <v>1401</v>
      </c>
      <c r="B191" s="0" t="s">
        <v>3195</v>
      </c>
      <c r="C191" s="0" t="n">
        <v>331.31</v>
      </c>
      <c r="D191" s="0" t="n">
        <v>331.31</v>
      </c>
      <c r="E191" s="0" t="s">
        <v>3066</v>
      </c>
    </row>
    <row r="192" customFormat="false" ht="15" hidden="false" customHeight="false" outlineLevel="0" collapsed="false">
      <c r="A192" s="0" t="s">
        <v>1402</v>
      </c>
      <c r="B192" s="0" t="s">
        <v>3196</v>
      </c>
      <c r="C192" s="0" t="n">
        <v>427.58</v>
      </c>
      <c r="D192" s="0" t="n">
        <v>427.58</v>
      </c>
      <c r="E192" s="0" t="s">
        <v>3066</v>
      </c>
    </row>
    <row r="193" customFormat="false" ht="15" hidden="false" customHeight="false" outlineLevel="0" collapsed="false">
      <c r="A193" s="0" t="s">
        <v>1403</v>
      </c>
      <c r="B193" s="0" t="s">
        <v>3197</v>
      </c>
      <c r="C193" s="0" t="n">
        <v>270.03</v>
      </c>
      <c r="D193" s="0" t="n">
        <v>270.03</v>
      </c>
      <c r="E193" s="0" t="s">
        <v>3066</v>
      </c>
    </row>
    <row r="194" customFormat="false" ht="15" hidden="false" customHeight="false" outlineLevel="0" collapsed="false">
      <c r="A194" s="0" t="s">
        <v>813</v>
      </c>
      <c r="B194" s="0" t="s">
        <v>3198</v>
      </c>
      <c r="C194" s="0" t="n">
        <v>2200</v>
      </c>
      <c r="D194" s="0" t="n">
        <v>2200</v>
      </c>
      <c r="E194" s="0" t="s">
        <v>3066</v>
      </c>
    </row>
    <row r="195" customFormat="false" ht="15" hidden="false" customHeight="false" outlineLevel="0" collapsed="false">
      <c r="A195" s="0" t="s">
        <v>816</v>
      </c>
      <c r="B195" s="0" t="s">
        <v>3095</v>
      </c>
      <c r="C195" s="0" t="n">
        <v>1538</v>
      </c>
      <c r="D195" s="0" t="n">
        <v>1538</v>
      </c>
      <c r="E195" s="0" t="s">
        <v>3066</v>
      </c>
    </row>
    <row r="196" customFormat="false" ht="15" hidden="false" customHeight="false" outlineLevel="0" collapsed="false">
      <c r="A196" s="0" t="s">
        <v>880</v>
      </c>
      <c r="B196" s="0" t="s">
        <v>3199</v>
      </c>
      <c r="C196" s="0" t="n">
        <v>2450</v>
      </c>
      <c r="D196" s="0" t="n">
        <v>2450</v>
      </c>
      <c r="E196" s="0" t="s">
        <v>3066</v>
      </c>
    </row>
    <row r="197" customFormat="false" ht="15" hidden="false" customHeight="false" outlineLevel="0" collapsed="false">
      <c r="A197" s="0" t="s">
        <v>892</v>
      </c>
      <c r="B197" s="0" t="s">
        <v>3200</v>
      </c>
      <c r="C197" s="0" t="n">
        <v>2150</v>
      </c>
      <c r="D197" s="0" t="n">
        <v>2150</v>
      </c>
      <c r="E197" s="0" t="s">
        <v>3066</v>
      </c>
    </row>
    <row r="198" customFormat="false" ht="15" hidden="false" customHeight="false" outlineLevel="0" collapsed="false">
      <c r="A198" s="0" t="s">
        <v>907</v>
      </c>
      <c r="B198" s="0" t="s">
        <v>3201</v>
      </c>
      <c r="C198" s="0" t="n">
        <v>2400</v>
      </c>
      <c r="D198" s="0" t="n">
        <v>2400</v>
      </c>
      <c r="E198" s="0" t="s">
        <v>3066</v>
      </c>
    </row>
    <row r="199" customFormat="false" ht="15" hidden="false" customHeight="false" outlineLevel="0" collapsed="false">
      <c r="A199" s="0" t="s">
        <v>973</v>
      </c>
      <c r="B199" s="0" t="s">
        <v>3202</v>
      </c>
      <c r="C199" s="0" t="n">
        <v>2500</v>
      </c>
      <c r="D199" s="0" t="n">
        <v>2500</v>
      </c>
      <c r="E199" s="0" t="s">
        <v>3066</v>
      </c>
    </row>
    <row r="200" customFormat="false" ht="15" hidden="false" customHeight="false" outlineLevel="0" collapsed="false">
      <c r="A200" s="0" t="s">
        <v>1000</v>
      </c>
      <c r="B200" s="0" t="s">
        <v>3203</v>
      </c>
      <c r="C200" s="0" t="n">
        <v>2100</v>
      </c>
      <c r="D200" s="0" t="n">
        <v>2100</v>
      </c>
      <c r="E200" s="0" t="s">
        <v>3066</v>
      </c>
    </row>
    <row r="201" customFormat="false" ht="15" hidden="false" customHeight="false" outlineLevel="0" collapsed="false">
      <c r="A201" s="0" t="s">
        <v>1134</v>
      </c>
      <c r="B201" s="0" t="s">
        <v>3204</v>
      </c>
      <c r="C201" s="0" t="n">
        <v>2600</v>
      </c>
      <c r="D201" s="0" t="n">
        <v>2600</v>
      </c>
      <c r="E201" s="0" t="s">
        <v>3066</v>
      </c>
    </row>
    <row r="202" customFormat="false" ht="15" hidden="false" customHeight="false" outlineLevel="0" collapsed="false">
      <c r="A202" s="0" t="s">
        <v>1249</v>
      </c>
      <c r="B202" s="0" t="s">
        <v>3205</v>
      </c>
      <c r="C202" s="0" t="n">
        <v>2800</v>
      </c>
      <c r="D202" s="0" t="n">
        <v>2800</v>
      </c>
      <c r="E202" s="0" t="s">
        <v>3066</v>
      </c>
    </row>
    <row r="203" customFormat="false" ht="15" hidden="false" customHeight="false" outlineLevel="0" collapsed="false">
      <c r="A203" s="0" t="s">
        <v>823</v>
      </c>
      <c r="B203" s="0" t="s">
        <v>3206</v>
      </c>
      <c r="C203" s="0" t="n">
        <v>28.32</v>
      </c>
      <c r="D203" s="0" t="n">
        <v>28.32</v>
      </c>
      <c r="E203" s="0" t="s">
        <v>3066</v>
      </c>
    </row>
  </sheetData>
  <autoFilter ref="A4:N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0"/>
  </cols>
  <sheetData>
    <row r="1" customFormat="false" ht="16.15" hidden="false" customHeight="false" outlineLevel="0" collapsed="false">
      <c r="A1" s="56" t="s">
        <v>3207</v>
      </c>
    </row>
    <row r="3" customFormat="false" ht="15" hidden="false" customHeight="false" outlineLevel="0" collapsed="false">
      <c r="A3" s="59" t="s">
        <v>2745</v>
      </c>
      <c r="B3" s="59" t="s">
        <v>3208</v>
      </c>
      <c r="C3" s="59" t="s">
        <v>3209</v>
      </c>
      <c r="D3" s="59" t="s">
        <v>3210</v>
      </c>
      <c r="E3" s="59" t="s">
        <v>3211</v>
      </c>
      <c r="F3" s="59" t="s">
        <v>3212</v>
      </c>
    </row>
    <row r="4" customFormat="false" ht="28.35" hidden="false" customHeight="false" outlineLevel="0" collapsed="false">
      <c r="A4" s="7" t="n">
        <v>1</v>
      </c>
      <c r="B4" s="7" t="s">
        <v>71</v>
      </c>
      <c r="C4" s="7" t="s">
        <v>799</v>
      </c>
      <c r="D4" s="7" t="n">
        <v>1415</v>
      </c>
      <c r="E4" s="7" t="n">
        <v>1575</v>
      </c>
      <c r="F4" s="7" t="s">
        <v>1478</v>
      </c>
    </row>
    <row r="5" customFormat="false" ht="28.35" hidden="false" customHeight="false" outlineLevel="0" collapsed="false">
      <c r="A5" s="7" t="n">
        <v>2</v>
      </c>
      <c r="B5" s="7" t="s">
        <v>71</v>
      </c>
      <c r="C5" s="7" t="s">
        <v>805</v>
      </c>
      <c r="D5" s="7" t="n">
        <v>190</v>
      </c>
      <c r="E5" s="7" t="n">
        <v>240</v>
      </c>
      <c r="F5" s="7" t="s">
        <v>1484</v>
      </c>
    </row>
    <row r="6" customFormat="false" ht="15" hidden="false" customHeight="false" outlineLevel="0" collapsed="false">
      <c r="A6" s="7" t="n">
        <v>3</v>
      </c>
      <c r="B6" s="7" t="s">
        <v>71</v>
      </c>
      <c r="C6" s="7" t="s">
        <v>802</v>
      </c>
      <c r="D6" s="7" t="n">
        <v>190</v>
      </c>
      <c r="E6" s="7" t="n">
        <v>185</v>
      </c>
      <c r="F6" s="7" t="s">
        <v>1503</v>
      </c>
    </row>
    <row r="7" customFormat="false" ht="28.35" hidden="false" customHeight="false" outlineLevel="0" collapsed="false">
      <c r="A7" s="7" t="n">
        <v>4</v>
      </c>
      <c r="B7" s="7" t="s">
        <v>71</v>
      </c>
      <c r="C7" s="7" t="s">
        <v>839</v>
      </c>
      <c r="D7" s="7" t="n">
        <v>145</v>
      </c>
      <c r="E7" s="7" t="n">
        <v>180</v>
      </c>
      <c r="F7" s="7" t="s">
        <v>1500</v>
      </c>
    </row>
    <row r="8" customFormat="false" ht="15" hidden="false" customHeight="false" outlineLevel="0" collapsed="false">
      <c r="A8" s="7" t="n">
        <v>5</v>
      </c>
      <c r="B8" s="7" t="s">
        <v>71</v>
      </c>
      <c r="C8" s="7" t="s">
        <v>884</v>
      </c>
      <c r="D8" s="7" t="n">
        <v>18</v>
      </c>
      <c r="E8" s="7" t="n">
        <v>17.5</v>
      </c>
      <c r="F8" s="7" t="s">
        <v>1524</v>
      </c>
    </row>
    <row r="9" customFormat="false" ht="15" hidden="false" customHeight="false" outlineLevel="0" collapsed="false">
      <c r="A9" s="7" t="n">
        <v>6</v>
      </c>
      <c r="B9" s="7" t="s">
        <v>71</v>
      </c>
      <c r="C9" s="7" t="s">
        <v>926</v>
      </c>
      <c r="D9" s="7" t="n">
        <v>110</v>
      </c>
      <c r="E9" s="7" t="n">
        <v>165</v>
      </c>
      <c r="F9" s="7" t="s">
        <v>1533</v>
      </c>
    </row>
    <row r="10" customFormat="false" ht="28.35" hidden="false" customHeight="false" outlineLevel="0" collapsed="false">
      <c r="A10" s="7" t="n">
        <v>7</v>
      </c>
      <c r="B10" s="7" t="s">
        <v>71</v>
      </c>
      <c r="C10" s="7" t="s">
        <v>930</v>
      </c>
      <c r="D10" s="7" t="n">
        <v>103</v>
      </c>
      <c r="E10" s="7" t="n">
        <v>140</v>
      </c>
      <c r="F10" s="7" t="s">
        <v>1536</v>
      </c>
    </row>
    <row r="11" customFormat="false" ht="15" hidden="false" customHeight="false" outlineLevel="0" collapsed="false">
      <c r="A11" s="7" t="n">
        <v>8</v>
      </c>
      <c r="B11" s="7" t="s">
        <v>71</v>
      </c>
      <c r="C11" s="7" t="s">
        <v>1106</v>
      </c>
      <c r="D11" s="7" t="n">
        <v>120</v>
      </c>
      <c r="E11" s="7" t="n">
        <v>100</v>
      </c>
      <c r="F11" s="7" t="s">
        <v>1766</v>
      </c>
    </row>
    <row r="12" customFormat="false" ht="28.35" hidden="false" customHeight="false" outlineLevel="0" collapsed="false">
      <c r="A12" s="7" t="n">
        <v>9</v>
      </c>
      <c r="B12" s="7" t="s">
        <v>71</v>
      </c>
      <c r="C12" s="7" t="s">
        <v>892</v>
      </c>
      <c r="D12" s="7" t="n">
        <v>2200</v>
      </c>
      <c r="E12" s="7" t="n">
        <v>2150</v>
      </c>
      <c r="F12" s="7" t="s">
        <v>2048</v>
      </c>
    </row>
    <row r="13" customFormat="false" ht="15" hidden="false" customHeight="false" outlineLevel="0" collapsed="false">
      <c r="A13" s="7" t="n">
        <v>10</v>
      </c>
      <c r="B13" s="7" t="s">
        <v>71</v>
      </c>
      <c r="C13" s="7" t="s">
        <v>973</v>
      </c>
      <c r="D13" s="7" t="n">
        <v>2200</v>
      </c>
      <c r="E13" s="7" t="n">
        <v>2500</v>
      </c>
      <c r="F13" s="7" t="s">
        <v>2055</v>
      </c>
    </row>
    <row r="14" customFormat="false" ht="15" hidden="false" customHeight="false" outlineLevel="0" collapsed="false">
      <c r="A14" s="7" t="n">
        <v>11</v>
      </c>
      <c r="B14" s="7" t="s">
        <v>71</v>
      </c>
      <c r="C14" s="7" t="s">
        <v>1000</v>
      </c>
      <c r="D14" s="7" t="n">
        <v>2200</v>
      </c>
      <c r="E14" s="7" t="n">
        <v>2100</v>
      </c>
      <c r="F14" s="7" t="s">
        <v>2059</v>
      </c>
    </row>
    <row r="15" customFormat="false" ht="28.35" hidden="false" customHeight="false" outlineLevel="0" collapsed="false">
      <c r="A15" s="7" t="n">
        <v>12</v>
      </c>
      <c r="B15" s="7" t="s">
        <v>3213</v>
      </c>
      <c r="C15" s="7" t="s">
        <v>1404</v>
      </c>
      <c r="D15" s="7"/>
      <c r="E15" s="7" t="n">
        <v>60.9</v>
      </c>
      <c r="F15" s="7" t="s">
        <v>2077</v>
      </c>
    </row>
    <row r="16" customFormat="false" ht="41.75" hidden="false" customHeight="false" outlineLevel="0" collapsed="false">
      <c r="A16" s="7" t="n">
        <v>13</v>
      </c>
      <c r="B16" s="7" t="s">
        <v>3213</v>
      </c>
      <c r="C16" s="7" t="s">
        <v>1406</v>
      </c>
      <c r="D16" s="7"/>
      <c r="E16" s="7" t="n">
        <v>17.9345</v>
      </c>
      <c r="F16" s="7" t="s">
        <v>2079</v>
      </c>
    </row>
    <row r="17" customFormat="false" ht="41.75" hidden="false" customHeight="false" outlineLevel="0" collapsed="false">
      <c r="A17" s="7" t="n">
        <v>14</v>
      </c>
      <c r="B17" s="7" t="s">
        <v>3213</v>
      </c>
      <c r="C17" s="7" t="s">
        <v>1407</v>
      </c>
      <c r="D17" s="7"/>
      <c r="E17" s="7" t="n">
        <v>40.269</v>
      </c>
      <c r="F17" s="7" t="s">
        <v>2081</v>
      </c>
    </row>
    <row r="18" customFormat="false" ht="41.75" hidden="false" customHeight="false" outlineLevel="0" collapsed="false">
      <c r="A18" s="7" t="n">
        <v>15</v>
      </c>
      <c r="B18" s="7" t="s">
        <v>3213</v>
      </c>
      <c r="C18" s="7" t="s">
        <v>1408</v>
      </c>
      <c r="D18" s="7"/>
      <c r="E18" s="7" t="n">
        <v>62.603</v>
      </c>
      <c r="F18" s="7" t="s">
        <v>2083</v>
      </c>
    </row>
    <row r="19" customFormat="false" ht="41.75" hidden="false" customHeight="false" outlineLevel="0" collapsed="false">
      <c r="A19" s="7" t="n">
        <v>16</v>
      </c>
      <c r="B19" s="7" t="s">
        <v>3213</v>
      </c>
      <c r="C19" s="7" t="s">
        <v>1409</v>
      </c>
      <c r="D19" s="7"/>
      <c r="E19" s="7" t="n">
        <v>100.505</v>
      </c>
      <c r="F19" s="7" t="s">
        <v>2085</v>
      </c>
    </row>
    <row r="20" customFormat="false" ht="41.75" hidden="false" customHeight="false" outlineLevel="0" collapsed="false">
      <c r="A20" s="7" t="n">
        <v>17</v>
      </c>
      <c r="B20" s="7" t="s">
        <v>3213</v>
      </c>
      <c r="C20" s="7" t="s">
        <v>1410</v>
      </c>
      <c r="D20" s="7"/>
      <c r="E20" s="7" t="n">
        <v>10.7605</v>
      </c>
      <c r="F20" s="7" t="s">
        <v>2087</v>
      </c>
    </row>
    <row r="21" customFormat="false" ht="41.75" hidden="false" customHeight="false" outlineLevel="0" collapsed="false">
      <c r="A21" s="7" t="n">
        <v>18</v>
      </c>
      <c r="B21" s="7" t="s">
        <v>3213</v>
      </c>
      <c r="C21" s="7" t="s">
        <v>1411</v>
      </c>
      <c r="D21" s="7"/>
      <c r="E21" s="7" t="n">
        <v>6.5945</v>
      </c>
      <c r="F21" s="7" t="s">
        <v>2089</v>
      </c>
    </row>
    <row r="22" customFormat="false" ht="41.75" hidden="false" customHeight="false" outlineLevel="0" collapsed="false">
      <c r="A22" s="7" t="n">
        <v>19</v>
      </c>
      <c r="B22" s="7" t="s">
        <v>3213</v>
      </c>
      <c r="C22" s="7" t="s">
        <v>1412</v>
      </c>
      <c r="D22" s="7"/>
      <c r="E22" s="7" t="n">
        <v>12.181</v>
      </c>
      <c r="F22" s="7" t="s">
        <v>2091</v>
      </c>
    </row>
    <row r="23" customFormat="false" ht="28.35" hidden="false" customHeight="false" outlineLevel="0" collapsed="false">
      <c r="A23" s="7" t="n">
        <v>20</v>
      </c>
      <c r="B23" s="7" t="s">
        <v>3213</v>
      </c>
      <c r="C23" s="7" t="s">
        <v>1413</v>
      </c>
      <c r="D23" s="7"/>
      <c r="E23" s="7" t="n">
        <v>364</v>
      </c>
      <c r="F23" s="7" t="s">
        <v>1964</v>
      </c>
    </row>
    <row r="24" customFormat="false" ht="28.35" hidden="false" customHeight="false" outlineLevel="0" collapsed="false">
      <c r="A24" s="7" t="n">
        <v>21</v>
      </c>
      <c r="B24" s="7" t="s">
        <v>3213</v>
      </c>
      <c r="C24" s="7" t="s">
        <v>1415</v>
      </c>
      <c r="D24" s="7"/>
      <c r="E24" s="7" t="n">
        <v>1763</v>
      </c>
      <c r="F24" s="7" t="s">
        <v>1968</v>
      </c>
    </row>
    <row r="25" customFormat="false" ht="28.35" hidden="false" customHeight="false" outlineLevel="0" collapsed="false">
      <c r="A25" s="7" t="n">
        <v>22</v>
      </c>
      <c r="B25" s="7" t="s">
        <v>3213</v>
      </c>
      <c r="C25" s="7" t="s">
        <v>1417</v>
      </c>
      <c r="D25" s="7"/>
      <c r="E25" s="7" t="n">
        <v>2435</v>
      </c>
      <c r="F25" s="7" t="s">
        <v>1972</v>
      </c>
    </row>
    <row r="26" customFormat="false" ht="28.35" hidden="false" customHeight="false" outlineLevel="0" collapsed="false">
      <c r="A26" s="7" t="n">
        <v>23</v>
      </c>
      <c r="B26" s="7" t="s">
        <v>3213</v>
      </c>
      <c r="C26" s="7" t="s">
        <v>1421</v>
      </c>
      <c r="D26" s="7"/>
      <c r="E26" s="7" t="n">
        <v>44179</v>
      </c>
      <c r="F26" s="7" t="s">
        <v>1975</v>
      </c>
    </row>
    <row r="27" customFormat="false" ht="28.35" hidden="false" customHeight="false" outlineLevel="0" collapsed="false">
      <c r="A27" s="7" t="n">
        <v>24</v>
      </c>
      <c r="B27" s="7" t="s">
        <v>3213</v>
      </c>
      <c r="C27" s="7" t="s">
        <v>1424</v>
      </c>
      <c r="D27" s="7"/>
      <c r="E27" s="7" t="n">
        <v>140063</v>
      </c>
      <c r="F27" s="7" t="s">
        <v>1979</v>
      </c>
    </row>
    <row r="28" customFormat="false" ht="15" hidden="false" customHeight="false" outlineLevel="0" collapsed="false">
      <c r="A28" s="7" t="n">
        <v>25</v>
      </c>
      <c r="B28" s="7" t="s">
        <v>3213</v>
      </c>
      <c r="C28" s="7" t="s">
        <v>1427</v>
      </c>
      <c r="D28" s="7"/>
      <c r="E28" s="7"/>
      <c r="F28" s="7" t="s">
        <v>2375</v>
      </c>
    </row>
    <row r="29" customFormat="false" ht="15" hidden="false" customHeight="false" outlineLevel="0" collapsed="false">
      <c r="A29" s="7" t="n">
        <v>26</v>
      </c>
      <c r="B29" s="7" t="s">
        <v>3213</v>
      </c>
      <c r="C29" s="7" t="s">
        <v>1430</v>
      </c>
      <c r="D29" s="7"/>
      <c r="E29" s="7"/>
      <c r="F29" s="7" t="s">
        <v>2375</v>
      </c>
    </row>
    <row r="30" customFormat="false" ht="15" hidden="false" customHeight="false" outlineLevel="0" collapsed="false">
      <c r="A30" s="7" t="n">
        <v>27</v>
      </c>
      <c r="B30" s="7" t="s">
        <v>3213</v>
      </c>
      <c r="C30" s="7" t="s">
        <v>1432</v>
      </c>
      <c r="D30" s="7"/>
      <c r="E30" s="7"/>
      <c r="F30" s="7" t="s">
        <v>2375</v>
      </c>
    </row>
    <row r="31" customFormat="false" ht="15" hidden="false" customHeight="false" outlineLevel="0" collapsed="false">
      <c r="A31" s="7" t="n">
        <v>28</v>
      </c>
      <c r="B31" s="7" t="s">
        <v>3213</v>
      </c>
      <c r="C31" s="7" t="s">
        <v>1434</v>
      </c>
      <c r="D31" s="7"/>
      <c r="E31" s="7"/>
      <c r="F31" s="7" t="s">
        <v>2375</v>
      </c>
    </row>
    <row r="32" customFormat="false" ht="15" hidden="false" customHeight="false" outlineLevel="0" collapsed="false">
      <c r="A32" s="7" t="n">
        <v>29</v>
      </c>
      <c r="B32" s="7" t="s">
        <v>3213</v>
      </c>
      <c r="C32" s="7" t="s">
        <v>1435</v>
      </c>
      <c r="D32" s="7"/>
      <c r="E32" s="7"/>
      <c r="F32" s="7" t="s">
        <v>2375</v>
      </c>
    </row>
    <row r="33" customFormat="false" ht="15" hidden="false" customHeight="false" outlineLevel="0" collapsed="false">
      <c r="A33" s="7" t="n">
        <v>30</v>
      </c>
      <c r="B33" s="7" t="s">
        <v>3213</v>
      </c>
      <c r="C33" s="7" t="s">
        <v>1436</v>
      </c>
      <c r="D33" s="7"/>
      <c r="E33" s="7"/>
      <c r="F33" s="7" t="s">
        <v>2375</v>
      </c>
    </row>
    <row r="34" customFormat="false" ht="15" hidden="false" customHeight="false" outlineLevel="0" collapsed="false">
      <c r="A34" s="7" t="n">
        <v>31</v>
      </c>
      <c r="B34" s="7" t="s">
        <v>3213</v>
      </c>
      <c r="C34" s="7" t="s">
        <v>1438</v>
      </c>
      <c r="D34" s="7"/>
      <c r="E34" s="7"/>
      <c r="F34" s="7" t="s">
        <v>2375</v>
      </c>
    </row>
    <row r="35" customFormat="false" ht="15" hidden="false" customHeight="false" outlineLevel="0" collapsed="false">
      <c r="A35" s="7" t="n">
        <v>32</v>
      </c>
      <c r="B35" s="7" t="s">
        <v>3213</v>
      </c>
      <c r="C35" s="7" t="s">
        <v>1439</v>
      </c>
      <c r="D35" s="7"/>
      <c r="E35" s="7"/>
      <c r="F35" s="7" t="s">
        <v>2375</v>
      </c>
    </row>
    <row r="36" customFormat="false" ht="15" hidden="false" customHeight="false" outlineLevel="0" collapsed="false">
      <c r="A36" s="7" t="n">
        <v>33</v>
      </c>
      <c r="B36" s="7" t="s">
        <v>3213</v>
      </c>
      <c r="C36" s="7" t="s">
        <v>1440</v>
      </c>
      <c r="D36" s="7"/>
      <c r="E36" s="7"/>
      <c r="F36" s="7" t="s">
        <v>2375</v>
      </c>
    </row>
    <row r="37" customFormat="false" ht="15" hidden="false" customHeight="false" outlineLevel="0" collapsed="false">
      <c r="A37" s="7" t="n">
        <v>34</v>
      </c>
      <c r="B37" s="7" t="s">
        <v>3213</v>
      </c>
      <c r="C37" s="7" t="s">
        <v>1441</v>
      </c>
      <c r="D37" s="7"/>
      <c r="E37" s="7"/>
      <c r="F37" s="7" t="s">
        <v>2375</v>
      </c>
    </row>
    <row r="38" customFormat="false" ht="15" hidden="false" customHeight="false" outlineLevel="0" collapsed="false">
      <c r="A38" s="7" t="n">
        <v>35</v>
      </c>
      <c r="B38" s="7" t="s">
        <v>3213</v>
      </c>
      <c r="C38" s="7" t="s">
        <v>1442</v>
      </c>
      <c r="D38" s="7"/>
      <c r="E38" s="7"/>
      <c r="F38" s="7" t="s">
        <v>2375</v>
      </c>
    </row>
    <row r="39" customFormat="false" ht="15" hidden="false" customHeight="false" outlineLevel="0" collapsed="false">
      <c r="A39" s="7" t="n">
        <v>36</v>
      </c>
      <c r="B39" s="7" t="s">
        <v>3213</v>
      </c>
      <c r="C39" s="7" t="s">
        <v>1443</v>
      </c>
      <c r="D39" s="7"/>
      <c r="E39" s="7"/>
      <c r="F39" s="7" t="s">
        <v>2375</v>
      </c>
    </row>
    <row r="40" customFormat="false" ht="15" hidden="false" customHeight="false" outlineLevel="0" collapsed="false">
      <c r="A40" s="7" t="n">
        <v>37</v>
      </c>
      <c r="B40" s="7" t="s">
        <v>3213</v>
      </c>
      <c r="C40" s="7" t="s">
        <v>1444</v>
      </c>
      <c r="D40" s="7"/>
      <c r="E40" s="7"/>
      <c r="F40" s="7" t="s">
        <v>2375</v>
      </c>
    </row>
    <row r="41" customFormat="false" ht="15" hidden="false" customHeight="false" outlineLevel="0" collapsed="false">
      <c r="A41" s="7" t="n">
        <v>38</v>
      </c>
      <c r="B41" s="7" t="s">
        <v>3213</v>
      </c>
      <c r="C41" s="7" t="s">
        <v>1445</v>
      </c>
      <c r="D41" s="7"/>
      <c r="E41" s="7"/>
      <c r="F41" s="7" t="s">
        <v>2375</v>
      </c>
    </row>
    <row r="42" customFormat="false" ht="15" hidden="false" customHeight="false" outlineLevel="0" collapsed="false">
      <c r="A42" s="7" t="n">
        <v>39</v>
      </c>
      <c r="B42" s="7" t="s">
        <v>3213</v>
      </c>
      <c r="C42" s="7" t="s">
        <v>1446</v>
      </c>
      <c r="D42" s="7"/>
      <c r="E42" s="7"/>
      <c r="F42" s="7" t="s">
        <v>2375</v>
      </c>
    </row>
    <row r="43" customFormat="false" ht="15" hidden="false" customHeight="false" outlineLevel="0" collapsed="false">
      <c r="A43" s="7" t="n">
        <v>40</v>
      </c>
      <c r="B43" s="7" t="s">
        <v>3213</v>
      </c>
      <c r="C43" s="7" t="s">
        <v>1447</v>
      </c>
      <c r="D43" s="7"/>
      <c r="E43" s="7"/>
      <c r="F43" s="7" t="s">
        <v>2375</v>
      </c>
    </row>
    <row r="44" customFormat="false" ht="15" hidden="false" customHeight="false" outlineLevel="0" collapsed="false">
      <c r="A44" s="7" t="n">
        <v>41</v>
      </c>
      <c r="B44" s="7" t="s">
        <v>3213</v>
      </c>
      <c r="C44" s="7" t="s">
        <v>1448</v>
      </c>
      <c r="D44" s="7"/>
      <c r="E44" s="7"/>
      <c r="F44" s="7" t="s">
        <v>2375</v>
      </c>
    </row>
    <row r="45" customFormat="false" ht="15" hidden="false" customHeight="false" outlineLevel="0" collapsed="false">
      <c r="A45" s="7" t="n">
        <v>42</v>
      </c>
      <c r="B45" s="7" t="s">
        <v>3213</v>
      </c>
      <c r="C45" s="7" t="s">
        <v>1451</v>
      </c>
      <c r="D45" s="7"/>
      <c r="E45" s="7"/>
      <c r="F45" s="7" t="s">
        <v>2375</v>
      </c>
    </row>
    <row r="46" customFormat="false" ht="15" hidden="false" customHeight="false" outlineLevel="0" collapsed="false">
      <c r="A46" s="7" t="n">
        <v>43</v>
      </c>
      <c r="B46" s="7" t="s">
        <v>3213</v>
      </c>
      <c r="C46" s="7" t="s">
        <v>1454</v>
      </c>
      <c r="D46" s="7"/>
      <c r="E46" s="7"/>
      <c r="F46" s="7" t="s">
        <v>2375</v>
      </c>
    </row>
    <row r="47" customFormat="false" ht="15" hidden="false" customHeight="false" outlineLevel="0" collapsed="false">
      <c r="A47" s="7" t="n">
        <v>44</v>
      </c>
      <c r="B47" s="7" t="s">
        <v>3213</v>
      </c>
      <c r="C47" s="7" t="s">
        <v>1455</v>
      </c>
      <c r="D47" s="7"/>
      <c r="E47" s="7"/>
      <c r="F47" s="7" t="s">
        <v>2375</v>
      </c>
    </row>
    <row r="48" customFormat="false" ht="15" hidden="false" customHeight="false" outlineLevel="0" collapsed="false">
      <c r="A48" s="7" t="n">
        <v>45</v>
      </c>
      <c r="B48" s="7" t="s">
        <v>3213</v>
      </c>
      <c r="C48" s="7" t="s">
        <v>1456</v>
      </c>
      <c r="D48" s="7"/>
      <c r="E48" s="7"/>
      <c r="F48" s="7" t="s">
        <v>2375</v>
      </c>
    </row>
    <row r="49" customFormat="false" ht="15" hidden="false" customHeight="false" outlineLevel="0" collapsed="false">
      <c r="A49" s="7" t="n">
        <v>46</v>
      </c>
      <c r="B49" s="7" t="s">
        <v>3213</v>
      </c>
      <c r="C49" s="7" t="s">
        <v>1458</v>
      </c>
      <c r="D49" s="7"/>
      <c r="E49" s="7"/>
      <c r="F49" s="7" t="s">
        <v>2375</v>
      </c>
    </row>
    <row r="50" customFormat="false" ht="15" hidden="false" customHeight="false" outlineLevel="0" collapsed="false">
      <c r="A50" s="7" t="n">
        <v>47</v>
      </c>
      <c r="B50" s="7" t="s">
        <v>3213</v>
      </c>
      <c r="C50" s="7" t="s">
        <v>1460</v>
      </c>
      <c r="D50" s="7"/>
      <c r="E50" s="7"/>
      <c r="F50" s="7" t="s">
        <v>2375</v>
      </c>
    </row>
    <row r="51" customFormat="false" ht="15" hidden="false" customHeight="false" outlineLevel="0" collapsed="false">
      <c r="A51" s="7" t="n">
        <v>48</v>
      </c>
      <c r="B51" s="7" t="s">
        <v>3213</v>
      </c>
      <c r="C51" s="7" t="s">
        <v>1217</v>
      </c>
      <c r="D51" s="7"/>
      <c r="E51" s="7"/>
      <c r="F51" s="7" t="s">
        <v>2375</v>
      </c>
    </row>
    <row r="52" customFormat="false" ht="15" hidden="false" customHeight="false" outlineLevel="0" collapsed="false">
      <c r="A52" s="7" t="n">
        <v>49</v>
      </c>
      <c r="B52" s="7" t="s">
        <v>3213</v>
      </c>
      <c r="C52" s="7" t="s">
        <v>1226</v>
      </c>
      <c r="D52" s="7"/>
      <c r="E52" s="7"/>
      <c r="F52" s="7" t="s">
        <v>2375</v>
      </c>
    </row>
    <row r="53" customFormat="false" ht="15" hidden="false" customHeight="false" outlineLevel="0" collapsed="false">
      <c r="A53" s="7" t="n">
        <v>50</v>
      </c>
      <c r="B53" s="7" t="s">
        <v>3213</v>
      </c>
      <c r="C53" s="7" t="s">
        <v>1231</v>
      </c>
      <c r="D53" s="7"/>
      <c r="E53" s="7"/>
      <c r="F53" s="7" t="s">
        <v>2375</v>
      </c>
    </row>
    <row r="54" customFormat="false" ht="15" hidden="false" customHeight="false" outlineLevel="0" collapsed="false">
      <c r="A54" s="7" t="n">
        <v>51</v>
      </c>
      <c r="B54" s="7" t="s">
        <v>3214</v>
      </c>
      <c r="C54" s="7" t="s">
        <v>1596</v>
      </c>
      <c r="D54" s="7"/>
      <c r="E54" s="7" t="n">
        <v>3550</v>
      </c>
      <c r="F54" s="7" t="s">
        <v>2835</v>
      </c>
    </row>
    <row r="55" customFormat="false" ht="15" hidden="false" customHeight="false" outlineLevel="0" collapsed="false">
      <c r="A55" s="7" t="n">
        <v>52</v>
      </c>
      <c r="B55" s="7" t="s">
        <v>3214</v>
      </c>
      <c r="C55" s="7" t="s">
        <v>1600</v>
      </c>
      <c r="D55" s="7"/>
      <c r="E55" s="7" t="n">
        <v>4600</v>
      </c>
      <c r="F55" s="7" t="s">
        <v>2836</v>
      </c>
    </row>
    <row r="56" customFormat="false" ht="15" hidden="false" customHeight="false" outlineLevel="0" collapsed="false">
      <c r="A56" s="7" t="n">
        <v>53</v>
      </c>
      <c r="B56" s="7" t="s">
        <v>3214</v>
      </c>
      <c r="C56" s="7" t="s">
        <v>1608</v>
      </c>
      <c r="D56" s="7"/>
      <c r="E56" s="7" t="n">
        <v>45</v>
      </c>
      <c r="F56" s="7" t="s">
        <v>2834</v>
      </c>
    </row>
    <row r="57" customFormat="false" ht="15" hidden="false" customHeight="false" outlineLevel="0" collapsed="false">
      <c r="A57" s="7" t="n">
        <v>54</v>
      </c>
      <c r="B57" s="7" t="s">
        <v>3214</v>
      </c>
      <c r="C57" s="7" t="s">
        <v>1604</v>
      </c>
      <c r="D57" s="7"/>
      <c r="E57" s="7" t="n">
        <v>60</v>
      </c>
      <c r="F57" s="7" t="s">
        <v>2834</v>
      </c>
    </row>
    <row r="58" customFormat="false" ht="15" hidden="false" customHeight="false" outlineLevel="0" collapsed="false">
      <c r="A58" s="7" t="n">
        <v>55</v>
      </c>
      <c r="B58" s="7" t="s">
        <v>3214</v>
      </c>
      <c r="C58" s="7" t="s">
        <v>1611</v>
      </c>
      <c r="D58" s="7"/>
      <c r="E58" s="7" t="n">
        <v>35</v>
      </c>
      <c r="F58" s="7" t="s">
        <v>2834</v>
      </c>
    </row>
    <row r="59" customFormat="false" ht="15" hidden="false" customHeight="false" outlineLevel="0" collapsed="false">
      <c r="A59" s="7" t="n">
        <v>56</v>
      </c>
      <c r="B59" s="7" t="s">
        <v>3214</v>
      </c>
      <c r="C59" s="7" t="s">
        <v>1624</v>
      </c>
      <c r="D59" s="7"/>
      <c r="E59" s="7" t="n">
        <v>3</v>
      </c>
      <c r="F59" s="7" t="s">
        <v>2834</v>
      </c>
    </row>
    <row r="60" customFormat="false" ht="15" hidden="false" customHeight="false" outlineLevel="0" collapsed="false">
      <c r="A60" s="7" t="n">
        <v>57</v>
      </c>
      <c r="B60" s="7" t="s">
        <v>3214</v>
      </c>
      <c r="C60" s="7" t="s">
        <v>1627</v>
      </c>
      <c r="D60" s="7"/>
      <c r="E60" s="7" t="n">
        <v>120</v>
      </c>
      <c r="F60" s="7" t="s">
        <v>2834</v>
      </c>
    </row>
    <row r="61" customFormat="false" ht="15" hidden="false" customHeight="false" outlineLevel="0" collapsed="false">
      <c r="A61" s="7" t="n">
        <v>58</v>
      </c>
      <c r="B61" s="7" t="s">
        <v>3214</v>
      </c>
      <c r="C61" s="7" t="s">
        <v>905</v>
      </c>
      <c r="D61" s="7"/>
      <c r="E61" s="7" t="n">
        <v>400</v>
      </c>
      <c r="F61" s="7" t="s">
        <v>2839</v>
      </c>
    </row>
    <row r="62" customFormat="false" ht="15" hidden="false" customHeight="false" outlineLevel="0" collapsed="false">
      <c r="A62" s="7" t="n">
        <v>59</v>
      </c>
      <c r="B62" s="7" t="s">
        <v>3214</v>
      </c>
      <c r="C62" s="7" t="s">
        <v>1350</v>
      </c>
      <c r="D62" s="7"/>
      <c r="E62" s="7" t="n">
        <v>700</v>
      </c>
      <c r="F62" s="7" t="s">
        <v>2840</v>
      </c>
    </row>
    <row r="63" customFormat="false" ht="15" hidden="false" customHeight="false" outlineLevel="0" collapsed="false">
      <c r="A63" s="7" t="n">
        <v>60</v>
      </c>
      <c r="B63" s="7" t="s">
        <v>3214</v>
      </c>
      <c r="C63" s="7" t="s">
        <v>846</v>
      </c>
      <c r="D63" s="7"/>
      <c r="E63" s="7" t="n">
        <v>70</v>
      </c>
      <c r="F63" s="7" t="s">
        <v>2842</v>
      </c>
    </row>
    <row r="64" customFormat="false" ht="15" hidden="false" customHeight="false" outlineLevel="0" collapsed="false">
      <c r="A64" s="7" t="n">
        <v>61</v>
      </c>
      <c r="B64" s="7" t="s">
        <v>3214</v>
      </c>
      <c r="C64" s="7" t="s">
        <v>1062</v>
      </c>
      <c r="D64" s="7"/>
      <c r="E64" s="7" t="n">
        <v>11000</v>
      </c>
      <c r="F64" s="7" t="s">
        <v>2844</v>
      </c>
    </row>
    <row r="65" customFormat="false" ht="15" hidden="false" customHeight="false" outlineLevel="0" collapsed="false">
      <c r="A65" s="7" t="n">
        <v>62</v>
      </c>
      <c r="B65" s="7" t="s">
        <v>3214</v>
      </c>
      <c r="C65" s="7" t="s">
        <v>1076</v>
      </c>
      <c r="D65" s="7"/>
      <c r="E65" s="7" t="n">
        <v>500</v>
      </c>
      <c r="F65" s="7" t="s">
        <v>2847</v>
      </c>
    </row>
    <row r="66" customFormat="false" ht="15" hidden="false" customHeight="false" outlineLevel="0" collapsed="false">
      <c r="A66" s="7" t="n">
        <v>63</v>
      </c>
      <c r="B66" s="7" t="s">
        <v>3214</v>
      </c>
      <c r="C66" s="7" t="s">
        <v>1078</v>
      </c>
      <c r="D66" s="7"/>
      <c r="E66" s="7" t="n">
        <v>1300</v>
      </c>
      <c r="F66" s="7" t="s">
        <v>2848</v>
      </c>
    </row>
    <row r="67" customFormat="false" ht="15" hidden="false" customHeight="false" outlineLevel="0" collapsed="false">
      <c r="A67" s="7" t="n">
        <v>64</v>
      </c>
      <c r="B67" s="7" t="s">
        <v>3214</v>
      </c>
      <c r="C67" s="7" t="s">
        <v>1080</v>
      </c>
      <c r="D67" s="7"/>
      <c r="E67" s="7" t="n">
        <v>350</v>
      </c>
      <c r="F67" s="7" t="s">
        <v>2849</v>
      </c>
    </row>
    <row r="68" customFormat="false" ht="15" hidden="false" customHeight="false" outlineLevel="0" collapsed="false">
      <c r="A68" s="7" t="n">
        <v>65</v>
      </c>
      <c r="B68" s="7" t="s">
        <v>3214</v>
      </c>
      <c r="C68" s="7" t="s">
        <v>1072</v>
      </c>
      <c r="D68" s="7"/>
      <c r="E68" s="7" t="n">
        <v>350</v>
      </c>
      <c r="F68" s="7" t="s">
        <v>2850</v>
      </c>
    </row>
    <row r="69" customFormat="false" ht="15" hidden="false" customHeight="false" outlineLevel="0" collapsed="false">
      <c r="A69" s="7" t="n">
        <v>66</v>
      </c>
      <c r="B69" s="7" t="s">
        <v>3214</v>
      </c>
      <c r="C69" s="7" t="s">
        <v>1088</v>
      </c>
      <c r="D69" s="7"/>
      <c r="E69" s="7" t="n">
        <v>450</v>
      </c>
      <c r="F69" s="7" t="s">
        <v>2851</v>
      </c>
    </row>
    <row r="70" customFormat="false" ht="15" hidden="false" customHeight="false" outlineLevel="0" collapsed="false">
      <c r="A70" s="7" t="n">
        <v>67</v>
      </c>
      <c r="B70" s="7" t="s">
        <v>3214</v>
      </c>
      <c r="C70" s="7" t="s">
        <v>1850</v>
      </c>
      <c r="D70" s="7"/>
      <c r="E70" s="7" t="n">
        <v>0</v>
      </c>
      <c r="F70" s="7" t="s">
        <v>2854</v>
      </c>
    </row>
    <row r="71" customFormat="false" ht="28.35" hidden="false" customHeight="false" outlineLevel="0" collapsed="false">
      <c r="A71" s="7" t="n">
        <v>68</v>
      </c>
      <c r="B71" s="7" t="s">
        <v>3214</v>
      </c>
      <c r="C71" s="7" t="s">
        <v>1217</v>
      </c>
      <c r="D71" s="7"/>
      <c r="E71" s="7" t="n">
        <v>149.54</v>
      </c>
      <c r="F71" s="7" t="s">
        <v>2892</v>
      </c>
    </row>
    <row r="72" customFormat="false" ht="15" hidden="false" customHeight="false" outlineLevel="0" collapsed="false">
      <c r="A72" s="7" t="n">
        <v>69</v>
      </c>
      <c r="B72" s="7" t="s">
        <v>3214</v>
      </c>
      <c r="C72" s="7" t="s">
        <v>1226</v>
      </c>
      <c r="D72" s="7"/>
      <c r="E72" s="7" t="n">
        <v>314.88</v>
      </c>
      <c r="F72" s="7" t="s">
        <v>2893</v>
      </c>
    </row>
    <row r="73" customFormat="false" ht="15" hidden="false" customHeight="false" outlineLevel="0" collapsed="false">
      <c r="A73" s="7" t="n">
        <v>70</v>
      </c>
      <c r="B73" s="7" t="s">
        <v>3214</v>
      </c>
      <c r="C73" s="7" t="s">
        <v>1231</v>
      </c>
      <c r="D73" s="7"/>
      <c r="E73" s="7" t="n">
        <v>907.39</v>
      </c>
      <c r="F73" s="7" t="s">
        <v>2894</v>
      </c>
    </row>
    <row r="74" customFormat="false" ht="15" hidden="false" customHeight="false" outlineLevel="0" collapsed="false">
      <c r="A74" s="7" t="n">
        <v>71</v>
      </c>
      <c r="B74" s="7" t="s">
        <v>3214</v>
      </c>
      <c r="C74" s="7" t="s">
        <v>1315</v>
      </c>
      <c r="D74" s="7"/>
      <c r="E74" s="7" t="n">
        <v>8500000</v>
      </c>
      <c r="F74" s="7" t="s">
        <v>2856</v>
      </c>
    </row>
    <row r="75" customFormat="false" ht="15" hidden="false" customHeight="false" outlineLevel="0" collapsed="false">
      <c r="A75" s="7" t="n">
        <v>72</v>
      </c>
      <c r="B75" s="7" t="s">
        <v>3214</v>
      </c>
      <c r="C75" s="7" t="s">
        <v>1126</v>
      </c>
      <c r="D75" s="7"/>
      <c r="E75" s="7" t="n">
        <v>38</v>
      </c>
      <c r="F75" s="7" t="s">
        <v>2864</v>
      </c>
    </row>
    <row r="76" customFormat="false" ht="15" hidden="false" customHeight="false" outlineLevel="0" collapsed="false">
      <c r="A76" s="7" t="n">
        <v>73</v>
      </c>
      <c r="B76" s="7" t="s">
        <v>3214</v>
      </c>
      <c r="C76" s="7" t="s">
        <v>1128</v>
      </c>
      <c r="D76" s="7"/>
      <c r="E76" s="7" t="n">
        <v>27</v>
      </c>
      <c r="F76" s="7" t="s">
        <v>2865</v>
      </c>
    </row>
    <row r="77" customFormat="false" ht="15" hidden="false" customHeight="false" outlineLevel="0" collapsed="false">
      <c r="A77" s="7" t="n">
        <v>74</v>
      </c>
      <c r="B77" s="7" t="s">
        <v>3214</v>
      </c>
      <c r="C77" s="7" t="s">
        <v>1130</v>
      </c>
      <c r="D77" s="7"/>
      <c r="E77" s="7" t="n">
        <v>50</v>
      </c>
      <c r="F77" s="7" t="s">
        <v>2866</v>
      </c>
    </row>
    <row r="78" customFormat="false" ht="15" hidden="false" customHeight="false" outlineLevel="0" collapsed="false">
      <c r="A78" s="7" t="n">
        <v>75</v>
      </c>
      <c r="B78" s="7" t="s">
        <v>3214</v>
      </c>
      <c r="C78" s="7" t="s">
        <v>992</v>
      </c>
      <c r="D78" s="7"/>
      <c r="E78" s="7" t="n">
        <v>212.19</v>
      </c>
      <c r="F78" s="7" t="s">
        <v>2837</v>
      </c>
    </row>
    <row r="79" customFormat="false" ht="15" hidden="false" customHeight="false" outlineLevel="0" collapsed="false">
      <c r="A79" s="7" t="n">
        <v>76</v>
      </c>
      <c r="B79" s="7" t="s">
        <v>3214</v>
      </c>
      <c r="C79" s="7" t="s">
        <v>1436</v>
      </c>
      <c r="D79" s="7"/>
      <c r="E79" s="7" t="n">
        <v>224.91</v>
      </c>
      <c r="F79" s="7" t="s">
        <v>2874</v>
      </c>
    </row>
    <row r="80" customFormat="false" ht="15" hidden="false" customHeight="false" outlineLevel="0" collapsed="false">
      <c r="A80" s="7" t="n">
        <v>77</v>
      </c>
      <c r="B80" s="7" t="s">
        <v>3214</v>
      </c>
      <c r="C80" s="7" t="s">
        <v>1427</v>
      </c>
      <c r="D80" s="7"/>
      <c r="E80" s="7" t="n">
        <v>500000</v>
      </c>
      <c r="F80" s="7" t="s">
        <v>2869</v>
      </c>
    </row>
    <row r="81" customFormat="false" ht="15" hidden="false" customHeight="false" outlineLevel="0" collapsed="false">
      <c r="A81" s="7" t="n">
        <v>78</v>
      </c>
      <c r="B81" s="7" t="s">
        <v>3214</v>
      </c>
      <c r="C81" s="7" t="s">
        <v>1430</v>
      </c>
      <c r="D81" s="7"/>
      <c r="E81" s="7" t="n">
        <v>1500000</v>
      </c>
      <c r="F81" s="7" t="s">
        <v>2870</v>
      </c>
    </row>
    <row r="82" customFormat="false" ht="15" hidden="false" customHeight="false" outlineLevel="0" collapsed="false">
      <c r="A82" s="7" t="n">
        <v>79</v>
      </c>
      <c r="B82" s="7" t="s">
        <v>3214</v>
      </c>
      <c r="C82" s="7" t="s">
        <v>1432</v>
      </c>
      <c r="D82" s="7"/>
      <c r="E82" s="7" t="n">
        <v>150000</v>
      </c>
      <c r="F82" s="7" t="s">
        <v>2871</v>
      </c>
    </row>
    <row r="83" customFormat="false" ht="15" hidden="false" customHeight="false" outlineLevel="0" collapsed="false">
      <c r="A83" s="7" t="n">
        <v>80</v>
      </c>
      <c r="B83" s="7" t="s">
        <v>3214</v>
      </c>
      <c r="C83" s="7" t="s">
        <v>1434</v>
      </c>
      <c r="D83" s="7"/>
      <c r="E83" s="7" t="n">
        <v>4500</v>
      </c>
      <c r="F83" s="7" t="s">
        <v>2872</v>
      </c>
    </row>
    <row r="84" customFormat="false" ht="15" hidden="false" customHeight="false" outlineLevel="0" collapsed="false">
      <c r="A84" s="7" t="n">
        <v>81</v>
      </c>
      <c r="B84" s="7" t="s">
        <v>3214</v>
      </c>
      <c r="C84" s="7" t="s">
        <v>1435</v>
      </c>
      <c r="D84" s="7"/>
      <c r="E84" s="7" t="n">
        <v>6</v>
      </c>
      <c r="F84" s="7" t="s">
        <v>2873</v>
      </c>
    </row>
    <row r="85" customFormat="false" ht="15" hidden="false" customHeight="false" outlineLevel="0" collapsed="false">
      <c r="A85" s="7" t="n">
        <v>82</v>
      </c>
      <c r="B85" s="7" t="s">
        <v>3214</v>
      </c>
      <c r="C85" s="7" t="s">
        <v>1438</v>
      </c>
      <c r="D85" s="7"/>
      <c r="E85" s="7" t="n">
        <v>450</v>
      </c>
      <c r="F85" s="7" t="s">
        <v>2875</v>
      </c>
    </row>
    <row r="86" customFormat="false" ht="15" hidden="false" customHeight="false" outlineLevel="0" collapsed="false">
      <c r="A86" s="7" t="n">
        <v>83</v>
      </c>
      <c r="B86" s="7" t="s">
        <v>3214</v>
      </c>
      <c r="C86" s="7" t="s">
        <v>1439</v>
      </c>
      <c r="D86" s="7"/>
      <c r="E86" s="7" t="n">
        <v>6500</v>
      </c>
      <c r="F86" s="7" t="s">
        <v>2876</v>
      </c>
    </row>
    <row r="87" customFormat="false" ht="15" hidden="false" customHeight="false" outlineLevel="0" collapsed="false">
      <c r="A87" s="7" t="n">
        <v>84</v>
      </c>
      <c r="B87" s="7" t="s">
        <v>3214</v>
      </c>
      <c r="C87" s="7" t="s">
        <v>1440</v>
      </c>
      <c r="D87" s="7"/>
      <c r="E87" s="7" t="n">
        <v>350</v>
      </c>
      <c r="F87" s="7" t="s">
        <v>2877</v>
      </c>
    </row>
    <row r="88" customFormat="false" ht="15" hidden="false" customHeight="false" outlineLevel="0" collapsed="false">
      <c r="A88" s="7" t="n">
        <v>85</v>
      </c>
      <c r="B88" s="7" t="s">
        <v>3214</v>
      </c>
      <c r="C88" s="7" t="s">
        <v>1441</v>
      </c>
      <c r="D88" s="7"/>
      <c r="E88" s="7" t="n">
        <v>180</v>
      </c>
      <c r="F88" s="7" t="s">
        <v>2878</v>
      </c>
    </row>
    <row r="89" customFormat="false" ht="15" hidden="false" customHeight="false" outlineLevel="0" collapsed="false">
      <c r="A89" s="7" t="n">
        <v>86</v>
      </c>
      <c r="B89" s="7" t="s">
        <v>3214</v>
      </c>
      <c r="C89" s="7" t="s">
        <v>1442</v>
      </c>
      <c r="D89" s="7"/>
      <c r="E89" s="7" t="n">
        <v>900</v>
      </c>
      <c r="F89" s="7" t="s">
        <v>2879</v>
      </c>
    </row>
    <row r="90" customFormat="false" ht="28.35" hidden="false" customHeight="false" outlineLevel="0" collapsed="false">
      <c r="A90" s="7" t="n">
        <v>87</v>
      </c>
      <c r="B90" s="7" t="s">
        <v>3214</v>
      </c>
      <c r="C90" s="7" t="s">
        <v>1443</v>
      </c>
      <c r="D90" s="7"/>
      <c r="E90" s="7" t="n">
        <v>120000</v>
      </c>
      <c r="F90" s="7" t="s">
        <v>2880</v>
      </c>
    </row>
    <row r="91" customFormat="false" ht="15" hidden="false" customHeight="false" outlineLevel="0" collapsed="false">
      <c r="A91" s="7" t="n">
        <v>88</v>
      </c>
      <c r="B91" s="7" t="s">
        <v>3214</v>
      </c>
      <c r="C91" s="7" t="s">
        <v>1444</v>
      </c>
      <c r="D91" s="7"/>
      <c r="E91" s="7" t="n">
        <v>1200</v>
      </c>
      <c r="F91" s="7" t="s">
        <v>2881</v>
      </c>
    </row>
    <row r="92" customFormat="false" ht="15" hidden="false" customHeight="false" outlineLevel="0" collapsed="false">
      <c r="A92" s="7" t="n">
        <v>89</v>
      </c>
      <c r="B92" s="7" t="s">
        <v>3214</v>
      </c>
      <c r="C92" s="7" t="s">
        <v>1445</v>
      </c>
      <c r="D92" s="7"/>
      <c r="E92" s="7" t="n">
        <v>650</v>
      </c>
      <c r="F92" s="7" t="s">
        <v>2882</v>
      </c>
    </row>
    <row r="93" customFormat="false" ht="15" hidden="false" customHeight="false" outlineLevel="0" collapsed="false">
      <c r="A93" s="7" t="n">
        <v>90</v>
      </c>
      <c r="B93" s="7" t="s">
        <v>3214</v>
      </c>
      <c r="C93" s="7" t="s">
        <v>1446</v>
      </c>
      <c r="D93" s="7"/>
      <c r="E93" s="7" t="n">
        <v>3500</v>
      </c>
      <c r="F93" s="7" t="s">
        <v>2883</v>
      </c>
    </row>
    <row r="94" customFormat="false" ht="15" hidden="false" customHeight="false" outlineLevel="0" collapsed="false">
      <c r="A94" s="7" t="n">
        <v>91</v>
      </c>
      <c r="B94" s="7" t="s">
        <v>3214</v>
      </c>
      <c r="C94" s="7" t="s">
        <v>1447</v>
      </c>
      <c r="D94" s="7"/>
      <c r="E94" s="7" t="n">
        <v>2500</v>
      </c>
      <c r="F94" s="7" t="s">
        <v>2884</v>
      </c>
    </row>
    <row r="95" customFormat="false" ht="15" hidden="false" customHeight="false" outlineLevel="0" collapsed="false">
      <c r="A95" s="7" t="n">
        <v>92</v>
      </c>
      <c r="B95" s="7" t="s">
        <v>3214</v>
      </c>
      <c r="C95" s="7" t="s">
        <v>1448</v>
      </c>
      <c r="D95" s="7"/>
      <c r="E95" s="7" t="n">
        <v>25000</v>
      </c>
      <c r="F95" s="7" t="s">
        <v>2885</v>
      </c>
    </row>
    <row r="96" customFormat="false" ht="15" hidden="false" customHeight="false" outlineLevel="0" collapsed="false">
      <c r="A96" s="7" t="n">
        <v>93</v>
      </c>
      <c r="B96" s="7" t="s">
        <v>3214</v>
      </c>
      <c r="C96" s="7" t="s">
        <v>1451</v>
      </c>
      <c r="D96" s="7"/>
      <c r="E96" s="7" t="n">
        <v>180</v>
      </c>
      <c r="F96" s="7" t="s">
        <v>2886</v>
      </c>
    </row>
    <row r="97" customFormat="false" ht="15" hidden="false" customHeight="false" outlineLevel="0" collapsed="false">
      <c r="A97" s="7" t="n">
        <v>94</v>
      </c>
      <c r="B97" s="7" t="s">
        <v>3214</v>
      </c>
      <c r="C97" s="7" t="s">
        <v>1454</v>
      </c>
      <c r="D97" s="7"/>
      <c r="E97" s="7" t="n">
        <v>85000</v>
      </c>
      <c r="F97" s="7" t="s">
        <v>2887</v>
      </c>
    </row>
    <row r="98" customFormat="false" ht="15" hidden="false" customHeight="false" outlineLevel="0" collapsed="false">
      <c r="A98" s="7" t="n">
        <v>95</v>
      </c>
      <c r="B98" s="7" t="s">
        <v>3214</v>
      </c>
      <c r="C98" s="7" t="s">
        <v>1455</v>
      </c>
      <c r="D98" s="7"/>
      <c r="E98" s="7" t="n">
        <v>22000000</v>
      </c>
      <c r="F98" s="7" t="s">
        <v>2888</v>
      </c>
    </row>
    <row r="99" customFormat="false" ht="15" hidden="false" customHeight="false" outlineLevel="0" collapsed="false">
      <c r="A99" s="7" t="n">
        <v>96</v>
      </c>
      <c r="B99" s="7" t="s">
        <v>3214</v>
      </c>
      <c r="C99" s="7" t="s">
        <v>1456</v>
      </c>
      <c r="D99" s="7"/>
      <c r="E99" s="7" t="n">
        <v>80</v>
      </c>
      <c r="F99" s="7" t="s">
        <v>2889</v>
      </c>
    </row>
    <row r="100" customFormat="false" ht="15" hidden="false" customHeight="false" outlineLevel="0" collapsed="false">
      <c r="A100" s="7" t="n">
        <v>97</v>
      </c>
      <c r="B100" s="7" t="s">
        <v>3214</v>
      </c>
      <c r="C100" s="7" t="s">
        <v>1458</v>
      </c>
      <c r="D100" s="7"/>
      <c r="E100" s="7" t="n">
        <v>300000</v>
      </c>
      <c r="F100" s="7" t="s">
        <v>2890</v>
      </c>
    </row>
    <row r="101" customFormat="false" ht="15" hidden="false" customHeight="false" outlineLevel="0" collapsed="false">
      <c r="A101" s="7" t="n">
        <v>98</v>
      </c>
      <c r="B101" s="7" t="s">
        <v>3214</v>
      </c>
      <c r="C101" s="7" t="s">
        <v>1460</v>
      </c>
      <c r="D101" s="7"/>
      <c r="E101" s="7" t="n">
        <v>2000000</v>
      </c>
      <c r="F101" s="7" t="s">
        <v>2891</v>
      </c>
    </row>
    <row r="102" customFormat="false" ht="15" hidden="false" customHeight="false" outlineLevel="0" collapsed="false">
      <c r="A102" s="7" t="n">
        <v>99</v>
      </c>
      <c r="B102" s="7" t="s">
        <v>3214</v>
      </c>
      <c r="C102" s="7" t="s">
        <v>2101</v>
      </c>
      <c r="D102" s="7"/>
      <c r="E102" s="7" t="n">
        <v>45</v>
      </c>
      <c r="F102" s="7" t="s">
        <v>2858</v>
      </c>
    </row>
    <row r="103" customFormat="false" ht="15" hidden="false" customHeight="false" outlineLevel="0" collapsed="false">
      <c r="A103" s="7" t="n">
        <v>100</v>
      </c>
      <c r="B103" s="7" t="s">
        <v>3214</v>
      </c>
      <c r="C103" s="7" t="s">
        <v>1074</v>
      </c>
      <c r="D103" s="7"/>
      <c r="E103" s="7" t="n">
        <v>3.75</v>
      </c>
      <c r="F103" s="7" t="s">
        <v>2859</v>
      </c>
    </row>
    <row r="104" customFormat="false" ht="15" hidden="false" customHeight="false" outlineLevel="0" collapsed="false">
      <c r="A104" s="7" t="n">
        <v>101</v>
      </c>
      <c r="B104" s="7" t="s">
        <v>3214</v>
      </c>
      <c r="C104" s="7" t="s">
        <v>821</v>
      </c>
      <c r="D104" s="7"/>
      <c r="E104" s="7" t="n">
        <v>3500</v>
      </c>
      <c r="F104" s="7" t="s">
        <v>2860</v>
      </c>
    </row>
    <row r="105" customFormat="false" ht="28.35" hidden="false" customHeight="false" outlineLevel="0" collapsed="false">
      <c r="A105" s="7" t="n">
        <v>102</v>
      </c>
      <c r="B105" s="7" t="s">
        <v>3214</v>
      </c>
      <c r="C105" s="7" t="s">
        <v>910</v>
      </c>
      <c r="D105" s="7"/>
      <c r="E105" s="7" t="n">
        <v>10</v>
      </c>
      <c r="F105" s="7" t="s">
        <v>2861</v>
      </c>
    </row>
    <row r="106" customFormat="false" ht="15" hidden="false" customHeight="false" outlineLevel="0" collapsed="false">
      <c r="A106" s="7" t="n">
        <v>103</v>
      </c>
      <c r="B106" s="7" t="s">
        <v>3214</v>
      </c>
      <c r="C106" s="7" t="s">
        <v>951</v>
      </c>
      <c r="D106" s="7"/>
      <c r="E106" s="7" t="n">
        <v>800</v>
      </c>
      <c r="F106" s="7" t="s">
        <v>2862</v>
      </c>
    </row>
    <row r="107" customFormat="false" ht="15" hidden="false" customHeight="false" outlineLevel="0" collapsed="false">
      <c r="A107" s="7" t="n">
        <v>104</v>
      </c>
      <c r="B107" s="7" t="s">
        <v>3215</v>
      </c>
      <c r="C107" s="7" t="s">
        <v>480</v>
      </c>
      <c r="D107" s="7" t="s">
        <v>1850</v>
      </c>
      <c r="E107" s="7" t="s">
        <v>1217</v>
      </c>
      <c r="F107" s="7" t="s">
        <v>3216</v>
      </c>
    </row>
    <row r="108" customFormat="false" ht="15" hidden="false" customHeight="false" outlineLevel="0" collapsed="false">
      <c r="A108" s="7" t="n">
        <v>105</v>
      </c>
      <c r="B108" s="7" t="s">
        <v>3215</v>
      </c>
      <c r="C108" s="7" t="s">
        <v>486</v>
      </c>
      <c r="D108" s="7" t="s">
        <v>1850</v>
      </c>
      <c r="E108" s="7" t="s">
        <v>1226</v>
      </c>
      <c r="F108" s="7" t="s">
        <v>3216</v>
      </c>
    </row>
    <row r="109" customFormat="false" ht="15" hidden="false" customHeight="false" outlineLevel="0" collapsed="false">
      <c r="A109" s="7" t="n">
        <v>106</v>
      </c>
      <c r="B109" s="7" t="s">
        <v>3215</v>
      </c>
      <c r="C109" s="7" t="s">
        <v>489</v>
      </c>
      <c r="D109" s="7" t="s">
        <v>1850</v>
      </c>
      <c r="E109" s="7" t="s">
        <v>1231</v>
      </c>
      <c r="F109" s="7" t="s">
        <v>3216</v>
      </c>
    </row>
    <row r="110" customFormat="false" ht="15" hidden="false" customHeight="false" outlineLevel="0" collapsed="false">
      <c r="A110" s="7" t="n">
        <v>107</v>
      </c>
      <c r="B110" s="7" t="s">
        <v>3217</v>
      </c>
      <c r="C110" s="7" t="s">
        <v>2572</v>
      </c>
      <c r="D110" s="7" t="n">
        <v>150</v>
      </c>
      <c r="E110" s="7" t="n">
        <v>80</v>
      </c>
      <c r="F110" s="7" t="s">
        <v>3218</v>
      </c>
    </row>
    <row r="111" customFormat="false" ht="15" hidden="false" customHeight="false" outlineLevel="0" collapsed="false">
      <c r="A111" s="7" t="n">
        <v>108</v>
      </c>
      <c r="B111" s="7" t="s">
        <v>3217</v>
      </c>
      <c r="C111" s="7" t="s">
        <v>2577</v>
      </c>
      <c r="D111" s="7" t="n">
        <v>250</v>
      </c>
      <c r="E111" s="7" t="n">
        <v>360</v>
      </c>
      <c r="F111" s="7" t="s">
        <v>3219</v>
      </c>
    </row>
    <row r="112" customFormat="false" ht="15" hidden="false" customHeight="false" outlineLevel="0" collapsed="false">
      <c r="A112" s="7" t="n">
        <v>109</v>
      </c>
      <c r="B112" s="7" t="s">
        <v>3217</v>
      </c>
      <c r="C112" s="7" t="s">
        <v>2581</v>
      </c>
      <c r="D112" s="7" t="n">
        <v>80</v>
      </c>
      <c r="E112" s="7" t="n">
        <v>50</v>
      </c>
      <c r="F112" s="7" t="s">
        <v>3220</v>
      </c>
    </row>
    <row r="113" customFormat="false" ht="28.35" hidden="false" customHeight="false" outlineLevel="0" collapsed="false">
      <c r="A113" s="7" t="n">
        <v>110</v>
      </c>
      <c r="B113" s="7" t="s">
        <v>3217</v>
      </c>
      <c r="C113" s="7" t="s">
        <v>2614</v>
      </c>
      <c r="D113" s="7" t="n">
        <v>250</v>
      </c>
      <c r="E113" s="7" t="n">
        <v>95</v>
      </c>
      <c r="F113" s="7" t="s">
        <v>3221</v>
      </c>
    </row>
    <row r="114" customFormat="false" ht="15" hidden="false" customHeight="false" outlineLevel="0" collapsed="false">
      <c r="A114" s="7" t="n">
        <v>111</v>
      </c>
      <c r="B114" s="7" t="s">
        <v>3217</v>
      </c>
      <c r="C114" s="7" t="s">
        <v>2618</v>
      </c>
      <c r="D114" s="7" t="n">
        <v>400</v>
      </c>
      <c r="E114" s="7" t="n">
        <v>180</v>
      </c>
      <c r="F114" s="7" t="s">
        <v>3222</v>
      </c>
    </row>
    <row r="115" customFormat="false" ht="15" hidden="false" customHeight="false" outlineLevel="0" collapsed="false">
      <c r="A115" s="7" t="n">
        <v>112</v>
      </c>
      <c r="B115" s="7" t="s">
        <v>3217</v>
      </c>
      <c r="C115" s="7" t="s">
        <v>2625</v>
      </c>
      <c r="D115" s="7" t="n">
        <v>200</v>
      </c>
      <c r="E115" s="7" t="n">
        <v>125</v>
      </c>
      <c r="F115" s="7" t="s">
        <v>3223</v>
      </c>
    </row>
    <row r="116" customFormat="false" ht="15" hidden="false" customHeight="false" outlineLevel="0" collapsed="false">
      <c r="A116" s="7" t="n">
        <v>113</v>
      </c>
      <c r="B116" s="7" t="s">
        <v>3217</v>
      </c>
      <c r="C116" s="7" t="s">
        <v>2649</v>
      </c>
      <c r="D116" s="7" t="n">
        <v>200</v>
      </c>
      <c r="E116" s="7" t="n">
        <v>70</v>
      </c>
      <c r="F116" s="7" t="s">
        <v>3224</v>
      </c>
    </row>
    <row r="117" customFormat="false" ht="15" hidden="false" customHeight="false" outlineLevel="0" collapsed="false">
      <c r="A117" s="7" t="n">
        <v>114</v>
      </c>
      <c r="B117" s="7" t="s">
        <v>3217</v>
      </c>
      <c r="C117" s="7" t="s">
        <v>2653</v>
      </c>
      <c r="D117" s="7" t="n">
        <v>100</v>
      </c>
      <c r="E117" s="7" t="n">
        <v>155</v>
      </c>
      <c r="F117" s="7" t="s">
        <v>3225</v>
      </c>
    </row>
    <row r="118" customFormat="false" ht="15" hidden="false" customHeight="false" outlineLevel="0" collapsed="false">
      <c r="A118" s="7" t="n">
        <v>115</v>
      </c>
      <c r="B118" s="7" t="s">
        <v>3217</v>
      </c>
      <c r="C118" s="7" t="s">
        <v>2657</v>
      </c>
      <c r="D118" s="7" t="n">
        <v>80</v>
      </c>
      <c r="E118" s="7" t="n">
        <v>55</v>
      </c>
      <c r="F118" s="7" t="s">
        <v>3226</v>
      </c>
    </row>
    <row r="119" customFormat="false" ht="15" hidden="false" customHeight="false" outlineLevel="0" collapsed="false">
      <c r="A119" s="7" t="n">
        <v>116</v>
      </c>
      <c r="B119" s="7" t="s">
        <v>3217</v>
      </c>
      <c r="C119" s="7" t="s">
        <v>2662</v>
      </c>
      <c r="D119" s="7" t="n">
        <v>100</v>
      </c>
      <c r="E119" s="7" t="n">
        <v>80</v>
      </c>
      <c r="F119" s="7" t="s">
        <v>3227</v>
      </c>
    </row>
    <row r="120" customFormat="false" ht="15" hidden="false" customHeight="false" outlineLevel="0" collapsed="false">
      <c r="A120" s="7" t="n">
        <v>117</v>
      </c>
      <c r="B120" s="7" t="s">
        <v>3217</v>
      </c>
      <c r="C120" s="7" t="s">
        <v>2666</v>
      </c>
      <c r="D120" s="7" t="n">
        <v>100</v>
      </c>
      <c r="E120" s="7" t="n">
        <v>90</v>
      </c>
      <c r="F120" s="7" t="s">
        <v>3228</v>
      </c>
    </row>
    <row r="121" customFormat="false" ht="15" hidden="false" customHeight="false" outlineLevel="0" collapsed="false">
      <c r="A121" s="7" t="n">
        <v>118</v>
      </c>
      <c r="B121" s="7" t="s">
        <v>3217</v>
      </c>
      <c r="C121" s="7" t="s">
        <v>2670</v>
      </c>
      <c r="D121" s="7" t="n">
        <v>250</v>
      </c>
      <c r="E121" s="7" t="n">
        <v>115</v>
      </c>
      <c r="F121" s="7" t="s">
        <v>3229</v>
      </c>
    </row>
    <row r="122" customFormat="false" ht="15" hidden="false" customHeight="false" outlineLevel="0" collapsed="false">
      <c r="A122" s="7" t="n">
        <v>119</v>
      </c>
      <c r="B122" s="7" t="s">
        <v>3217</v>
      </c>
      <c r="C122" s="7" t="s">
        <v>2674</v>
      </c>
      <c r="D122" s="7" t="n">
        <v>250</v>
      </c>
      <c r="E122" s="7" t="n">
        <v>80</v>
      </c>
      <c r="F122" s="7" t="s">
        <v>3230</v>
      </c>
    </row>
    <row r="123" customFormat="false" ht="15" hidden="false" customHeight="false" outlineLevel="0" collapsed="false">
      <c r="A123" s="7" t="n">
        <v>120</v>
      </c>
      <c r="B123" s="7" t="s">
        <v>3217</v>
      </c>
      <c r="C123" s="7" t="s">
        <v>2678</v>
      </c>
      <c r="D123" s="7" t="n">
        <v>250</v>
      </c>
      <c r="E123" s="7" t="n">
        <v>65</v>
      </c>
      <c r="F123" s="7" t="s">
        <v>3231</v>
      </c>
    </row>
    <row r="124" customFormat="false" ht="15" hidden="false" customHeight="false" outlineLevel="0" collapsed="false">
      <c r="A124" s="7" t="n">
        <v>121</v>
      </c>
      <c r="B124" s="7" t="s">
        <v>3217</v>
      </c>
      <c r="C124" s="7" t="s">
        <v>2682</v>
      </c>
      <c r="D124" s="7" t="n">
        <v>200</v>
      </c>
      <c r="E124" s="7" t="n">
        <v>375</v>
      </c>
      <c r="F124" s="7" t="s">
        <v>3232</v>
      </c>
    </row>
    <row r="125" customFormat="false" ht="15" hidden="false" customHeight="false" outlineLevel="0" collapsed="false">
      <c r="A125" s="7" t="n">
        <v>122</v>
      </c>
      <c r="B125" s="7" t="s">
        <v>3217</v>
      </c>
      <c r="C125" s="7" t="s">
        <v>2686</v>
      </c>
      <c r="D125" s="7" t="n">
        <v>200</v>
      </c>
      <c r="E125" s="7" t="n">
        <v>450</v>
      </c>
      <c r="F125" s="7" t="s">
        <v>3233</v>
      </c>
    </row>
    <row r="126" customFormat="false" ht="15" hidden="false" customHeight="false" outlineLevel="0" collapsed="false">
      <c r="A126" s="7" t="n">
        <v>123</v>
      </c>
      <c r="B126" s="7" t="s">
        <v>3217</v>
      </c>
      <c r="C126" s="7" t="s">
        <v>2690</v>
      </c>
      <c r="D126" s="7" t="n">
        <v>80</v>
      </c>
      <c r="E126" s="7" t="n">
        <v>45</v>
      </c>
      <c r="F126" s="7" t="s">
        <v>3234</v>
      </c>
    </row>
    <row r="127" customFormat="false" ht="15" hidden="false" customHeight="false" outlineLevel="0" collapsed="false">
      <c r="A127" s="7" t="n">
        <v>124</v>
      </c>
      <c r="B127" s="7" t="s">
        <v>3217</v>
      </c>
      <c r="C127" s="7" t="s">
        <v>2694</v>
      </c>
      <c r="D127" s="7" t="n">
        <v>50</v>
      </c>
      <c r="E127" s="7" t="n">
        <v>35</v>
      </c>
      <c r="F127" s="7" t="s">
        <v>3235</v>
      </c>
    </row>
    <row r="128" customFormat="false" ht="15" hidden="false" customHeight="false" outlineLevel="0" collapsed="false">
      <c r="A128" s="7" t="n">
        <v>125</v>
      </c>
      <c r="B128" s="7" t="s">
        <v>3217</v>
      </c>
      <c r="C128" s="7" t="s">
        <v>2698</v>
      </c>
      <c r="D128" s="7" t="n">
        <v>50</v>
      </c>
      <c r="E128" s="7" t="n">
        <v>25</v>
      </c>
      <c r="F128" s="7" t="s">
        <v>3236</v>
      </c>
    </row>
    <row r="129" customFormat="false" ht="15" hidden="false" customHeight="false" outlineLevel="0" collapsed="false">
      <c r="A129" s="7" t="n">
        <v>126</v>
      </c>
      <c r="B129" s="7" t="s">
        <v>3217</v>
      </c>
      <c r="C129" s="7" t="s">
        <v>2702</v>
      </c>
      <c r="D129" s="7" t="n">
        <v>50</v>
      </c>
      <c r="E129" s="7" t="n">
        <v>20</v>
      </c>
      <c r="F129" s="7" t="s">
        <v>3236</v>
      </c>
    </row>
    <row r="130" customFormat="false" ht="15" hidden="false" customHeight="false" outlineLevel="0" collapsed="false">
      <c r="A130" s="7" t="n">
        <v>127</v>
      </c>
      <c r="B130" s="7" t="s">
        <v>3217</v>
      </c>
      <c r="C130" s="7" t="s">
        <v>2705</v>
      </c>
      <c r="D130" s="7" t="n">
        <v>50</v>
      </c>
      <c r="E130" s="7" t="n">
        <v>17</v>
      </c>
      <c r="F130" s="7" t="s">
        <v>3236</v>
      </c>
    </row>
    <row r="131" customFormat="false" ht="15" hidden="false" customHeight="false" outlineLevel="0" collapsed="false">
      <c r="A131" s="7" t="n">
        <v>128</v>
      </c>
      <c r="B131" s="7" t="s">
        <v>3217</v>
      </c>
      <c r="C131" s="7" t="s">
        <v>2708</v>
      </c>
      <c r="D131" s="7" t="n">
        <v>60</v>
      </c>
      <c r="E131" s="7" t="n">
        <v>35</v>
      </c>
      <c r="F131" s="7" t="s">
        <v>3237</v>
      </c>
    </row>
    <row r="132" customFormat="false" ht="15" hidden="false" customHeight="false" outlineLevel="0" collapsed="false">
      <c r="A132" s="7" t="n">
        <v>129</v>
      </c>
      <c r="B132" s="7" t="s">
        <v>3217</v>
      </c>
      <c r="C132" s="7" t="s">
        <v>2711</v>
      </c>
      <c r="D132" s="7" t="n">
        <v>60</v>
      </c>
      <c r="E132" s="7" t="n">
        <v>16</v>
      </c>
      <c r="F132" s="7" t="s">
        <v>3236</v>
      </c>
    </row>
    <row r="133" customFormat="false" ht="15" hidden="false" customHeight="false" outlineLevel="0" collapsed="false">
      <c r="A133" s="7" t="n">
        <v>130</v>
      </c>
      <c r="B133" s="7" t="s">
        <v>3217</v>
      </c>
      <c r="C133" s="7" t="s">
        <v>2713</v>
      </c>
      <c r="D133" s="7" t="n">
        <v>60</v>
      </c>
      <c r="E133" s="7" t="n">
        <v>15</v>
      </c>
      <c r="F133" s="7" t="s">
        <v>3236</v>
      </c>
    </row>
    <row r="134" customFormat="false" ht="15" hidden="false" customHeight="false" outlineLevel="0" collapsed="false">
      <c r="A134" s="7" t="n">
        <v>131</v>
      </c>
      <c r="B134" s="7" t="s">
        <v>3217</v>
      </c>
      <c r="C134" s="7" t="s">
        <v>2715</v>
      </c>
      <c r="D134" s="7" t="n">
        <v>40</v>
      </c>
      <c r="E134" s="7" t="n">
        <v>23</v>
      </c>
      <c r="F134" s="7" t="s">
        <v>3238</v>
      </c>
    </row>
    <row r="135" customFormat="false" ht="15" hidden="false" customHeight="false" outlineLevel="0" collapsed="false">
      <c r="A135" s="7" t="n">
        <v>132</v>
      </c>
      <c r="B135" s="7" t="s">
        <v>3217</v>
      </c>
      <c r="C135" s="7" t="s">
        <v>2719</v>
      </c>
      <c r="D135" s="7" t="n">
        <v>40</v>
      </c>
      <c r="E135" s="7" t="n">
        <v>14</v>
      </c>
      <c r="F135" s="7" t="s">
        <v>3236</v>
      </c>
    </row>
    <row r="136" customFormat="false" ht="15" hidden="false" customHeight="false" outlineLevel="0" collapsed="false">
      <c r="A136" s="7" t="n">
        <v>133</v>
      </c>
      <c r="B136" s="7" t="s">
        <v>3217</v>
      </c>
      <c r="C136" s="7" t="s">
        <v>2722</v>
      </c>
      <c r="D136" s="7" t="n">
        <v>40</v>
      </c>
      <c r="E136" s="7" t="n">
        <v>7.5</v>
      </c>
      <c r="F136" s="7" t="s">
        <v>3236</v>
      </c>
    </row>
    <row r="137" customFormat="false" ht="15" hidden="false" customHeight="false" outlineLevel="0" collapsed="false">
      <c r="A137" s="7" t="n">
        <v>134</v>
      </c>
      <c r="B137" s="7" t="s">
        <v>3217</v>
      </c>
      <c r="C137" s="7" t="s">
        <v>2725</v>
      </c>
      <c r="D137" s="7" t="n">
        <v>10</v>
      </c>
      <c r="E137" s="7" t="n">
        <v>5.8</v>
      </c>
      <c r="F137" s="7" t="s">
        <v>3239</v>
      </c>
    </row>
    <row r="138" customFormat="false" ht="15" hidden="false" customHeight="false" outlineLevel="0" collapsed="false">
      <c r="A138" s="7" t="n">
        <v>135</v>
      </c>
      <c r="B138" s="7" t="s">
        <v>3217</v>
      </c>
      <c r="C138" s="7" t="s">
        <v>2729</v>
      </c>
      <c r="D138" s="7" t="n">
        <v>2</v>
      </c>
      <c r="E138" s="7" t="n">
        <v>0.83</v>
      </c>
      <c r="F138" s="7" t="s">
        <v>3240</v>
      </c>
    </row>
    <row r="139" customFormat="false" ht="15" hidden="false" customHeight="false" outlineLevel="0" collapsed="false">
      <c r="A139" s="7" t="n">
        <v>136</v>
      </c>
      <c r="B139" s="7" t="s">
        <v>3217</v>
      </c>
      <c r="C139" s="7" t="s">
        <v>2733</v>
      </c>
      <c r="D139" s="7" t="n">
        <v>2</v>
      </c>
      <c r="E139" s="7" t="n">
        <v>0.9</v>
      </c>
      <c r="F139" s="7" t="s">
        <v>3236</v>
      </c>
    </row>
    <row r="140" customFormat="false" ht="15" hidden="false" customHeight="false" outlineLevel="0" collapsed="false">
      <c r="A140" s="7" t="n">
        <v>137</v>
      </c>
      <c r="B140" s="7" t="s">
        <v>3217</v>
      </c>
      <c r="C140" s="7" t="s">
        <v>2736</v>
      </c>
      <c r="D140" s="7" t="n">
        <v>150</v>
      </c>
      <c r="E140" s="7" t="n">
        <v>74</v>
      </c>
      <c r="F140" s="7" t="s">
        <v>3241</v>
      </c>
    </row>
    <row r="141" customFormat="false" ht="15" hidden="false" customHeight="false" outlineLevel="0" collapsed="false">
      <c r="A141" s="7" t="n">
        <v>138</v>
      </c>
      <c r="B141" s="7" t="s">
        <v>3215</v>
      </c>
      <c r="C141" s="7" t="s">
        <v>645</v>
      </c>
      <c r="D141" s="7"/>
      <c r="E141" s="7" t="s">
        <v>2653</v>
      </c>
      <c r="F141" s="7" t="s">
        <v>3242</v>
      </c>
    </row>
    <row r="142" customFormat="false" ht="15" hidden="false" customHeight="false" outlineLevel="0" collapsed="false">
      <c r="A142" s="7" t="n">
        <v>139</v>
      </c>
      <c r="B142" s="7" t="s">
        <v>3215</v>
      </c>
      <c r="C142" s="7" t="s">
        <v>651</v>
      </c>
      <c r="D142" s="7"/>
      <c r="E142" s="7" t="s">
        <v>2653</v>
      </c>
      <c r="F142" s="7" t="s">
        <v>3242</v>
      </c>
    </row>
    <row r="143" customFormat="false" ht="15" hidden="false" customHeight="false" outlineLevel="0" collapsed="false">
      <c r="A143" s="7" t="n">
        <v>140</v>
      </c>
      <c r="B143" s="7" t="s">
        <v>3215</v>
      </c>
      <c r="C143" s="7" t="s">
        <v>654</v>
      </c>
      <c r="D143" s="7"/>
      <c r="E143" s="7" t="s">
        <v>2653</v>
      </c>
      <c r="F143" s="7" t="s">
        <v>3242</v>
      </c>
    </row>
    <row r="144" customFormat="false" ht="15" hidden="false" customHeight="false" outlineLevel="0" collapsed="false">
      <c r="A144" s="7" t="n">
        <v>141</v>
      </c>
      <c r="B144" s="7" t="s">
        <v>3215</v>
      </c>
      <c r="C144" s="7" t="s">
        <v>657</v>
      </c>
      <c r="D144" s="7"/>
      <c r="E144" s="7" t="s">
        <v>2653</v>
      </c>
      <c r="F144" s="7" t="s">
        <v>3242</v>
      </c>
    </row>
    <row r="145" customFormat="false" ht="15" hidden="false" customHeight="false" outlineLevel="0" collapsed="false">
      <c r="A145" s="7" t="n">
        <v>142</v>
      </c>
      <c r="B145" s="7" t="s">
        <v>3215</v>
      </c>
      <c r="C145" s="7" t="s">
        <v>214</v>
      </c>
      <c r="D145" s="7"/>
      <c r="E145" s="7" t="s">
        <v>2662</v>
      </c>
      <c r="F145" s="7" t="s">
        <v>3242</v>
      </c>
    </row>
    <row r="146" customFormat="false" ht="15" hidden="false" customHeight="false" outlineLevel="0" collapsed="false">
      <c r="A146" s="7" t="n">
        <v>143</v>
      </c>
      <c r="B146" s="7" t="s">
        <v>3215</v>
      </c>
      <c r="C146" s="7" t="s">
        <v>613</v>
      </c>
      <c r="D146" s="7"/>
      <c r="E146" s="7" t="s">
        <v>2662</v>
      </c>
      <c r="F146" s="7" t="s">
        <v>3242</v>
      </c>
    </row>
    <row r="147" customFormat="false" ht="15" hidden="false" customHeight="false" outlineLevel="0" collapsed="false">
      <c r="A147" s="7" t="n">
        <v>144</v>
      </c>
      <c r="B147" s="7" t="s">
        <v>3215</v>
      </c>
      <c r="C147" s="7" t="s">
        <v>617</v>
      </c>
      <c r="D147" s="7"/>
      <c r="E147" s="7" t="s">
        <v>2666</v>
      </c>
      <c r="F147" s="7" t="s">
        <v>3242</v>
      </c>
    </row>
    <row r="148" customFormat="false" ht="15" hidden="false" customHeight="false" outlineLevel="0" collapsed="false">
      <c r="A148" s="7" t="n">
        <v>145</v>
      </c>
      <c r="B148" s="7" t="s">
        <v>3215</v>
      </c>
      <c r="C148" s="7" t="s">
        <v>256</v>
      </c>
      <c r="D148" s="7"/>
      <c r="E148" s="7" t="s">
        <v>2674</v>
      </c>
      <c r="F148" s="7" t="s">
        <v>3242</v>
      </c>
    </row>
    <row r="149" customFormat="false" ht="15" hidden="false" customHeight="false" outlineLevel="0" collapsed="false">
      <c r="A149" s="7" t="n">
        <v>146</v>
      </c>
      <c r="B149" s="7" t="s">
        <v>3215</v>
      </c>
      <c r="C149" s="7" t="s">
        <v>260</v>
      </c>
      <c r="D149" s="7"/>
      <c r="E149" s="7" t="s">
        <v>2678</v>
      </c>
      <c r="F149" s="7" t="s">
        <v>3242</v>
      </c>
    </row>
    <row r="150" customFormat="false" ht="15" hidden="false" customHeight="false" outlineLevel="0" collapsed="false">
      <c r="A150" s="7" t="n">
        <v>147</v>
      </c>
      <c r="B150" s="7" t="s">
        <v>3215</v>
      </c>
      <c r="C150" s="7" t="s">
        <v>621</v>
      </c>
      <c r="D150" s="7"/>
      <c r="E150" s="7" t="s">
        <v>2670</v>
      </c>
      <c r="F150" s="7" t="s">
        <v>3242</v>
      </c>
    </row>
    <row r="151" customFormat="false" ht="15" hidden="false" customHeight="false" outlineLevel="0" collapsed="false">
      <c r="A151" s="7" t="n">
        <v>148</v>
      </c>
      <c r="B151" s="7" t="s">
        <v>3215</v>
      </c>
      <c r="C151" s="7" t="s">
        <v>625</v>
      </c>
      <c r="D151" s="7"/>
      <c r="E151" s="7" t="s">
        <v>2657</v>
      </c>
      <c r="F151" s="7" t="s">
        <v>3242</v>
      </c>
    </row>
    <row r="152" customFormat="false" ht="15" hidden="false" customHeight="false" outlineLevel="0" collapsed="false">
      <c r="A152" s="7" t="n">
        <v>149</v>
      </c>
      <c r="B152" s="7" t="s">
        <v>3215</v>
      </c>
      <c r="C152" s="7" t="s">
        <v>347</v>
      </c>
      <c r="D152" s="7"/>
      <c r="E152" s="7" t="s">
        <v>2682</v>
      </c>
      <c r="F152" s="7" t="s">
        <v>3242</v>
      </c>
    </row>
    <row r="153" customFormat="false" ht="15" hidden="false" customHeight="false" outlineLevel="0" collapsed="false">
      <c r="A153" s="7" t="n">
        <v>150</v>
      </c>
      <c r="B153" s="7" t="s">
        <v>3215</v>
      </c>
      <c r="C153" s="7" t="s">
        <v>351</v>
      </c>
      <c r="D153" s="7"/>
      <c r="E153" s="7" t="s">
        <v>2686</v>
      </c>
      <c r="F153" s="7" t="s">
        <v>3242</v>
      </c>
    </row>
    <row r="154" customFormat="false" ht="15" hidden="false" customHeight="false" outlineLevel="0" collapsed="false">
      <c r="A154" s="7" t="n">
        <v>151</v>
      </c>
      <c r="B154" s="7" t="s">
        <v>3215</v>
      </c>
      <c r="C154" s="7" t="s">
        <v>432</v>
      </c>
      <c r="D154" s="7"/>
      <c r="E154" s="7" t="s">
        <v>2690</v>
      </c>
      <c r="F154" s="7" t="s">
        <v>3242</v>
      </c>
    </row>
    <row r="155" customFormat="false" ht="15" hidden="false" customHeight="false" outlineLevel="0" collapsed="false">
      <c r="A155" s="7" t="n">
        <v>152</v>
      </c>
      <c r="B155" s="7" t="s">
        <v>3215</v>
      </c>
      <c r="C155" s="7" t="s">
        <v>438</v>
      </c>
      <c r="D155" s="7"/>
      <c r="E155" s="7" t="s">
        <v>2690</v>
      </c>
      <c r="F155" s="7" t="s">
        <v>3242</v>
      </c>
    </row>
    <row r="156" customFormat="false" ht="15" hidden="false" customHeight="false" outlineLevel="0" collapsed="false">
      <c r="A156" s="7" t="n">
        <v>153</v>
      </c>
      <c r="B156" s="7" t="s">
        <v>3215</v>
      </c>
      <c r="C156" s="7" t="s">
        <v>441</v>
      </c>
      <c r="D156" s="7"/>
      <c r="E156" s="7" t="s">
        <v>2690</v>
      </c>
      <c r="F156" s="7" t="s">
        <v>3242</v>
      </c>
    </row>
    <row r="157" customFormat="false" ht="15" hidden="false" customHeight="false" outlineLevel="0" collapsed="false">
      <c r="A157" s="7" t="n">
        <v>154</v>
      </c>
      <c r="B157" s="7" t="s">
        <v>3215</v>
      </c>
      <c r="C157" s="7" t="s">
        <v>444</v>
      </c>
      <c r="D157" s="7"/>
      <c r="E157" s="7" t="s">
        <v>2694</v>
      </c>
      <c r="F157" s="7" t="s">
        <v>3242</v>
      </c>
    </row>
    <row r="158" customFormat="false" ht="15" hidden="false" customHeight="false" outlineLevel="0" collapsed="false">
      <c r="A158" s="7" t="n">
        <v>155</v>
      </c>
      <c r="B158" s="7" t="s">
        <v>3215</v>
      </c>
      <c r="C158" s="7" t="s">
        <v>447</v>
      </c>
      <c r="D158" s="7"/>
      <c r="E158" s="7" t="s">
        <v>2694</v>
      </c>
      <c r="F158" s="7" t="s">
        <v>3242</v>
      </c>
    </row>
    <row r="159" customFormat="false" ht="15" hidden="false" customHeight="false" outlineLevel="0" collapsed="false">
      <c r="A159" s="7" t="n">
        <v>156</v>
      </c>
      <c r="B159" s="7" t="s">
        <v>3215</v>
      </c>
      <c r="C159" s="7" t="s">
        <v>450</v>
      </c>
      <c r="D159" s="7"/>
      <c r="E159" s="7" t="s">
        <v>2694</v>
      </c>
      <c r="F159" s="7" t="s">
        <v>3242</v>
      </c>
    </row>
    <row r="160" customFormat="false" ht="15" hidden="false" customHeight="false" outlineLevel="0" collapsed="false">
      <c r="A160" s="7" t="n">
        <v>157</v>
      </c>
      <c r="B160" s="7" t="s">
        <v>3215</v>
      </c>
      <c r="C160" s="7" t="s">
        <v>453</v>
      </c>
      <c r="D160" s="7"/>
      <c r="E160" s="7" t="s">
        <v>2698</v>
      </c>
      <c r="F160" s="7" t="s">
        <v>3242</v>
      </c>
    </row>
    <row r="161" customFormat="false" ht="15" hidden="false" customHeight="false" outlineLevel="0" collapsed="false">
      <c r="A161" s="7" t="n">
        <v>158</v>
      </c>
      <c r="B161" s="7" t="s">
        <v>3215</v>
      </c>
      <c r="C161" s="7" t="s">
        <v>456</v>
      </c>
      <c r="D161" s="7"/>
      <c r="E161" s="7" t="s">
        <v>2702</v>
      </c>
      <c r="F161" s="7" t="s">
        <v>3242</v>
      </c>
    </row>
    <row r="162" customFormat="false" ht="15" hidden="false" customHeight="false" outlineLevel="0" collapsed="false">
      <c r="A162" s="7" t="n">
        <v>159</v>
      </c>
      <c r="B162" s="7" t="s">
        <v>3215</v>
      </c>
      <c r="C162" s="7" t="s">
        <v>459</v>
      </c>
      <c r="D162" s="7"/>
      <c r="E162" s="7" t="s">
        <v>2705</v>
      </c>
      <c r="F162" s="7" t="s">
        <v>3242</v>
      </c>
    </row>
    <row r="163" customFormat="false" ht="15" hidden="false" customHeight="false" outlineLevel="0" collapsed="false">
      <c r="A163" s="7" t="n">
        <v>160</v>
      </c>
      <c r="B163" s="7" t="s">
        <v>3215</v>
      </c>
      <c r="C163" s="7" t="s">
        <v>462</v>
      </c>
      <c r="D163" s="7"/>
      <c r="E163" s="7" t="s">
        <v>2708</v>
      </c>
      <c r="F163" s="7" t="s">
        <v>3242</v>
      </c>
    </row>
    <row r="164" customFormat="false" ht="15" hidden="false" customHeight="false" outlineLevel="0" collapsed="false">
      <c r="A164" s="7" t="n">
        <v>161</v>
      </c>
      <c r="B164" s="7" t="s">
        <v>3215</v>
      </c>
      <c r="C164" s="7" t="s">
        <v>466</v>
      </c>
      <c r="D164" s="7"/>
      <c r="E164" s="7" t="s">
        <v>2711</v>
      </c>
      <c r="F164" s="7" t="s">
        <v>3242</v>
      </c>
    </row>
    <row r="165" customFormat="false" ht="15" hidden="false" customHeight="false" outlineLevel="0" collapsed="false">
      <c r="A165" s="7" t="n">
        <v>162</v>
      </c>
      <c r="B165" s="7" t="s">
        <v>3215</v>
      </c>
      <c r="C165" s="7" t="s">
        <v>469</v>
      </c>
      <c r="D165" s="7"/>
      <c r="E165" s="7" t="s">
        <v>2713</v>
      </c>
      <c r="F165" s="7" t="s">
        <v>3242</v>
      </c>
    </row>
    <row r="166" customFormat="false" ht="15" hidden="false" customHeight="false" outlineLevel="0" collapsed="false">
      <c r="A166" s="7" t="n">
        <v>163</v>
      </c>
      <c r="B166" s="7" t="s">
        <v>3215</v>
      </c>
      <c r="C166" s="7" t="s">
        <v>480</v>
      </c>
      <c r="D166" s="7"/>
      <c r="E166" s="7" t="s">
        <v>2715</v>
      </c>
      <c r="F166" s="7" t="s">
        <v>3242</v>
      </c>
    </row>
    <row r="167" customFormat="false" ht="15" hidden="false" customHeight="false" outlineLevel="0" collapsed="false">
      <c r="A167" s="7" t="n">
        <v>164</v>
      </c>
      <c r="B167" s="7" t="s">
        <v>3215</v>
      </c>
      <c r="C167" s="7" t="s">
        <v>486</v>
      </c>
      <c r="D167" s="7"/>
      <c r="E167" s="7" t="s">
        <v>2719</v>
      </c>
      <c r="F167" s="7" t="s">
        <v>3242</v>
      </c>
    </row>
    <row r="168" customFormat="false" ht="15" hidden="false" customHeight="false" outlineLevel="0" collapsed="false">
      <c r="A168" s="7" t="n">
        <v>165</v>
      </c>
      <c r="B168" s="7" t="s">
        <v>3215</v>
      </c>
      <c r="C168" s="7" t="s">
        <v>489</v>
      </c>
      <c r="D168" s="7"/>
      <c r="E168" s="7" t="s">
        <v>2722</v>
      </c>
      <c r="F168" s="7" t="s">
        <v>3242</v>
      </c>
    </row>
    <row r="169" customFormat="false" ht="15" hidden="false" customHeight="false" outlineLevel="0" collapsed="false">
      <c r="A169" s="7" t="n">
        <v>166</v>
      </c>
      <c r="B169" s="7" t="s">
        <v>3215</v>
      </c>
      <c r="C169" s="7" t="s">
        <v>492</v>
      </c>
      <c r="D169" s="7"/>
      <c r="E169" s="7" t="s">
        <v>2725</v>
      </c>
      <c r="F169" s="7" t="s">
        <v>3242</v>
      </c>
    </row>
    <row r="170" customFormat="false" ht="15" hidden="false" customHeight="false" outlineLevel="0" collapsed="false">
      <c r="A170" s="7" t="n">
        <v>167</v>
      </c>
      <c r="B170" s="7" t="s">
        <v>3215</v>
      </c>
      <c r="C170" s="7" t="s">
        <v>472</v>
      </c>
      <c r="D170" s="7"/>
      <c r="E170" s="7" t="s">
        <v>2729</v>
      </c>
      <c r="F170" s="7" t="s">
        <v>3242</v>
      </c>
    </row>
    <row r="171" customFormat="false" ht="15" hidden="false" customHeight="false" outlineLevel="0" collapsed="false">
      <c r="A171" s="7" t="n">
        <v>168</v>
      </c>
      <c r="B171" s="7" t="s">
        <v>3215</v>
      </c>
      <c r="C171" s="7" t="s">
        <v>477</v>
      </c>
      <c r="D171" s="7"/>
      <c r="E171" s="7" t="s">
        <v>2733</v>
      </c>
      <c r="F171" s="7" t="s">
        <v>3242</v>
      </c>
    </row>
    <row r="172" customFormat="false" ht="15" hidden="false" customHeight="false" outlineLevel="0" collapsed="false">
      <c r="A172" s="7" t="n">
        <v>169</v>
      </c>
      <c r="B172" s="7" t="s">
        <v>3215</v>
      </c>
      <c r="C172" s="7" t="s">
        <v>556</v>
      </c>
      <c r="D172" s="7"/>
      <c r="E172" s="7" t="s">
        <v>2736</v>
      </c>
      <c r="F172" s="7" t="s">
        <v>3242</v>
      </c>
    </row>
    <row r="173" customFormat="false" ht="15" hidden="false" customHeight="false" outlineLevel="0" collapsed="false">
      <c r="A173" s="7" t="n">
        <v>170</v>
      </c>
      <c r="B173" s="7" t="s">
        <v>3215</v>
      </c>
      <c r="C173" s="7" t="s">
        <v>551</v>
      </c>
      <c r="D173" s="7"/>
      <c r="E173" s="7" t="s">
        <v>2739</v>
      </c>
      <c r="F173" s="7" t="s">
        <v>3242</v>
      </c>
    </row>
    <row r="174" customFormat="false" ht="15" hidden="false" customHeight="false" outlineLevel="0" collapsed="false">
      <c r="A174" s="7" t="n">
        <v>171</v>
      </c>
      <c r="B174" s="7" t="s">
        <v>3243</v>
      </c>
      <c r="C174" s="7" t="s">
        <v>660</v>
      </c>
      <c r="D174" s="7"/>
      <c r="E174" s="7" t="s">
        <v>109</v>
      </c>
      <c r="F174" s="7" t="s">
        <v>3244</v>
      </c>
    </row>
    <row r="175" customFormat="false" ht="15" hidden="false" customHeight="false" outlineLevel="0" collapsed="false">
      <c r="A175" s="7" t="n">
        <v>172</v>
      </c>
      <c r="B175" s="7" t="s">
        <v>3243</v>
      </c>
      <c r="C175" s="7" t="s">
        <v>666</v>
      </c>
      <c r="D175" s="7"/>
      <c r="E175" s="7" t="s">
        <v>109</v>
      </c>
      <c r="F175" s="7" t="s">
        <v>667</v>
      </c>
    </row>
    <row r="176" customFormat="false" ht="15" hidden="false" customHeight="false" outlineLevel="0" collapsed="false">
      <c r="A176" s="7" t="n">
        <v>173</v>
      </c>
      <c r="B176" s="7" t="s">
        <v>3243</v>
      </c>
      <c r="C176" s="7" t="s">
        <v>669</v>
      </c>
      <c r="D176" s="7"/>
      <c r="E176" s="7" t="s">
        <v>109</v>
      </c>
      <c r="F176" s="7" t="s">
        <v>670</v>
      </c>
    </row>
    <row r="177" customFormat="false" ht="15" hidden="false" customHeight="false" outlineLevel="0" collapsed="false">
      <c r="A177" s="7" t="n">
        <v>174</v>
      </c>
      <c r="B177" s="7" t="s">
        <v>3243</v>
      </c>
      <c r="C177" s="7" t="s">
        <v>672</v>
      </c>
      <c r="D177" s="7"/>
      <c r="E177" s="7" t="s">
        <v>109</v>
      </c>
      <c r="F177" s="7" t="s">
        <v>673</v>
      </c>
    </row>
    <row r="178" customFormat="false" ht="15" hidden="false" customHeight="false" outlineLevel="0" collapsed="false">
      <c r="A178" s="7" t="n">
        <v>175</v>
      </c>
      <c r="B178" s="7" t="s">
        <v>3243</v>
      </c>
      <c r="C178" s="7" t="s">
        <v>675</v>
      </c>
      <c r="D178" s="7"/>
      <c r="E178" s="7" t="s">
        <v>109</v>
      </c>
      <c r="F178" s="7" t="s">
        <v>676</v>
      </c>
    </row>
    <row r="179" customFormat="false" ht="15" hidden="false" customHeight="false" outlineLevel="0" collapsed="false">
      <c r="A179" s="7" t="n">
        <v>176</v>
      </c>
      <c r="B179" s="7" t="s">
        <v>3243</v>
      </c>
      <c r="C179" s="7" t="s">
        <v>678</v>
      </c>
      <c r="D179" s="7"/>
      <c r="E179" s="7" t="s">
        <v>109</v>
      </c>
      <c r="F179" s="7" t="s">
        <v>3245</v>
      </c>
    </row>
    <row r="180" customFormat="false" ht="15" hidden="false" customHeight="false" outlineLevel="0" collapsed="false">
      <c r="A180" s="7" t="n">
        <v>177</v>
      </c>
      <c r="B180" s="7" t="s">
        <v>3243</v>
      </c>
      <c r="C180" s="7" t="s">
        <v>681</v>
      </c>
      <c r="D180" s="7"/>
      <c r="E180" s="7" t="s">
        <v>212</v>
      </c>
      <c r="F180" s="7" t="s">
        <v>3246</v>
      </c>
    </row>
    <row r="181" customFormat="false" ht="15" hidden="false" customHeight="false" outlineLevel="0" collapsed="false">
      <c r="A181" s="7" t="n">
        <v>178</v>
      </c>
      <c r="B181" s="7" t="s">
        <v>3243</v>
      </c>
      <c r="C181" s="7" t="s">
        <v>684</v>
      </c>
      <c r="D181" s="7"/>
      <c r="E181" s="7" t="s">
        <v>212</v>
      </c>
      <c r="F181" s="7" t="s">
        <v>3247</v>
      </c>
    </row>
    <row r="182" customFormat="false" ht="15" hidden="false" customHeight="false" outlineLevel="0" collapsed="false">
      <c r="A182" s="7" t="n">
        <v>179</v>
      </c>
      <c r="B182" s="7" t="s">
        <v>3243</v>
      </c>
      <c r="C182" s="7" t="s">
        <v>687</v>
      </c>
      <c r="D182" s="7"/>
      <c r="E182" s="7" t="s">
        <v>386</v>
      </c>
      <c r="F182" s="7" t="s">
        <v>3248</v>
      </c>
    </row>
    <row r="183" customFormat="false" ht="15" hidden="false" customHeight="false" outlineLevel="0" collapsed="false">
      <c r="A183" s="7" t="n">
        <v>180</v>
      </c>
      <c r="B183" s="7" t="s">
        <v>3243</v>
      </c>
      <c r="C183" s="7" t="s">
        <v>693</v>
      </c>
      <c r="D183" s="7"/>
      <c r="E183" s="7" t="s">
        <v>368</v>
      </c>
      <c r="F183" s="7" t="s">
        <v>3249</v>
      </c>
    </row>
    <row r="184" customFormat="false" ht="15" hidden="false" customHeight="false" outlineLevel="0" collapsed="false">
      <c r="A184" s="7" t="n">
        <v>181</v>
      </c>
      <c r="B184" s="7" t="s">
        <v>3243</v>
      </c>
      <c r="C184" s="7" t="s">
        <v>698</v>
      </c>
      <c r="D184" s="7"/>
      <c r="E184" s="7" t="s">
        <v>212</v>
      </c>
      <c r="F184" s="7" t="s">
        <v>3250</v>
      </c>
    </row>
    <row r="185" customFormat="false" ht="15" hidden="false" customHeight="false" outlineLevel="0" collapsed="false">
      <c r="A185" s="7" t="n">
        <v>182</v>
      </c>
      <c r="B185" s="7" t="s">
        <v>3243</v>
      </c>
      <c r="C185" s="7" t="s">
        <v>704</v>
      </c>
      <c r="D185" s="7"/>
      <c r="E185" s="7" t="s">
        <v>709</v>
      </c>
      <c r="F185" s="7" t="s">
        <v>3251</v>
      </c>
    </row>
    <row r="186" customFormat="false" ht="15" hidden="false" customHeight="false" outlineLevel="0" collapsed="false">
      <c r="A186" s="7" t="n">
        <v>183</v>
      </c>
      <c r="B186" s="7" t="s">
        <v>3243</v>
      </c>
      <c r="C186" s="7" t="s">
        <v>711</v>
      </c>
      <c r="D186" s="7"/>
      <c r="E186" s="7" t="s">
        <v>709</v>
      </c>
      <c r="F186" s="7" t="s">
        <v>3252</v>
      </c>
    </row>
    <row r="187" customFormat="false" ht="15" hidden="false" customHeight="false" outlineLevel="0" collapsed="false">
      <c r="A187" s="7" t="n">
        <v>184</v>
      </c>
      <c r="B187" s="7" t="s">
        <v>3243</v>
      </c>
      <c r="C187" s="7" t="s">
        <v>714</v>
      </c>
      <c r="D187" s="7"/>
      <c r="E187" s="7" t="s">
        <v>717</v>
      </c>
      <c r="F187" s="7" t="s">
        <v>3253</v>
      </c>
    </row>
    <row r="188" customFormat="false" ht="15" hidden="false" customHeight="false" outlineLevel="0" collapsed="false">
      <c r="A188" s="7" t="n">
        <v>185</v>
      </c>
      <c r="B188" s="7" t="s">
        <v>3243</v>
      </c>
      <c r="C188" s="7" t="s">
        <v>719</v>
      </c>
      <c r="D188" s="7"/>
      <c r="E188" s="7" t="s">
        <v>368</v>
      </c>
      <c r="F188" s="7" t="s">
        <v>3254</v>
      </c>
    </row>
    <row r="189" customFormat="false" ht="15" hidden="false" customHeight="false" outlineLevel="0" collapsed="false">
      <c r="A189" s="7" t="n">
        <v>186</v>
      </c>
      <c r="B189" s="7" t="s">
        <v>3243</v>
      </c>
      <c r="C189" s="7" t="s">
        <v>722</v>
      </c>
      <c r="D189" s="7"/>
      <c r="E189" s="7" t="s">
        <v>212</v>
      </c>
      <c r="F189" s="7" t="s">
        <v>3255</v>
      </c>
    </row>
    <row r="190" customFormat="false" ht="15" hidden="false" customHeight="false" outlineLevel="0" collapsed="false">
      <c r="A190" s="7" t="n">
        <v>187</v>
      </c>
      <c r="B190" s="7" t="s">
        <v>3243</v>
      </c>
      <c r="C190" s="7" t="s">
        <v>725</v>
      </c>
      <c r="D190" s="7"/>
      <c r="E190" s="7" t="s">
        <v>212</v>
      </c>
      <c r="F190" s="7" t="s">
        <v>3256</v>
      </c>
    </row>
    <row r="191" customFormat="false" ht="15" hidden="false" customHeight="false" outlineLevel="0" collapsed="false">
      <c r="A191" s="7" t="n">
        <v>188</v>
      </c>
      <c r="B191" s="7" t="s">
        <v>3243</v>
      </c>
      <c r="C191" s="7" t="s">
        <v>729</v>
      </c>
      <c r="D191" s="7"/>
      <c r="E191" s="7" t="s">
        <v>212</v>
      </c>
      <c r="F191" s="7" t="s">
        <v>3257</v>
      </c>
    </row>
    <row r="192" customFormat="false" ht="15" hidden="false" customHeight="false" outlineLevel="0" collapsed="false">
      <c r="A192" s="7" t="n">
        <v>189</v>
      </c>
      <c r="B192" s="7" t="s">
        <v>3243</v>
      </c>
      <c r="C192" s="7" t="s">
        <v>732</v>
      </c>
      <c r="D192" s="7"/>
      <c r="E192" s="7" t="s">
        <v>368</v>
      </c>
      <c r="F192" s="7" t="s">
        <v>3258</v>
      </c>
    </row>
    <row r="193" customFormat="false" ht="15" hidden="false" customHeight="false" outlineLevel="0" collapsed="false">
      <c r="A193" s="7" t="n">
        <v>190</v>
      </c>
      <c r="B193" s="7" t="s">
        <v>3243</v>
      </c>
      <c r="C193" s="7" t="s">
        <v>735</v>
      </c>
      <c r="D193" s="7"/>
      <c r="E193" s="7" t="s">
        <v>212</v>
      </c>
      <c r="F193" s="7" t="s">
        <v>3259</v>
      </c>
    </row>
    <row r="194" customFormat="false" ht="15" hidden="false" customHeight="false" outlineLevel="0" collapsed="false">
      <c r="A194" s="7" t="n">
        <v>191</v>
      </c>
      <c r="B194" s="7" t="s">
        <v>3243</v>
      </c>
      <c r="C194" s="7" t="s">
        <v>738</v>
      </c>
      <c r="D194" s="7"/>
      <c r="E194" s="7" t="s">
        <v>212</v>
      </c>
      <c r="F194" s="7" t="s">
        <v>3260</v>
      </c>
    </row>
    <row r="195" customFormat="false" ht="15" hidden="false" customHeight="false" outlineLevel="0" collapsed="false">
      <c r="A195" s="7" t="n">
        <v>192</v>
      </c>
      <c r="B195" s="7" t="s">
        <v>3243</v>
      </c>
      <c r="C195" s="7" t="s">
        <v>741</v>
      </c>
      <c r="D195" s="7"/>
      <c r="E195" s="7" t="s">
        <v>212</v>
      </c>
      <c r="F195" s="7" t="s">
        <v>743</v>
      </c>
    </row>
    <row r="196" customFormat="false" ht="15" hidden="false" customHeight="false" outlineLevel="0" collapsed="false">
      <c r="A196" s="7" t="n">
        <v>193</v>
      </c>
      <c r="B196" s="7" t="s">
        <v>3243</v>
      </c>
      <c r="C196" s="7" t="s">
        <v>744</v>
      </c>
      <c r="D196" s="7"/>
      <c r="E196" s="7" t="s">
        <v>368</v>
      </c>
      <c r="F196" s="7" t="s">
        <v>3261</v>
      </c>
    </row>
    <row r="197" customFormat="false" ht="15" hidden="false" customHeight="false" outlineLevel="0" collapsed="false">
      <c r="A197" s="7" t="n">
        <v>194</v>
      </c>
      <c r="B197" s="7" t="s">
        <v>3243</v>
      </c>
      <c r="C197" s="7" t="s">
        <v>747</v>
      </c>
      <c r="D197" s="7"/>
      <c r="E197" s="7" t="s">
        <v>212</v>
      </c>
      <c r="F197" s="7" t="s">
        <v>749</v>
      </c>
    </row>
    <row r="198" customFormat="false" ht="15" hidden="false" customHeight="false" outlineLevel="0" collapsed="false">
      <c r="A198" s="7" t="n">
        <v>195</v>
      </c>
      <c r="B198" s="7" t="s">
        <v>3243</v>
      </c>
      <c r="C198" s="7" t="s">
        <v>750</v>
      </c>
      <c r="D198" s="7"/>
      <c r="E198" s="7" t="s">
        <v>212</v>
      </c>
      <c r="F198" s="7" t="s">
        <v>3262</v>
      </c>
    </row>
    <row r="199" customFormat="false" ht="15" hidden="false" customHeight="false" outlineLevel="0" collapsed="false">
      <c r="A199" s="7" t="n">
        <v>196</v>
      </c>
      <c r="B199" s="7" t="s">
        <v>3243</v>
      </c>
      <c r="C199" s="7" t="s">
        <v>753</v>
      </c>
      <c r="D199" s="7"/>
      <c r="E199" s="7" t="s">
        <v>212</v>
      </c>
      <c r="F199" s="7" t="s">
        <v>3263</v>
      </c>
    </row>
    <row r="200" customFormat="false" ht="15" hidden="false" customHeight="false" outlineLevel="0" collapsed="false">
      <c r="A200" s="7" t="n">
        <v>197</v>
      </c>
      <c r="B200" s="7" t="s">
        <v>3243</v>
      </c>
      <c r="C200" s="7" t="s">
        <v>756</v>
      </c>
      <c r="D200" s="7"/>
      <c r="E200" s="7" t="s">
        <v>212</v>
      </c>
      <c r="F200" s="7" t="s">
        <v>3264</v>
      </c>
    </row>
    <row r="201" customFormat="false" ht="15" hidden="false" customHeight="false" outlineLevel="0" collapsed="false">
      <c r="A201" s="7" t="n">
        <v>198</v>
      </c>
      <c r="B201" s="7" t="s">
        <v>3243</v>
      </c>
      <c r="C201" s="7" t="s">
        <v>759</v>
      </c>
      <c r="D201" s="7"/>
      <c r="E201" s="7" t="s">
        <v>368</v>
      </c>
      <c r="F201" s="7" t="s">
        <v>3265</v>
      </c>
    </row>
    <row r="202" customFormat="false" ht="15" hidden="false" customHeight="false" outlineLevel="0" collapsed="false">
      <c r="A202" s="7" t="n">
        <v>199</v>
      </c>
      <c r="B202" s="7" t="s">
        <v>3243</v>
      </c>
      <c r="C202" s="7" t="s">
        <v>763</v>
      </c>
      <c r="D202" s="7"/>
      <c r="E202" s="7" t="s">
        <v>386</v>
      </c>
      <c r="F202" s="7" t="s">
        <v>3266</v>
      </c>
    </row>
    <row r="203" customFormat="false" ht="15" hidden="false" customHeight="false" outlineLevel="0" collapsed="false">
      <c r="A203" s="7" t="n">
        <v>200</v>
      </c>
      <c r="B203" s="7" t="s">
        <v>3243</v>
      </c>
      <c r="C203" s="7" t="s">
        <v>767</v>
      </c>
      <c r="D203" s="7"/>
      <c r="E203" s="7" t="s">
        <v>368</v>
      </c>
      <c r="F203" s="7" t="s">
        <v>3267</v>
      </c>
    </row>
    <row r="204" customFormat="false" ht="15" hidden="false" customHeight="false" outlineLevel="0" collapsed="false">
      <c r="A204" s="7" t="n">
        <v>201</v>
      </c>
      <c r="B204" s="7" t="s">
        <v>3243</v>
      </c>
      <c r="C204" s="7" t="s">
        <v>770</v>
      </c>
      <c r="D204" s="7"/>
      <c r="E204" s="7" t="s">
        <v>386</v>
      </c>
      <c r="F204" s="7" t="s">
        <v>3268</v>
      </c>
    </row>
    <row r="205" customFormat="false" ht="15" hidden="false" customHeight="false" outlineLevel="0" collapsed="false">
      <c r="A205" s="7" t="n">
        <v>202</v>
      </c>
      <c r="B205" s="7" t="s">
        <v>3243</v>
      </c>
      <c r="C205" s="7" t="s">
        <v>773</v>
      </c>
      <c r="D205" s="7"/>
      <c r="E205" s="7" t="s">
        <v>368</v>
      </c>
      <c r="F205" s="7" t="s">
        <v>3269</v>
      </c>
    </row>
    <row r="206" customFormat="false" ht="15" hidden="false" customHeight="false" outlineLevel="0" collapsed="false">
      <c r="A206" s="7" t="n">
        <v>203</v>
      </c>
      <c r="B206" s="7" t="s">
        <v>3243</v>
      </c>
      <c r="C206" s="7" t="s">
        <v>776</v>
      </c>
      <c r="D206" s="7"/>
      <c r="E206" s="7" t="s">
        <v>212</v>
      </c>
      <c r="F206" s="7" t="s">
        <v>3270</v>
      </c>
    </row>
    <row r="207" customFormat="false" ht="15" hidden="false" customHeight="false" outlineLevel="0" collapsed="false">
      <c r="A207" s="7" t="n">
        <v>204</v>
      </c>
      <c r="B207" s="7" t="s">
        <v>3243</v>
      </c>
      <c r="C207" s="7" t="s">
        <v>779</v>
      </c>
      <c r="D207" s="7"/>
      <c r="E207" s="7" t="s">
        <v>782</v>
      </c>
      <c r="F207" s="7" t="s">
        <v>3271</v>
      </c>
    </row>
    <row r="208" customFormat="false" ht="15" hidden="false" customHeight="false" outlineLevel="0" collapsed="false">
      <c r="A208" s="7" t="n">
        <v>205</v>
      </c>
      <c r="B208" s="7" t="s">
        <v>3243</v>
      </c>
      <c r="C208" s="7" t="s">
        <v>783</v>
      </c>
      <c r="D208" s="7"/>
      <c r="E208" s="7" t="s">
        <v>368</v>
      </c>
      <c r="F208" s="7" t="s">
        <v>3272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2026-09-27T03:00:55Z</dcterms:created>
  <dc:creator>openpyxl</dc:creator>
  <dc:description/>
  <dc:language>en-US</dc:language>
  <cp:lastModifiedBy/>
  <dcterms:modified xsi:type="dcterms:W3CDTF">2026-09-27T19:35:41Z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